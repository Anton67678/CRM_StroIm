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18996" windowHeight="9780"/>
  </bookViews>
  <sheets>
    <sheet name="Table 1" sheetId="1" r:id="rId1"/>
  </sheets>
  <calcPr calcId="162913"/>
</workbook>
</file>

<file path=xl/calcChain.xml><?xml version="1.0" encoding="utf-8"?>
<calcChain xmlns="http://schemas.openxmlformats.org/spreadsheetml/2006/main">
  <c r="E18" i="1" l="1"/>
  <c r="E8" i="1"/>
  <c r="E11" i="1" l="1"/>
  <c r="E12" i="1"/>
  <c r="E13" i="1"/>
  <c r="E14" i="1"/>
  <c r="E9" i="1"/>
  <c r="E7" i="1"/>
  <c r="M6" i="1"/>
  <c r="L6" i="1"/>
  <c r="K6" i="1"/>
  <c r="J6" i="1"/>
  <c r="I6" i="1"/>
  <c r="J5" i="1"/>
  <c r="E17" i="1" l="1"/>
  <c r="E16" i="1"/>
  <c r="M10" i="1" l="1"/>
  <c r="L10" i="1"/>
  <c r="K10" i="1"/>
  <c r="J4" i="1"/>
  <c r="I2" i="1"/>
  <c r="I3" i="1"/>
  <c r="J3" i="1"/>
  <c r="J2" i="1"/>
  <c r="I10" i="1" l="1"/>
  <c r="J10" i="1"/>
</calcChain>
</file>

<file path=xl/sharedStrings.xml><?xml version="1.0" encoding="utf-8"?>
<sst xmlns="http://schemas.openxmlformats.org/spreadsheetml/2006/main" count="41" uniqueCount="35">
  <si>
    <r>
      <rPr>
        <b/>
        <sz val="9"/>
        <rFont val="Times New Roman"/>
        <family val="1"/>
        <charset val="204"/>
      </rPr>
      <t>г. Москва</t>
    </r>
  </si>
  <si>
    <r>
      <rPr>
        <sz val="9"/>
        <rFont val="Times New Roman"/>
        <family val="1"/>
        <charset val="204"/>
      </rPr>
      <t>"Подрядчик" с одной стороны и "Заказчик" с другой стороны, составили настоящий Акт о том, что "Подрядчиком" выполнены, а "Заказчиком" приняты Работы в соответствии с Договором</t>
    </r>
  </si>
  <si>
    <t>ед. изм.</t>
  </si>
  <si>
    <t>кол-во</t>
  </si>
  <si>
    <t>цена</t>
  </si>
  <si>
    <t>сумма</t>
  </si>
  <si>
    <t>м2</t>
  </si>
  <si>
    <t>шт</t>
  </si>
  <si>
    <t>ИТОГО. СТОИМОСТЬ РАБОТ</t>
  </si>
  <si>
    <r>
      <rPr>
        <sz val="9"/>
        <rFont val="Times New Roman"/>
        <family val="1"/>
        <charset val="204"/>
      </rPr>
      <t>Работы выполнены качественно. Претензий к качеству Работ Заказчик не имеет. В случае наличия замечаний, стороны оформляют Акт выявленных недостатков при приемке работ.</t>
    </r>
  </si>
  <si>
    <r>
      <rPr>
        <sz val="9"/>
        <color rgb="FF000000"/>
        <rFont val="Times New Roman"/>
        <family val="1"/>
        <charset val="204"/>
      </rPr>
      <t xml:space="preserve">Претензии по гарантийному ремонту не принимаются в следующих случаях:
</t>
    </r>
    <r>
      <rPr>
        <sz val="9"/>
        <color rgb="FF000000"/>
        <rFont val="Times New Roman"/>
        <family val="1"/>
        <charset val="204"/>
      </rPr>
      <t xml:space="preserve">1) после истечения гарантийного срока;
</t>
    </r>
    <r>
      <rPr>
        <sz val="9"/>
        <color rgb="FF000000"/>
        <rFont val="Times New Roman"/>
        <family val="1"/>
        <charset val="204"/>
      </rPr>
      <t xml:space="preserve">2) при неправильной эксплуатации отремонтированного помещения;
</t>
    </r>
    <r>
      <rPr>
        <sz val="9"/>
        <color rgb="FF000000"/>
        <rFont val="Times New Roman"/>
        <family val="1"/>
        <charset val="204"/>
      </rPr>
      <t xml:space="preserve">3) нормального износа объекта, а также на расходные материалы (фильтры, лампы и т.д.);
</t>
    </r>
    <r>
      <rPr>
        <sz val="9"/>
        <color rgb="FF000000"/>
        <rFont val="Times New Roman"/>
        <family val="1"/>
        <charset val="204"/>
      </rPr>
      <t xml:space="preserve">4) ненадлежащего ремонта, переделки или преднамеренного повреждения объекта Заказчиком;
</t>
    </r>
    <r>
      <rPr>
        <sz val="9"/>
        <color rgb="FF000000"/>
        <rFont val="Times New Roman"/>
        <family val="1"/>
        <charset val="204"/>
      </rPr>
      <t xml:space="preserve">5) при появлении дефектов на поверхностях и в их структуре, вызванных внешними воздействиями;
</t>
    </r>
    <r>
      <rPr>
        <sz val="9"/>
        <color rgb="FF000000"/>
        <rFont val="Times New Roman"/>
        <family val="1"/>
        <charset val="204"/>
      </rPr>
      <t xml:space="preserve">6) по причинам, не зависящим от Подрядчика, таким как: оседание зданий, скрытые строительные дефекты, относящиеся к деятельности третьих лиц, и т.д.;
</t>
    </r>
    <r>
      <rPr>
        <sz val="9"/>
        <color rgb="FF000000"/>
        <rFont val="Times New Roman"/>
        <family val="1"/>
        <charset val="204"/>
      </rPr>
      <t>7) в случае выполнения какого-либо действия третьими лицами до или после момента подписания данного Акта, Подрядчик не берет на себя ответственность за последствия данного действия.</t>
    </r>
  </si>
  <si>
    <r>
      <rPr>
        <sz val="9"/>
        <color rgb="FF000000"/>
        <rFont val="Times New Roman"/>
        <family val="1"/>
        <charset val="204"/>
      </rPr>
      <t xml:space="preserve">Работу сдал, от Подрядчика:
</t>
    </r>
    <r>
      <rPr>
        <sz val="9"/>
        <color rgb="FF000000"/>
        <rFont val="Times New Roman"/>
        <family val="1"/>
        <charset val="204"/>
      </rPr>
      <t>(подпись Подрядчика)</t>
    </r>
  </si>
  <si>
    <r>
      <rPr>
        <sz val="9"/>
        <color rgb="FF000000"/>
        <rFont val="Times New Roman"/>
        <family val="1"/>
        <charset val="204"/>
      </rPr>
      <t xml:space="preserve">Работу принял, от Заказчика:
</t>
    </r>
    <r>
      <rPr>
        <sz val="9"/>
        <color rgb="FF000000"/>
        <rFont val="Times New Roman"/>
        <family val="1"/>
        <charset val="204"/>
      </rPr>
      <t>(подпись Заказчика)</t>
    </r>
  </si>
  <si>
    <t>пол</t>
  </si>
  <si>
    <t>стены</t>
  </si>
  <si>
    <t>откосы</t>
  </si>
  <si>
    <t>гкл</t>
  </si>
  <si>
    <t>периметр</t>
  </si>
  <si>
    <t>Защита поверхностей, двери, ручек, МОПов, укрытие пленкой окон и необходимых поверхностей</t>
  </si>
  <si>
    <t>Подготовительные работы</t>
  </si>
  <si>
    <t>АКТ №1
СДАЧИ-ПРИЕМКИ ВЫПОЛНЕННЫХ РАБОТ</t>
  </si>
  <si>
    <t>мпог</t>
  </si>
  <si>
    <t>Зачистка шпатлевки со стен</t>
  </si>
  <si>
    <t>Демонтаж ГКЛ 2 слоя, с разбором каркаса</t>
  </si>
  <si>
    <t>Нанесение штукатурной сетки</t>
  </si>
  <si>
    <t>Сухая уборка полов под щетку</t>
  </si>
  <si>
    <t>Грунтовка акриловая (1й слой)</t>
  </si>
  <si>
    <t>Грунтовка с кварцевым песком (2й слой)</t>
  </si>
  <si>
    <t>"25" ноября 2025г.</t>
  </si>
  <si>
    <t>Адрес объекта:  Причальный проезд 10к2 кв21901</t>
  </si>
  <si>
    <t>Расширение дверного проема в перегородке ГКЛ</t>
  </si>
  <si>
    <t>Демонтаж розеток, выключателей</t>
  </si>
  <si>
    <t>Работы</t>
  </si>
  <si>
    <t>Стены демонтажные работы</t>
  </si>
  <si>
    <t>Стены черновые работы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</si>
</sst>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0"/>
      <color rgb="FF000000"/>
      <name val="Calibri"/>
      <scheme val="minor"/>
    </font>
    <font>
      <b/>
      <sz val="10"/>
      <name val="Times New Roman"/>
      <family val="1"/>
      <charset val="204"/>
    </font>
    <font>
      <b/>
      <sz val="9"/>
      <name val="Times New Roman"/>
      <family val="1"/>
      <charset val="204"/>
    </font>
    <font>
      <sz val="10"/>
      <color rgb="FF000000"/>
      <name val="Times New Roman"/>
      <family val="1"/>
      <charset val="204"/>
    </font>
    <font>
      <sz val="9"/>
      <name val="Times New Roman"/>
      <family val="1"/>
      <charset val="204"/>
    </font>
    <font>
      <sz val="10"/>
      <name val="Calibri"/>
      <family val="2"/>
      <charset val="204"/>
    </font>
    <font>
      <b/>
      <sz val="12"/>
      <name val="Times New Roman"/>
      <family val="1"/>
      <charset val="204"/>
    </font>
    <font>
      <sz val="12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sz val="9"/>
      <color rgb="FF000000"/>
      <name val="Times New Roman"/>
      <family val="1"/>
      <charset val="204"/>
    </font>
    <font>
      <sz val="12"/>
      <name val="Times New Roman"/>
      <family val="1"/>
    </font>
    <font>
      <sz val="12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ABF8F"/>
        <bgColor rgb="FFFABF8F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36">
    <xf numFmtId="0" fontId="0" fillId="0" borderId="0" xfId="0" applyFont="1" applyAlignment="1">
      <alignment horizontal="left" vertical="top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wrapText="1"/>
    </xf>
    <xf numFmtId="0" fontId="4" fillId="0" borderId="0" xfId="0" applyFont="1" applyAlignment="1">
      <alignment horizontal="left" vertical="top" wrapText="1"/>
    </xf>
    <xf numFmtId="0" fontId="6" fillId="2" borderId="2" xfId="0" applyFont="1" applyFill="1" applyBorder="1" applyAlignment="1">
      <alignment horizontal="center" vertical="center" wrapText="1"/>
    </xf>
    <xf numFmtId="4" fontId="6" fillId="2" borderId="2" xfId="0" applyNumberFormat="1" applyFont="1" applyFill="1" applyBorder="1" applyAlignment="1">
      <alignment horizontal="center" vertical="center" wrapText="1"/>
    </xf>
    <xf numFmtId="4" fontId="7" fillId="0" borderId="2" xfId="0" applyNumberFormat="1" applyFont="1" applyBorder="1" applyAlignment="1">
      <alignment horizontal="left" vertical="center" wrapText="1"/>
    </xf>
    <xf numFmtId="4" fontId="7" fillId="0" borderId="2" xfId="0" applyNumberFormat="1" applyFont="1" applyBorder="1" applyAlignment="1">
      <alignment horizontal="center" vertical="center" wrapText="1"/>
    </xf>
    <xf numFmtId="4" fontId="7" fillId="0" borderId="2" xfId="0" applyNumberFormat="1" applyFont="1" applyBorder="1" applyAlignment="1">
      <alignment horizontal="right" vertical="center" wrapText="1"/>
    </xf>
    <xf numFmtId="4" fontId="8" fillId="2" borderId="2" xfId="0" applyNumberFormat="1" applyFont="1" applyFill="1" applyBorder="1" applyAlignment="1">
      <alignment horizontal="right" vertical="center" wrapText="1"/>
    </xf>
    <xf numFmtId="0" fontId="3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0" fillId="0" borderId="0" xfId="0" applyFont="1" applyAlignment="1">
      <alignment horizontal="left" vertical="top"/>
    </xf>
    <xf numFmtId="0" fontId="0" fillId="0" borderId="0" xfId="0" applyFont="1" applyAlignment="1">
      <alignment horizontal="left" vertical="top"/>
    </xf>
    <xf numFmtId="0" fontId="10" fillId="3" borderId="7" xfId="0" applyFont="1" applyFill="1" applyBorder="1" applyAlignment="1">
      <alignment horizontal="left" wrapText="1"/>
    </xf>
    <xf numFmtId="4" fontId="10" fillId="3" borderId="7" xfId="0" applyNumberFormat="1" applyFont="1" applyFill="1" applyBorder="1" applyAlignment="1">
      <alignment horizontal="left" wrapText="1"/>
    </xf>
    <xf numFmtId="4" fontId="10" fillId="3" borderId="7" xfId="0" applyNumberFormat="1" applyFont="1" applyFill="1" applyBorder="1" applyAlignment="1">
      <alignment horizontal="center" wrapText="1"/>
    </xf>
    <xf numFmtId="4" fontId="11" fillId="3" borderId="7" xfId="0" applyNumberFormat="1" applyFont="1" applyFill="1" applyBorder="1" applyAlignment="1">
      <alignment horizontal="center" vertical="center" wrapText="1"/>
    </xf>
    <xf numFmtId="4" fontId="11" fillId="3" borderId="7" xfId="0" applyNumberFormat="1" applyFont="1" applyFill="1" applyBorder="1" applyAlignment="1">
      <alignment horizontal="right" vertical="center" wrapText="1"/>
    </xf>
    <xf numFmtId="0" fontId="10" fillId="3" borderId="7" xfId="0" applyFont="1" applyFill="1" applyBorder="1" applyAlignment="1">
      <alignment horizontal="left" vertical="center" wrapText="1"/>
    </xf>
    <xf numFmtId="4" fontId="10" fillId="3" borderId="7" xfId="0" applyNumberFormat="1" applyFont="1" applyFill="1" applyBorder="1" applyAlignment="1">
      <alignment horizontal="left" vertical="center" wrapText="1"/>
    </xf>
    <xf numFmtId="4" fontId="10" fillId="3" borderId="7" xfId="0" applyNumberFormat="1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0" fillId="0" borderId="0" xfId="0" applyFont="1" applyAlignment="1">
      <alignment horizontal="left" vertical="top"/>
    </xf>
    <xf numFmtId="0" fontId="3" fillId="0" borderId="6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/>
    </xf>
    <xf numFmtId="0" fontId="3" fillId="0" borderId="0" xfId="0" applyFont="1" applyAlignment="1">
      <alignment horizontal="center" vertical="top" wrapText="1"/>
    </xf>
    <xf numFmtId="0" fontId="0" fillId="0" borderId="0" xfId="0" applyFont="1" applyAlignment="1">
      <alignment horizontal="left" vertical="top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/>
    </xf>
    <xf numFmtId="0" fontId="4" fillId="0" borderId="4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/>
    </xf>
    <xf numFmtId="0" fontId="7" fillId="2" borderId="3" xfId="0" applyFont="1" applyFill="1" applyBorder="1" applyAlignment="1">
      <alignment horizontal="right" vertical="top" wrapText="1"/>
    </xf>
    <xf numFmtId="0" fontId="5" fillId="0" borderId="5" xfId="0" applyFont="1" applyBorder="1" applyAlignment="1">
      <alignment horizontal="left" vertical="top"/>
    </xf>
  </cellXfs>
  <cellStyles count="2">
    <cellStyle name="Обычный" xfId="0" builtinId="0"/>
    <cellStyle name="Обычный 2" xfId="1"/>
  </cellStyles>
  <dxfs count="21"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 patternType="solid">
          <fgColor rgb="FFDDD9C3"/>
          <bgColor rgb="FFDDD9C3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 patternType="solid">
          <fgColor rgb="FFDDD9C3"/>
          <bgColor rgb="FFDDD9C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552450</xdr:colOff>
      <xdr:row>9</xdr:row>
      <xdr:rowOff>0</xdr:rowOff>
    </xdr:from>
    <xdr:ext cx="1724025" cy="0"/>
    <xdr:sp macro="" textlink="">
      <xdr:nvSpPr>
        <xdr:cNvPr id="2" name="Shape 2">
          <a:extLst/>
        </xdr:cNvPr>
        <xdr:cNvSpPr/>
      </xdr:nvSpPr>
      <xdr:spPr>
        <a:xfrm>
          <a:off x="0" y="0"/>
          <a:ext cx="1724025" cy="0"/>
        </a:xfrm>
        <a:custGeom>
          <a:avLst/>
          <a:gdLst/>
          <a:ahLst/>
          <a:cxnLst/>
          <a:rect l="0" t="0" r="0" b="0"/>
          <a:pathLst>
            <a:path w="1724025">
              <a:moveTo>
                <a:pt x="0" y="0"/>
              </a:moveTo>
              <a:lnTo>
                <a:pt x="1723644" y="0"/>
              </a:lnTo>
            </a:path>
          </a:pathLst>
        </a:custGeom>
        <a:ln w="4825">
          <a:solidFill>
            <a:srgbClr val="000000"/>
          </a:solidFill>
        </a:ln>
      </xdr:spPr>
    </xdr:sp>
    <xdr:clientData fLocksWithSheet="0"/>
  </xdr:oneCellAnchor>
  <xdr:oneCellAnchor>
    <xdr:from>
      <xdr:col>0</xdr:col>
      <xdr:colOff>552450</xdr:colOff>
      <xdr:row>9</xdr:row>
      <xdr:rowOff>0</xdr:rowOff>
    </xdr:from>
    <xdr:ext cx="1724025" cy="0"/>
    <xdr:sp macro="" textlink="">
      <xdr:nvSpPr>
        <xdr:cNvPr id="3" name="Shape 3">
          <a:extLst/>
        </xdr:cNvPr>
        <xdr:cNvSpPr/>
      </xdr:nvSpPr>
      <xdr:spPr>
        <a:xfrm>
          <a:off x="0" y="0"/>
          <a:ext cx="1724025" cy="0"/>
        </a:xfrm>
        <a:custGeom>
          <a:avLst/>
          <a:gdLst/>
          <a:ahLst/>
          <a:cxnLst/>
          <a:rect l="0" t="0" r="0" b="0"/>
          <a:pathLst>
            <a:path w="1724025">
              <a:moveTo>
                <a:pt x="0" y="0"/>
              </a:moveTo>
              <a:lnTo>
                <a:pt x="1723644" y="0"/>
              </a:lnTo>
            </a:path>
          </a:pathLst>
        </a:custGeom>
        <a:ln w="4825">
          <a:solidFill>
            <a:srgbClr val="000000"/>
          </a:solidFill>
        </a:ln>
      </xdr:spPr>
    </xdr:sp>
    <xdr:clientData fLocksWithSheet="0"/>
  </xdr:oneCellAnchor>
  <xdr:oneCellAnchor>
    <xdr:from>
      <xdr:col>2</xdr:col>
      <xdr:colOff>266700</xdr:colOff>
      <xdr:row>9</xdr:row>
      <xdr:rowOff>0</xdr:rowOff>
    </xdr:from>
    <xdr:ext cx="1600200" cy="0"/>
    <xdr:sp macro="" textlink="">
      <xdr:nvSpPr>
        <xdr:cNvPr id="4" name="Shape 4">
          <a:extLst/>
        </xdr:cNvPr>
        <xdr:cNvSpPr/>
      </xdr:nvSpPr>
      <xdr:spPr>
        <a:xfrm>
          <a:off x="0" y="0"/>
          <a:ext cx="1605280" cy="0"/>
        </a:xfrm>
        <a:custGeom>
          <a:avLst/>
          <a:gdLst/>
          <a:ahLst/>
          <a:cxnLst/>
          <a:rect l="0" t="0" r="0" b="0"/>
          <a:pathLst>
            <a:path w="1605280">
              <a:moveTo>
                <a:pt x="0" y="0"/>
              </a:moveTo>
              <a:lnTo>
                <a:pt x="1604772" y="0"/>
              </a:lnTo>
            </a:path>
          </a:pathLst>
        </a:custGeom>
        <a:ln w="4825">
          <a:solidFill>
            <a:srgbClr val="000000"/>
          </a:solidFill>
        </a:ln>
      </xdr:spPr>
    </xdr:sp>
    <xdr:clientData fLocksWithSheet="0"/>
  </xdr:oneCellAnchor>
  <xdr:oneCellAnchor>
    <xdr:from>
      <xdr:col>2</xdr:col>
      <xdr:colOff>266700</xdr:colOff>
      <xdr:row>9</xdr:row>
      <xdr:rowOff>0</xdr:rowOff>
    </xdr:from>
    <xdr:ext cx="1600200" cy="0"/>
    <xdr:sp macro="" textlink="">
      <xdr:nvSpPr>
        <xdr:cNvPr id="5" name="Shape 5">
          <a:extLst/>
        </xdr:cNvPr>
        <xdr:cNvSpPr/>
      </xdr:nvSpPr>
      <xdr:spPr>
        <a:xfrm>
          <a:off x="0" y="0"/>
          <a:ext cx="1605280" cy="0"/>
        </a:xfrm>
        <a:custGeom>
          <a:avLst/>
          <a:gdLst/>
          <a:ahLst/>
          <a:cxnLst/>
          <a:rect l="0" t="0" r="0" b="0"/>
          <a:pathLst>
            <a:path w="1605280">
              <a:moveTo>
                <a:pt x="0" y="0"/>
              </a:moveTo>
              <a:lnTo>
                <a:pt x="1604772" y="0"/>
              </a:lnTo>
            </a:path>
          </a:pathLst>
        </a:custGeom>
        <a:ln w="4825">
          <a:solidFill>
            <a:srgbClr val="000000"/>
          </a:solidFill>
        </a:ln>
      </xdr:spPr>
    </xdr:sp>
    <xdr:clientData fLocksWithSheet="0"/>
  </xdr:oneCellAnchor>
  <xdr:oneCellAnchor>
    <xdr:from>
      <xdr:col>0</xdr:col>
      <xdr:colOff>552450</xdr:colOff>
      <xdr:row>17</xdr:row>
      <xdr:rowOff>0</xdr:rowOff>
    </xdr:from>
    <xdr:ext cx="1724025" cy="0"/>
    <xdr:sp macro="" textlink="">
      <xdr:nvSpPr>
        <xdr:cNvPr id="6" name="Shape 2">
          <a:extLst/>
        </xdr:cNvPr>
        <xdr:cNvSpPr/>
      </xdr:nvSpPr>
      <xdr:spPr>
        <a:xfrm>
          <a:off x="554659" y="2971800"/>
          <a:ext cx="1724025" cy="0"/>
        </a:xfrm>
        <a:custGeom>
          <a:avLst/>
          <a:gdLst/>
          <a:ahLst/>
          <a:cxnLst/>
          <a:rect l="0" t="0" r="0" b="0"/>
          <a:pathLst>
            <a:path w="1724025">
              <a:moveTo>
                <a:pt x="0" y="0"/>
              </a:moveTo>
              <a:lnTo>
                <a:pt x="1723644" y="0"/>
              </a:lnTo>
            </a:path>
          </a:pathLst>
        </a:custGeom>
        <a:ln w="4825">
          <a:solidFill>
            <a:srgbClr val="000000"/>
          </a:solidFill>
        </a:ln>
      </xdr:spPr>
    </xdr:sp>
    <xdr:clientData fLocksWithSheet="0"/>
  </xdr:oneCellAnchor>
  <xdr:oneCellAnchor>
    <xdr:from>
      <xdr:col>0</xdr:col>
      <xdr:colOff>552450</xdr:colOff>
      <xdr:row>20</xdr:row>
      <xdr:rowOff>504825</xdr:rowOff>
    </xdr:from>
    <xdr:ext cx="1724025" cy="0"/>
    <xdr:sp macro="" textlink="">
      <xdr:nvSpPr>
        <xdr:cNvPr id="7" name="Shape 3">
          <a:extLst/>
        </xdr:cNvPr>
        <xdr:cNvSpPr/>
      </xdr:nvSpPr>
      <xdr:spPr>
        <a:xfrm>
          <a:off x="554659" y="5932573"/>
          <a:ext cx="1724025" cy="0"/>
        </a:xfrm>
        <a:custGeom>
          <a:avLst/>
          <a:gdLst/>
          <a:ahLst/>
          <a:cxnLst/>
          <a:rect l="0" t="0" r="0" b="0"/>
          <a:pathLst>
            <a:path w="1724025">
              <a:moveTo>
                <a:pt x="0" y="0"/>
              </a:moveTo>
              <a:lnTo>
                <a:pt x="1723644" y="0"/>
              </a:lnTo>
            </a:path>
          </a:pathLst>
        </a:custGeom>
        <a:ln w="4825">
          <a:solidFill>
            <a:srgbClr val="000000"/>
          </a:solidFill>
        </a:ln>
      </xdr:spPr>
    </xdr:sp>
    <xdr:clientData fLocksWithSheet="0"/>
  </xdr:oneCellAnchor>
  <xdr:oneCellAnchor>
    <xdr:from>
      <xdr:col>2</xdr:col>
      <xdr:colOff>266700</xdr:colOff>
      <xdr:row>17</xdr:row>
      <xdr:rowOff>0</xdr:rowOff>
    </xdr:from>
    <xdr:ext cx="1600200" cy="0"/>
    <xdr:sp macro="" textlink="">
      <xdr:nvSpPr>
        <xdr:cNvPr id="8" name="Shape 4">
          <a:extLst/>
        </xdr:cNvPr>
        <xdr:cNvSpPr/>
      </xdr:nvSpPr>
      <xdr:spPr>
        <a:xfrm>
          <a:off x="3872484" y="5781697"/>
          <a:ext cx="1605280" cy="0"/>
        </a:xfrm>
        <a:custGeom>
          <a:avLst/>
          <a:gdLst/>
          <a:ahLst/>
          <a:cxnLst/>
          <a:rect l="0" t="0" r="0" b="0"/>
          <a:pathLst>
            <a:path w="1605280">
              <a:moveTo>
                <a:pt x="0" y="0"/>
              </a:moveTo>
              <a:lnTo>
                <a:pt x="1604772" y="0"/>
              </a:lnTo>
            </a:path>
          </a:pathLst>
        </a:custGeom>
        <a:ln w="4825">
          <a:solidFill>
            <a:srgbClr val="000000"/>
          </a:solidFill>
        </a:ln>
      </xdr:spPr>
    </xdr:sp>
    <xdr:clientData fLocksWithSheet="0"/>
  </xdr:oneCellAnchor>
  <xdr:oneCellAnchor>
    <xdr:from>
      <xdr:col>2</xdr:col>
      <xdr:colOff>266700</xdr:colOff>
      <xdr:row>20</xdr:row>
      <xdr:rowOff>504825</xdr:rowOff>
    </xdr:from>
    <xdr:ext cx="1600200" cy="0"/>
    <xdr:sp macro="" textlink="">
      <xdr:nvSpPr>
        <xdr:cNvPr id="9" name="Shape 5">
          <a:extLst/>
        </xdr:cNvPr>
        <xdr:cNvSpPr/>
      </xdr:nvSpPr>
      <xdr:spPr>
        <a:xfrm>
          <a:off x="3872484" y="5932573"/>
          <a:ext cx="1605280" cy="0"/>
        </a:xfrm>
        <a:custGeom>
          <a:avLst/>
          <a:gdLst/>
          <a:ahLst/>
          <a:cxnLst/>
          <a:rect l="0" t="0" r="0" b="0"/>
          <a:pathLst>
            <a:path w="1605280">
              <a:moveTo>
                <a:pt x="0" y="0"/>
              </a:moveTo>
              <a:lnTo>
                <a:pt x="1604772" y="0"/>
              </a:lnTo>
            </a:path>
          </a:pathLst>
        </a:custGeom>
        <a:ln w="4825">
          <a:solidFill>
            <a:srgbClr val="000000"/>
          </a:solidFill>
        </a:ln>
      </xdr:spPr>
    </xdr:sp>
    <xdr:clientData fLocksWithSheet="0"/>
  </xdr:one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62"/>
  <sheetViews>
    <sheetView tabSelected="1" workbookViewId="0">
      <selection activeCell="F1" sqref="F1"/>
    </sheetView>
  </sheetViews>
  <sheetFormatPr defaultColWidth="14.44140625" defaultRowHeight="15" customHeight="1" x14ac:dyDescent="0.3"/>
  <cols>
    <col min="1" max="1" width="50.88671875" customWidth="1"/>
    <col min="2" max="2" width="7.44140625" customWidth="1"/>
    <col min="3" max="3" width="10.44140625" customWidth="1"/>
    <col min="4" max="4" width="15.109375" customWidth="1"/>
    <col min="5" max="5" width="14" customWidth="1"/>
    <col min="6" max="6" width="17.33203125" customWidth="1"/>
    <col min="7" max="8" width="8.6640625" hidden="1" customWidth="1"/>
    <col min="9" max="9" width="16.21875" hidden="1" customWidth="1"/>
    <col min="10" max="10" width="13.33203125" hidden="1" customWidth="1"/>
    <col min="11" max="11" width="14.109375" hidden="1" customWidth="1"/>
    <col min="12" max="13" width="0" hidden="1" customWidth="1"/>
    <col min="14" max="14" width="18.44140625" customWidth="1"/>
  </cols>
  <sheetData>
    <row r="1" spans="1:13" ht="28.5" customHeight="1" x14ac:dyDescent="0.3">
      <c r="A1" s="28" t="s">
        <v>20</v>
      </c>
      <c r="B1" s="27"/>
      <c r="C1" s="27"/>
      <c r="D1" s="27"/>
      <c r="E1" s="27"/>
      <c r="I1" t="s">
        <v>13</v>
      </c>
      <c r="J1" t="s">
        <v>14</v>
      </c>
      <c r="K1" t="s">
        <v>15</v>
      </c>
      <c r="L1" t="s">
        <v>16</v>
      </c>
      <c r="M1" t="s">
        <v>17</v>
      </c>
    </row>
    <row r="2" spans="1:13" ht="12.75" customHeight="1" x14ac:dyDescent="0.25">
      <c r="A2" s="1" t="s">
        <v>0</v>
      </c>
      <c r="B2" s="2"/>
      <c r="C2" s="2"/>
      <c r="D2" s="29" t="s">
        <v>28</v>
      </c>
      <c r="E2" s="27"/>
      <c r="I2">
        <f>7.61+0.51</f>
        <v>8.120000000000001</v>
      </c>
      <c r="J2">
        <f>12.24*2.65-2.25+2.65*3</f>
        <v>38.135999999999996</v>
      </c>
      <c r="M2">
        <v>12.24</v>
      </c>
    </row>
    <row r="3" spans="1:13" ht="12.75" customHeight="1" x14ac:dyDescent="0.25">
      <c r="A3" s="3" t="s">
        <v>29</v>
      </c>
      <c r="B3" s="2"/>
      <c r="C3" s="2"/>
      <c r="D3" s="2"/>
      <c r="E3" s="2"/>
      <c r="I3">
        <f>6.35+2.78+0.3</f>
        <v>9.43</v>
      </c>
      <c r="J3">
        <f>13.67*2.65-2.74-3.4-4</f>
        <v>26.085499999999996</v>
      </c>
      <c r="K3">
        <v>4.8</v>
      </c>
      <c r="M3">
        <v>13.67</v>
      </c>
    </row>
    <row r="4" spans="1:13" ht="25.5" customHeight="1" x14ac:dyDescent="0.3">
      <c r="A4" s="30" t="s">
        <v>1</v>
      </c>
      <c r="B4" s="31"/>
      <c r="C4" s="31"/>
      <c r="D4" s="31"/>
      <c r="E4" s="31"/>
      <c r="I4">
        <v>17.010000000000002</v>
      </c>
      <c r="J4">
        <f>16.51*2.65-2.74-3.2</f>
        <v>37.811499999999995</v>
      </c>
      <c r="K4">
        <v>5.0999999999999996</v>
      </c>
      <c r="L4">
        <v>4</v>
      </c>
      <c r="M4">
        <v>16.510000000000002</v>
      </c>
    </row>
    <row r="5" spans="1:13" s="13" customFormat="1" ht="12.6" customHeight="1" x14ac:dyDescent="0.3">
      <c r="A5" s="4" t="s">
        <v>32</v>
      </c>
      <c r="B5" s="5" t="s">
        <v>2</v>
      </c>
      <c r="C5" s="5" t="s">
        <v>3</v>
      </c>
      <c r="D5" s="5" t="s">
        <v>4</v>
      </c>
      <c r="E5" s="5" t="s">
        <v>5</v>
      </c>
      <c r="I5" s="13">
        <v>13.05</v>
      </c>
      <c r="J5" s="13">
        <f>14.88*2.65-1.7-3.1</f>
        <v>34.631999999999998</v>
      </c>
      <c r="K5" s="13">
        <v>6.42</v>
      </c>
      <c r="L5" s="13">
        <v>2.83</v>
      </c>
      <c r="M5" s="13">
        <v>14.88</v>
      </c>
    </row>
    <row r="6" spans="1:13" s="13" customFormat="1" ht="15.6" x14ac:dyDescent="0.3">
      <c r="A6" s="22" t="s">
        <v>33</v>
      </c>
      <c r="B6" s="6"/>
      <c r="C6" s="7"/>
      <c r="D6" s="7"/>
      <c r="E6" s="8"/>
      <c r="I6" s="13" t="e">
        <f>SUM(#REF!)</f>
        <v>#REF!</v>
      </c>
      <c r="J6" s="13" t="e">
        <f t="shared" ref="J6" si="0">SUM(#REF!)</f>
        <v>#REF!</v>
      </c>
      <c r="K6" s="13" t="e">
        <f>SUM(#REF!)</f>
        <v>#REF!</v>
      </c>
      <c r="L6" s="13" t="e">
        <f>SUM(#REF!)</f>
        <v>#REF!</v>
      </c>
      <c r="M6" s="13" t="e">
        <f>SUM(#REF!)</f>
        <v>#REF!</v>
      </c>
    </row>
    <row r="7" spans="1:13" s="13" customFormat="1" ht="15.6" x14ac:dyDescent="0.3">
      <c r="A7" s="14" t="s">
        <v>23</v>
      </c>
      <c r="B7" s="15" t="s">
        <v>6</v>
      </c>
      <c r="C7" s="16">
        <v>14.7</v>
      </c>
      <c r="D7" s="17">
        <v>900</v>
      </c>
      <c r="E7" s="18">
        <f>C7*D7</f>
        <v>13230</v>
      </c>
    </row>
    <row r="8" spans="1:13" s="23" customFormat="1" ht="15.6" x14ac:dyDescent="0.3">
      <c r="A8" s="14" t="s">
        <v>30</v>
      </c>
      <c r="B8" s="15" t="s">
        <v>21</v>
      </c>
      <c r="C8" s="16">
        <v>2.5</v>
      </c>
      <c r="D8" s="17">
        <v>900</v>
      </c>
      <c r="E8" s="18">
        <f>C8*D8</f>
        <v>2250</v>
      </c>
    </row>
    <row r="9" spans="1:13" s="13" customFormat="1" ht="15.6" x14ac:dyDescent="0.3">
      <c r="A9" s="14" t="s">
        <v>22</v>
      </c>
      <c r="B9" s="15" t="s">
        <v>6</v>
      </c>
      <c r="C9" s="16">
        <v>191</v>
      </c>
      <c r="D9" s="17">
        <v>470</v>
      </c>
      <c r="E9" s="18">
        <f t="shared" ref="E9" si="1">C9*D9</f>
        <v>89770</v>
      </c>
    </row>
    <row r="10" spans="1:13" ht="15.6" x14ac:dyDescent="0.3">
      <c r="A10" s="22" t="s">
        <v>34</v>
      </c>
      <c r="B10" s="6"/>
      <c r="C10" s="7"/>
      <c r="D10" s="7"/>
      <c r="E10" s="8"/>
      <c r="I10" t="e">
        <f>SUM(I2:I9)</f>
        <v>#REF!</v>
      </c>
      <c r="J10" t="e">
        <f>SUM(J2:J9)</f>
        <v>#REF!</v>
      </c>
      <c r="K10" t="e">
        <f>SUM(K2:K9)</f>
        <v>#REF!</v>
      </c>
      <c r="L10" t="e">
        <f>SUM(L2:L9)</f>
        <v>#REF!</v>
      </c>
      <c r="M10" t="e">
        <f>SUM(M2:M9)</f>
        <v>#REF!</v>
      </c>
    </row>
    <row r="11" spans="1:13" s="13" customFormat="1" ht="15.6" x14ac:dyDescent="0.3">
      <c r="A11" s="14" t="s">
        <v>26</v>
      </c>
      <c r="B11" s="15" t="s">
        <v>6</v>
      </c>
      <c r="C11" s="16">
        <v>191</v>
      </c>
      <c r="D11" s="17">
        <v>108</v>
      </c>
      <c r="E11" s="18">
        <f t="shared" ref="E11:E13" si="2">D11*C11</f>
        <v>20628</v>
      </c>
    </row>
    <row r="12" spans="1:13" s="13" customFormat="1" ht="15.6" x14ac:dyDescent="0.3">
      <c r="A12" s="14" t="s">
        <v>27</v>
      </c>
      <c r="B12" s="15" t="s">
        <v>6</v>
      </c>
      <c r="C12" s="16">
        <v>191</v>
      </c>
      <c r="D12" s="17">
        <v>180</v>
      </c>
      <c r="E12" s="18">
        <f t="shared" si="2"/>
        <v>34380</v>
      </c>
    </row>
    <row r="13" spans="1:13" s="13" customFormat="1" ht="15.6" x14ac:dyDescent="0.3">
      <c r="A13" s="14" t="s">
        <v>24</v>
      </c>
      <c r="B13" s="15" t="s">
        <v>6</v>
      </c>
      <c r="C13" s="16">
        <v>191</v>
      </c>
      <c r="D13" s="17">
        <v>234</v>
      </c>
      <c r="E13" s="18">
        <f t="shared" si="2"/>
        <v>44694</v>
      </c>
    </row>
    <row r="14" spans="1:13" s="13" customFormat="1" ht="15.6" x14ac:dyDescent="0.3">
      <c r="A14" s="14" t="s">
        <v>25</v>
      </c>
      <c r="B14" s="15" t="s">
        <v>6</v>
      </c>
      <c r="C14" s="16">
        <v>90</v>
      </c>
      <c r="D14" s="17">
        <v>84</v>
      </c>
      <c r="E14" s="18">
        <f t="shared" ref="E14" si="3">D14*C14</f>
        <v>7560</v>
      </c>
    </row>
    <row r="15" spans="1:13" ht="15.6" x14ac:dyDescent="0.3">
      <c r="A15" s="22" t="s">
        <v>19</v>
      </c>
      <c r="B15" s="6"/>
      <c r="C15" s="7"/>
      <c r="D15" s="7"/>
      <c r="E15" s="8"/>
    </row>
    <row r="16" spans="1:13" ht="46.8" x14ac:dyDescent="0.3">
      <c r="A16" s="19" t="s">
        <v>18</v>
      </c>
      <c r="B16" s="20" t="s">
        <v>6</v>
      </c>
      <c r="C16" s="21">
        <v>90</v>
      </c>
      <c r="D16" s="17">
        <v>126</v>
      </c>
      <c r="E16" s="18">
        <f t="shared" ref="E16" si="4">D16*C16</f>
        <v>11340</v>
      </c>
    </row>
    <row r="17" spans="1:5" s="12" customFormat="1" ht="28.2" customHeight="1" x14ac:dyDescent="0.3">
      <c r="A17" s="19" t="s">
        <v>31</v>
      </c>
      <c r="B17" s="20" t="s">
        <v>7</v>
      </c>
      <c r="C17" s="21">
        <v>40</v>
      </c>
      <c r="D17" s="17">
        <v>167</v>
      </c>
      <c r="E17" s="18">
        <f t="shared" ref="E17" si="5">D17*C17</f>
        <v>6680</v>
      </c>
    </row>
    <row r="18" spans="1:5" ht="12.6" customHeight="1" x14ac:dyDescent="0.3">
      <c r="A18" s="34" t="s">
        <v>8</v>
      </c>
      <c r="B18" s="33"/>
      <c r="C18" s="33"/>
      <c r="D18" s="35"/>
      <c r="E18" s="9">
        <f>SUM(E7:E17)</f>
        <v>230532</v>
      </c>
    </row>
    <row r="19" spans="1:5" ht="25.2" customHeight="1" x14ac:dyDescent="0.3">
      <c r="A19" s="32" t="s">
        <v>9</v>
      </c>
      <c r="B19" s="33"/>
      <c r="C19" s="33"/>
      <c r="D19" s="33"/>
      <c r="E19" s="33"/>
    </row>
    <row r="20" spans="1:5" ht="123.75" customHeight="1" x14ac:dyDescent="0.3">
      <c r="A20" s="24" t="s">
        <v>10</v>
      </c>
      <c r="B20" s="25"/>
      <c r="C20" s="25"/>
      <c r="D20" s="25"/>
      <c r="E20" s="25"/>
    </row>
    <row r="21" spans="1:5" ht="52.5" customHeight="1" x14ac:dyDescent="0.3">
      <c r="A21" s="10" t="s">
        <v>11</v>
      </c>
      <c r="B21" s="11"/>
      <c r="C21" s="26" t="s">
        <v>12</v>
      </c>
      <c r="D21" s="27"/>
      <c r="E21" s="27"/>
    </row>
    <row r="22" spans="1:5" ht="12.75" customHeight="1" x14ac:dyDescent="0.3"/>
    <row r="23" spans="1:5" ht="12.75" customHeight="1" x14ac:dyDescent="0.3"/>
    <row r="24" spans="1:5" ht="12.75" customHeight="1" x14ac:dyDescent="0.3"/>
    <row r="25" spans="1:5" ht="12.75" customHeight="1" x14ac:dyDescent="0.3"/>
    <row r="26" spans="1:5" ht="12.75" customHeight="1" x14ac:dyDescent="0.3"/>
    <row r="27" spans="1:5" ht="12.75" customHeight="1" x14ac:dyDescent="0.3"/>
    <row r="28" spans="1:5" ht="12.75" customHeight="1" x14ac:dyDescent="0.3"/>
    <row r="29" spans="1:5" ht="12.75" customHeight="1" x14ac:dyDescent="0.3"/>
    <row r="30" spans="1:5" ht="12.75" customHeight="1" x14ac:dyDescent="0.3"/>
    <row r="31" spans="1:5" ht="12.75" customHeight="1" x14ac:dyDescent="0.3"/>
    <row r="32" spans="1:5" ht="12.75" customHeight="1" x14ac:dyDescent="0.3"/>
    <row r="33" ht="12.75" customHeight="1" x14ac:dyDescent="0.3"/>
    <row r="34" ht="12.75" customHeight="1" x14ac:dyDescent="0.3"/>
    <row r="35" ht="12.75" customHeight="1" x14ac:dyDescent="0.3"/>
    <row r="36" ht="12.75" customHeight="1" x14ac:dyDescent="0.3"/>
    <row r="37" ht="12.75" customHeight="1" x14ac:dyDescent="0.3"/>
    <row r="38" ht="12.75" customHeight="1" x14ac:dyDescent="0.3"/>
    <row r="39" ht="12.75" customHeight="1" x14ac:dyDescent="0.3"/>
    <row r="40" ht="12.75" customHeight="1" x14ac:dyDescent="0.3"/>
    <row r="41" ht="12.75" customHeight="1" x14ac:dyDescent="0.3"/>
    <row r="42" ht="12.75" customHeight="1" x14ac:dyDescent="0.3"/>
    <row r="43" ht="12.75" customHeight="1" x14ac:dyDescent="0.3"/>
    <row r="44" ht="12.75" customHeight="1" x14ac:dyDescent="0.3"/>
    <row r="45" ht="12.75" customHeight="1" x14ac:dyDescent="0.3"/>
    <row r="46" ht="12.75" customHeight="1" x14ac:dyDescent="0.3"/>
    <row r="47" ht="12.75" customHeight="1" x14ac:dyDescent="0.3"/>
    <row r="48" ht="12.75" customHeight="1" x14ac:dyDescent="0.3"/>
    <row r="49" ht="12.75" customHeight="1" x14ac:dyDescent="0.3"/>
    <row r="50" ht="12.75" customHeight="1" x14ac:dyDescent="0.3"/>
    <row r="51" ht="12.75" customHeight="1" x14ac:dyDescent="0.3"/>
    <row r="52" ht="12.75" customHeight="1" x14ac:dyDescent="0.3"/>
    <row r="53" ht="12.75" customHeight="1" x14ac:dyDescent="0.3"/>
    <row r="54" ht="12.75" customHeight="1" x14ac:dyDescent="0.3"/>
    <row r="55" ht="12.75" customHeight="1" x14ac:dyDescent="0.3"/>
    <row r="56" ht="12.75" customHeight="1" x14ac:dyDescent="0.3"/>
    <row r="57" ht="12.75" customHeight="1" x14ac:dyDescent="0.3"/>
    <row r="58" ht="12.75" customHeight="1" x14ac:dyDescent="0.3"/>
    <row r="59" ht="12.75" customHeight="1" x14ac:dyDescent="0.3"/>
    <row r="60" ht="12.75" customHeight="1" x14ac:dyDescent="0.3"/>
    <row r="61" ht="12.75" customHeight="1" x14ac:dyDescent="0.3"/>
    <row r="62" ht="12.75" customHeight="1" x14ac:dyDescent="0.3"/>
  </sheetData>
  <mergeCells count="7">
    <mergeCell ref="A20:E20"/>
    <mergeCell ref="C21:E21"/>
    <mergeCell ref="A1:E1"/>
    <mergeCell ref="D2:E2"/>
    <mergeCell ref="A4:E4"/>
    <mergeCell ref="A19:E19"/>
    <mergeCell ref="A18:D18"/>
  </mergeCells>
  <conditionalFormatting sqref="A15:E15 A18:E18 A10:E10">
    <cfRule type="expression" dxfId="20" priority="64">
      <formula>$B10=0</formula>
    </cfRule>
  </conditionalFormatting>
  <conditionalFormatting sqref="A11:D11 E11:E14 A14 C14:D14 A12 C12:D12">
    <cfRule type="expression" dxfId="19" priority="63">
      <formula>$B11=0</formula>
    </cfRule>
  </conditionalFormatting>
  <conditionalFormatting sqref="E16">
    <cfRule type="expression" dxfId="18" priority="60">
      <formula>$B16=0</formula>
    </cfRule>
  </conditionalFormatting>
  <conditionalFormatting sqref="A16:C16">
    <cfRule type="expression" dxfId="17" priority="59">
      <formula>$B16=0</formula>
    </cfRule>
  </conditionalFormatting>
  <conditionalFormatting sqref="D16">
    <cfRule type="expression" dxfId="16" priority="58">
      <formula>$B16=0</formula>
    </cfRule>
  </conditionalFormatting>
  <conditionalFormatting sqref="E17">
    <cfRule type="expression" dxfId="15" priority="51">
      <formula>$B17=0</formula>
    </cfRule>
  </conditionalFormatting>
  <conditionalFormatting sqref="A17:C17">
    <cfRule type="expression" dxfId="14" priority="50">
      <formula>$B17=0</formula>
    </cfRule>
  </conditionalFormatting>
  <conditionalFormatting sqref="D17">
    <cfRule type="expression" dxfId="13" priority="49">
      <formula>$B17=0</formula>
    </cfRule>
  </conditionalFormatting>
  <conditionalFormatting sqref="A5:E6">
    <cfRule type="expression" dxfId="12" priority="48">
      <formula>$B5=0</formula>
    </cfRule>
  </conditionalFormatting>
  <conditionalFormatting sqref="E7">
    <cfRule type="expression" dxfId="11" priority="41">
      <formula>$B7=0</formula>
    </cfRule>
  </conditionalFormatting>
  <conditionalFormatting sqref="A9:C9">
    <cfRule type="expression" dxfId="10" priority="43">
      <formula>$B9=0</formula>
    </cfRule>
  </conditionalFormatting>
  <conditionalFormatting sqref="D9">
    <cfRule type="expression" dxfId="9" priority="42">
      <formula>$B9=0</formula>
    </cfRule>
  </conditionalFormatting>
  <conditionalFormatting sqref="A7:C7">
    <cfRule type="expression" dxfId="8" priority="40">
      <formula>$B7=0</formula>
    </cfRule>
  </conditionalFormatting>
  <conditionalFormatting sqref="D7">
    <cfRule type="expression" dxfId="7" priority="39">
      <formula>$B7=0</formula>
    </cfRule>
  </conditionalFormatting>
  <conditionalFormatting sqref="A13 C13">
    <cfRule type="expression" dxfId="6" priority="34">
      <formula>$B13=0</formula>
    </cfRule>
  </conditionalFormatting>
  <conditionalFormatting sqref="D13">
    <cfRule type="expression" dxfId="5" priority="33">
      <formula>$B13=0</formula>
    </cfRule>
  </conditionalFormatting>
  <conditionalFormatting sqref="E9">
    <cfRule type="expression" dxfId="4" priority="23">
      <formula>$B9=0</formula>
    </cfRule>
  </conditionalFormatting>
  <conditionalFormatting sqref="E8">
    <cfRule type="expression" dxfId="3" priority="4">
      <formula>$B8=0</formula>
    </cfRule>
  </conditionalFormatting>
  <conditionalFormatting sqref="A8:C8">
    <cfRule type="expression" dxfId="2" priority="3">
      <formula>$B8=0</formula>
    </cfRule>
  </conditionalFormatting>
  <conditionalFormatting sqref="D8">
    <cfRule type="expression" dxfId="1" priority="2">
      <formula>$B8=0</formula>
    </cfRule>
  </conditionalFormatting>
  <conditionalFormatting sqref="B12:B14">
    <cfRule type="expression" dxfId="0" priority="1">
      <formula>$B12=0</formula>
    </cfRule>
  </conditionalFormatting>
  <pageMargins left="0.7" right="0.7" top="0.75" bottom="0.75" header="0" footer="0"/>
  <pageSetup paperSize="9" fitToHeight="0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79994</dc:creator>
  <cp:lastModifiedBy>*</cp:lastModifiedBy>
  <cp:lastPrinted>2025-04-26T07:29:43Z</cp:lastPrinted>
  <dcterms:created xsi:type="dcterms:W3CDTF">2025-02-07T10:13:46Z</dcterms:created>
  <dcterms:modified xsi:type="dcterms:W3CDTF">2025-11-25T13:57:32Z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2024-12-04T00:00:00Z</vt:filetime>
  </property>
  <property fmtid="{D5CDD505-2E9C-101B-9397-08002B2CF9AE}" pid="3" name="Creator">
    <vt:lpwstr>Microsoft® Excel® 2021</vt:lpwstr>
  </property>
  <property fmtid="{D5CDD505-2E9C-101B-9397-08002B2CF9AE}" pid="4" name="LastSaved">
    <vt:filetime>2025-02-07T00:00:00Z</vt:filetime>
  </property>
  <property fmtid="{D5CDD505-2E9C-101B-9397-08002B2CF9AE}" pid="5" name="Producer">
    <vt:lpwstr>Microsoft® Excel® 2021</vt:lpwstr>
  </property>
</Properties>
</file>