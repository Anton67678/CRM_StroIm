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8996" windowHeight="9780"/>
  </bookViews>
  <sheets>
    <sheet name="Table 1" sheetId="1" r:id="rId1"/>
  </sheets>
  <calcPr calcId="162913"/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M6" i="1" l="1"/>
  <c r="L6" i="1"/>
  <c r="K6" i="1"/>
  <c r="J5" i="1"/>
  <c r="J4" i="1"/>
  <c r="I2" i="1"/>
  <c r="I3" i="1"/>
  <c r="J3" i="1"/>
  <c r="J2" i="1"/>
  <c r="I6" i="1" l="1"/>
  <c r="J6" i="1"/>
</calcChain>
</file>

<file path=xl/sharedStrings.xml><?xml version="1.0" encoding="utf-8"?>
<sst xmlns="http://schemas.openxmlformats.org/spreadsheetml/2006/main" count="36" uniqueCount="32">
  <si>
    <r>
      <rPr>
        <b/>
        <sz val="9"/>
        <rFont val="Times New Roman"/>
        <family val="1"/>
        <charset val="204"/>
      </rPr>
      <t>г. Москва</t>
    </r>
  </si>
  <si>
    <r>
      <rPr>
        <sz val="9"/>
        <rFont val="Times New Roman"/>
        <family val="1"/>
        <charset val="204"/>
      </rPr>
      <t>"Подрядчик" с одной стороны и "Заказчик" с другой стороны, составили настоящий Акт о том, что "Подрядчиком" выполнены, а "Заказчиком" приняты Работы в соответствии с Договором</t>
    </r>
  </si>
  <si>
    <t>ед. изм.</t>
  </si>
  <si>
    <t>кол-во</t>
  </si>
  <si>
    <t>цена</t>
  </si>
  <si>
    <t>сумма</t>
  </si>
  <si>
    <r>
      <rPr>
        <b/>
        <sz val="12"/>
        <rFont val="Times New Roman"/>
        <family val="1"/>
        <charset val="204"/>
      </rPr>
      <t>Стены</t>
    </r>
  </si>
  <si>
    <t>м2</t>
  </si>
  <si>
    <t>Черновые отделочные работы</t>
  </si>
  <si>
    <t>Устройство временного освещения и розеток на время рем работ</t>
  </si>
  <si>
    <t>шт</t>
  </si>
  <si>
    <t>ИТОГО. СТОИМОСТЬ РАБОТ</t>
  </si>
  <si>
    <r>
      <rPr>
        <sz val="9"/>
        <rFont val="Times New Roman"/>
        <family val="1"/>
        <charset val="204"/>
      </rPr>
      <t>Работы выполнены качественно. Претензий к качеству Работ Заказчик не имеет. В случае наличия замечаний, стороны оформляют Акт выявленных недостатков при приемке работ.</t>
    </r>
  </si>
  <si>
    <r>
      <rPr>
        <sz val="9"/>
        <color rgb="FF000000"/>
        <rFont val="Times New Roman"/>
        <family val="1"/>
        <charset val="204"/>
      </rPr>
      <t xml:space="preserve">Претензии по гарантийному ремонту не принимаются в следующих случаях:
</t>
    </r>
    <r>
      <rPr>
        <sz val="9"/>
        <color rgb="FF000000"/>
        <rFont val="Times New Roman"/>
        <family val="1"/>
        <charset val="204"/>
      </rPr>
      <t xml:space="preserve">1) после истечения гарантийного срока;
</t>
    </r>
    <r>
      <rPr>
        <sz val="9"/>
        <color rgb="FF000000"/>
        <rFont val="Times New Roman"/>
        <family val="1"/>
        <charset val="204"/>
      </rPr>
      <t xml:space="preserve">2) при неправильной эксплуатации отремонтированного помещения;
</t>
    </r>
    <r>
      <rPr>
        <sz val="9"/>
        <color rgb="FF000000"/>
        <rFont val="Times New Roman"/>
        <family val="1"/>
        <charset val="204"/>
      </rPr>
      <t xml:space="preserve">3) нормального износа объекта, а также на расходные материалы (фильтры, лампы и т.д.);
</t>
    </r>
    <r>
      <rPr>
        <sz val="9"/>
        <color rgb="FF000000"/>
        <rFont val="Times New Roman"/>
        <family val="1"/>
        <charset val="204"/>
      </rPr>
      <t xml:space="preserve">4) ненадлежащего ремонта, переделки или преднамеренного повреждения объекта Заказчиком;
</t>
    </r>
    <r>
      <rPr>
        <sz val="9"/>
        <color rgb="FF000000"/>
        <rFont val="Times New Roman"/>
        <family val="1"/>
        <charset val="204"/>
      </rPr>
      <t xml:space="preserve">5) при появлении дефектов на поверхностях и в их структуре, вызванных внешними воздействиями;
</t>
    </r>
    <r>
      <rPr>
        <sz val="9"/>
        <color rgb="FF000000"/>
        <rFont val="Times New Roman"/>
        <family val="1"/>
        <charset val="204"/>
      </rPr>
      <t xml:space="preserve">6) по причинам, не зависящим от Подрядчика, таким как: оседание зданий, скрытые строительные дефекты, относящиеся к деятельности третьих лиц, и т.д.;
</t>
    </r>
    <r>
      <rPr>
        <sz val="9"/>
        <color rgb="FF000000"/>
        <rFont val="Times New Roman"/>
        <family val="1"/>
        <charset val="204"/>
      </rPr>
      <t>7) в случае выполнения какого-либо действия третьими лицами до или после момента подписания данного Акта, Подрядчик не берет на себя ответственность за последствия данного действия.</t>
    </r>
  </si>
  <si>
    <r>
      <rPr>
        <sz val="9"/>
        <color rgb="FF000000"/>
        <rFont val="Times New Roman"/>
        <family val="1"/>
        <charset val="204"/>
      </rPr>
      <t xml:space="preserve">Работу сдал, от Подрядчика:
</t>
    </r>
    <r>
      <rPr>
        <sz val="9"/>
        <color rgb="FF000000"/>
        <rFont val="Times New Roman"/>
        <family val="1"/>
        <charset val="204"/>
      </rPr>
      <t>(подпись Подрядчика)</t>
    </r>
  </si>
  <si>
    <r>
      <rPr>
        <sz val="9"/>
        <color rgb="FF000000"/>
        <rFont val="Times New Roman"/>
        <family val="1"/>
        <charset val="204"/>
      </rPr>
      <t xml:space="preserve">Работу принял, от Заказчика:
</t>
    </r>
    <r>
      <rPr>
        <sz val="9"/>
        <color rgb="FF000000"/>
        <rFont val="Times New Roman"/>
        <family val="1"/>
        <charset val="204"/>
      </rPr>
      <t>(подпись Заказчика)</t>
    </r>
  </si>
  <si>
    <t>пол</t>
  </si>
  <si>
    <t>стены</t>
  </si>
  <si>
    <t>откосы</t>
  </si>
  <si>
    <t>гкл</t>
  </si>
  <si>
    <t>периметр</t>
  </si>
  <si>
    <t>"30" июля 2025г.</t>
  </si>
  <si>
    <t>Адрес объекта:  Причальный проезд 10к2</t>
  </si>
  <si>
    <t>Защита поверхностей, двери, ручек, МОПов, укрытие пленкой окон и необходимых поверхностей</t>
  </si>
  <si>
    <t>Подготовительные работы</t>
  </si>
  <si>
    <t>Устройство временного водоснабжения на время рем работ</t>
  </si>
  <si>
    <t>комплекс</t>
  </si>
  <si>
    <t>Просушка помещения</t>
  </si>
  <si>
    <t xml:space="preserve">Кладка стен из пеноблоков </t>
  </si>
  <si>
    <t xml:space="preserve">Армирование проемов арматурой </t>
  </si>
  <si>
    <t xml:space="preserve">Устройство дверного проёма в возведенных стенах </t>
  </si>
  <si>
    <t>АКТ №1
СДАЧИ-ПРИЕМКИ ВЫПОЛНЕННЫХ РАБОТ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</si>
</sst>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Calibri"/>
      <scheme val="minor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Calibri"/>
      <family val="2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35">
    <xf numFmtId="0" fontId="0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 wrapText="1"/>
    </xf>
    <xf numFmtId="4" fontId="6" fillId="2" borderId="2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4" fontId="7" fillId="0" borderId="2" xfId="0" applyNumberFormat="1" applyFont="1" applyBorder="1" applyAlignment="1">
      <alignment horizontal="left" vertical="center" wrapText="1"/>
    </xf>
    <xf numFmtId="4" fontId="7" fillId="0" borderId="2" xfId="0" applyNumberFormat="1" applyFont="1" applyBorder="1" applyAlignment="1">
      <alignment horizontal="center" vertical="center" wrapText="1"/>
    </xf>
    <xf numFmtId="4" fontId="7" fillId="0" borderId="2" xfId="0" applyNumberFormat="1" applyFont="1" applyBorder="1" applyAlignment="1">
      <alignment horizontal="right" vertical="center" wrapText="1"/>
    </xf>
    <xf numFmtId="4" fontId="8" fillId="2" borderId="2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7" fillId="2" borderId="3" xfId="0" applyFont="1" applyFill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/>
    </xf>
    <xf numFmtId="0" fontId="3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10" fillId="3" borderId="7" xfId="0" applyFont="1" applyFill="1" applyBorder="1" applyAlignment="1">
      <alignment horizontal="left" wrapText="1"/>
    </xf>
    <xf numFmtId="4" fontId="10" fillId="3" borderId="7" xfId="0" applyNumberFormat="1" applyFont="1" applyFill="1" applyBorder="1" applyAlignment="1">
      <alignment horizontal="left" wrapText="1"/>
    </xf>
    <xf numFmtId="4" fontId="10" fillId="3" borderId="7" xfId="0" applyNumberFormat="1" applyFont="1" applyFill="1" applyBorder="1" applyAlignment="1">
      <alignment horizontal="center" wrapText="1"/>
    </xf>
    <xf numFmtId="4" fontId="11" fillId="3" borderId="7" xfId="0" applyNumberFormat="1" applyFont="1" applyFill="1" applyBorder="1" applyAlignment="1">
      <alignment horizontal="center" vertical="center" wrapText="1"/>
    </xf>
    <xf numFmtId="4" fontId="11" fillId="3" borderId="7" xfId="0" applyNumberFormat="1" applyFont="1" applyFill="1" applyBorder="1" applyAlignment="1">
      <alignment horizontal="right" vertical="center" wrapText="1"/>
    </xf>
    <xf numFmtId="0" fontId="10" fillId="3" borderId="7" xfId="0" applyFont="1" applyFill="1" applyBorder="1" applyAlignment="1">
      <alignment horizontal="left" vertical="center" wrapText="1"/>
    </xf>
    <xf numFmtId="4" fontId="10" fillId="3" borderId="7" xfId="0" applyNumberFormat="1" applyFont="1" applyFill="1" applyBorder="1" applyAlignment="1">
      <alignment horizontal="left" vertical="center" wrapText="1"/>
    </xf>
    <xf numFmtId="4" fontId="10" fillId="3" borderId="7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16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 patternType="solid">
          <fgColor rgb="FFDDD9C3"/>
          <bgColor rgb="FFDDD9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552450</xdr:colOff>
      <xdr:row>4</xdr:row>
      <xdr:rowOff>0</xdr:rowOff>
    </xdr:from>
    <xdr:ext cx="1724025" cy="0"/>
    <xdr:sp macro="" textlink="">
      <xdr:nvSpPr>
        <xdr:cNvPr id="2" name="Shape 2">
          <a:extLst/>
        </xdr:cNvPr>
        <xdr:cNvSpPr/>
      </xdr:nvSpPr>
      <xdr:spPr>
        <a:xfrm>
          <a:off x="0" y="0"/>
          <a:ext cx="1724025" cy="0"/>
        </a:xfrm>
        <a:custGeom>
          <a:avLst/>
          <a:gdLst/>
          <a:ahLst/>
          <a:cxnLst/>
          <a:rect l="0" t="0" r="0" b="0"/>
          <a:pathLst>
            <a:path w="1724025">
              <a:moveTo>
                <a:pt x="0" y="0"/>
              </a:moveTo>
              <a:lnTo>
                <a:pt x="1723644" y="0"/>
              </a:lnTo>
            </a:path>
          </a:pathLst>
        </a:custGeom>
        <a:ln w="4825">
          <a:solidFill>
            <a:srgbClr val="000000"/>
          </a:solidFill>
        </a:ln>
      </xdr:spPr>
    </xdr:sp>
    <xdr:clientData fLocksWithSheet="0"/>
  </xdr:oneCellAnchor>
  <xdr:oneCellAnchor>
    <xdr:from>
      <xdr:col>0</xdr:col>
      <xdr:colOff>552450</xdr:colOff>
      <xdr:row>4</xdr:row>
      <xdr:rowOff>0</xdr:rowOff>
    </xdr:from>
    <xdr:ext cx="1724025" cy="0"/>
    <xdr:sp macro="" textlink="">
      <xdr:nvSpPr>
        <xdr:cNvPr id="3" name="Shape 3">
          <a:extLst/>
        </xdr:cNvPr>
        <xdr:cNvSpPr/>
      </xdr:nvSpPr>
      <xdr:spPr>
        <a:xfrm>
          <a:off x="0" y="0"/>
          <a:ext cx="1724025" cy="0"/>
        </a:xfrm>
        <a:custGeom>
          <a:avLst/>
          <a:gdLst/>
          <a:ahLst/>
          <a:cxnLst/>
          <a:rect l="0" t="0" r="0" b="0"/>
          <a:pathLst>
            <a:path w="1724025">
              <a:moveTo>
                <a:pt x="0" y="0"/>
              </a:moveTo>
              <a:lnTo>
                <a:pt x="1723644" y="0"/>
              </a:lnTo>
            </a:path>
          </a:pathLst>
        </a:custGeom>
        <a:ln w="4825">
          <a:solidFill>
            <a:srgbClr val="000000"/>
          </a:solidFill>
        </a:ln>
      </xdr:spPr>
    </xdr:sp>
    <xdr:clientData fLocksWithSheet="0"/>
  </xdr:oneCellAnchor>
  <xdr:oneCellAnchor>
    <xdr:from>
      <xdr:col>2</xdr:col>
      <xdr:colOff>266700</xdr:colOff>
      <xdr:row>4</xdr:row>
      <xdr:rowOff>0</xdr:rowOff>
    </xdr:from>
    <xdr:ext cx="1600200" cy="0"/>
    <xdr:sp macro="" textlink="">
      <xdr:nvSpPr>
        <xdr:cNvPr id="4" name="Shape 4">
          <a:extLst/>
        </xdr:cNvPr>
        <xdr:cNvSpPr/>
      </xdr:nvSpPr>
      <xdr:spPr>
        <a:xfrm>
          <a:off x="0" y="0"/>
          <a:ext cx="1605280" cy="0"/>
        </a:xfrm>
        <a:custGeom>
          <a:avLst/>
          <a:gdLst/>
          <a:ahLst/>
          <a:cxnLst/>
          <a:rect l="0" t="0" r="0" b="0"/>
          <a:pathLst>
            <a:path w="1605280">
              <a:moveTo>
                <a:pt x="0" y="0"/>
              </a:moveTo>
              <a:lnTo>
                <a:pt x="1604772" y="0"/>
              </a:lnTo>
            </a:path>
          </a:pathLst>
        </a:custGeom>
        <a:ln w="4825">
          <a:solidFill>
            <a:srgbClr val="000000"/>
          </a:solidFill>
        </a:ln>
      </xdr:spPr>
    </xdr:sp>
    <xdr:clientData fLocksWithSheet="0"/>
  </xdr:oneCellAnchor>
  <xdr:oneCellAnchor>
    <xdr:from>
      <xdr:col>2</xdr:col>
      <xdr:colOff>266700</xdr:colOff>
      <xdr:row>4</xdr:row>
      <xdr:rowOff>0</xdr:rowOff>
    </xdr:from>
    <xdr:ext cx="1600200" cy="0"/>
    <xdr:sp macro="" textlink="">
      <xdr:nvSpPr>
        <xdr:cNvPr id="5" name="Shape 5">
          <a:extLst/>
        </xdr:cNvPr>
        <xdr:cNvSpPr/>
      </xdr:nvSpPr>
      <xdr:spPr>
        <a:xfrm>
          <a:off x="0" y="0"/>
          <a:ext cx="1605280" cy="0"/>
        </a:xfrm>
        <a:custGeom>
          <a:avLst/>
          <a:gdLst/>
          <a:ahLst/>
          <a:cxnLst/>
          <a:rect l="0" t="0" r="0" b="0"/>
          <a:pathLst>
            <a:path w="1605280">
              <a:moveTo>
                <a:pt x="0" y="0"/>
              </a:moveTo>
              <a:lnTo>
                <a:pt x="1604772" y="0"/>
              </a:lnTo>
            </a:path>
          </a:pathLst>
        </a:custGeom>
        <a:ln w="4825">
          <a:solidFill>
            <a:srgbClr val="000000"/>
          </a:solidFill>
        </a:ln>
      </xdr:spPr>
    </xdr:sp>
    <xdr:clientData fLocksWithSheet="0"/>
  </xdr:oneCellAnchor>
  <xdr:oneCellAnchor>
    <xdr:from>
      <xdr:col>0</xdr:col>
      <xdr:colOff>552450</xdr:colOff>
      <xdr:row>14</xdr:row>
      <xdr:rowOff>0</xdr:rowOff>
    </xdr:from>
    <xdr:ext cx="1724025" cy="0"/>
    <xdr:sp macro="" textlink="">
      <xdr:nvSpPr>
        <xdr:cNvPr id="6" name="Shape 2">
          <a:extLst/>
        </xdr:cNvPr>
        <xdr:cNvSpPr/>
      </xdr:nvSpPr>
      <xdr:spPr>
        <a:xfrm>
          <a:off x="554659" y="2971800"/>
          <a:ext cx="1724025" cy="0"/>
        </a:xfrm>
        <a:custGeom>
          <a:avLst/>
          <a:gdLst/>
          <a:ahLst/>
          <a:cxnLst/>
          <a:rect l="0" t="0" r="0" b="0"/>
          <a:pathLst>
            <a:path w="1724025">
              <a:moveTo>
                <a:pt x="0" y="0"/>
              </a:moveTo>
              <a:lnTo>
                <a:pt x="1723644" y="0"/>
              </a:lnTo>
            </a:path>
          </a:pathLst>
        </a:custGeom>
        <a:ln w="4825">
          <a:solidFill>
            <a:srgbClr val="000000"/>
          </a:solidFill>
        </a:ln>
      </xdr:spPr>
    </xdr:sp>
    <xdr:clientData fLocksWithSheet="0"/>
  </xdr:oneCellAnchor>
  <xdr:oneCellAnchor>
    <xdr:from>
      <xdr:col>0</xdr:col>
      <xdr:colOff>552450</xdr:colOff>
      <xdr:row>17</xdr:row>
      <xdr:rowOff>504825</xdr:rowOff>
    </xdr:from>
    <xdr:ext cx="1724025" cy="0"/>
    <xdr:sp macro="" textlink="">
      <xdr:nvSpPr>
        <xdr:cNvPr id="7" name="Shape 3">
          <a:extLst/>
        </xdr:cNvPr>
        <xdr:cNvSpPr/>
      </xdr:nvSpPr>
      <xdr:spPr>
        <a:xfrm>
          <a:off x="554659" y="5932573"/>
          <a:ext cx="1724025" cy="0"/>
        </a:xfrm>
        <a:custGeom>
          <a:avLst/>
          <a:gdLst/>
          <a:ahLst/>
          <a:cxnLst/>
          <a:rect l="0" t="0" r="0" b="0"/>
          <a:pathLst>
            <a:path w="1724025">
              <a:moveTo>
                <a:pt x="0" y="0"/>
              </a:moveTo>
              <a:lnTo>
                <a:pt x="1723644" y="0"/>
              </a:lnTo>
            </a:path>
          </a:pathLst>
        </a:custGeom>
        <a:ln w="4825">
          <a:solidFill>
            <a:srgbClr val="000000"/>
          </a:solidFill>
        </a:ln>
      </xdr:spPr>
    </xdr:sp>
    <xdr:clientData fLocksWithSheet="0"/>
  </xdr:oneCellAnchor>
  <xdr:oneCellAnchor>
    <xdr:from>
      <xdr:col>2</xdr:col>
      <xdr:colOff>266700</xdr:colOff>
      <xdr:row>14</xdr:row>
      <xdr:rowOff>0</xdr:rowOff>
    </xdr:from>
    <xdr:ext cx="1600200" cy="0"/>
    <xdr:sp macro="" textlink="">
      <xdr:nvSpPr>
        <xdr:cNvPr id="8" name="Shape 4">
          <a:extLst/>
        </xdr:cNvPr>
        <xdr:cNvSpPr/>
      </xdr:nvSpPr>
      <xdr:spPr>
        <a:xfrm>
          <a:off x="3872484" y="5781697"/>
          <a:ext cx="1605280" cy="0"/>
        </a:xfrm>
        <a:custGeom>
          <a:avLst/>
          <a:gdLst/>
          <a:ahLst/>
          <a:cxnLst/>
          <a:rect l="0" t="0" r="0" b="0"/>
          <a:pathLst>
            <a:path w="1605280">
              <a:moveTo>
                <a:pt x="0" y="0"/>
              </a:moveTo>
              <a:lnTo>
                <a:pt x="1604772" y="0"/>
              </a:lnTo>
            </a:path>
          </a:pathLst>
        </a:custGeom>
        <a:ln w="4825">
          <a:solidFill>
            <a:srgbClr val="000000"/>
          </a:solidFill>
        </a:ln>
      </xdr:spPr>
    </xdr:sp>
    <xdr:clientData fLocksWithSheet="0"/>
  </xdr:oneCellAnchor>
  <xdr:oneCellAnchor>
    <xdr:from>
      <xdr:col>2</xdr:col>
      <xdr:colOff>266700</xdr:colOff>
      <xdr:row>17</xdr:row>
      <xdr:rowOff>504825</xdr:rowOff>
    </xdr:from>
    <xdr:ext cx="1600200" cy="0"/>
    <xdr:sp macro="" textlink="">
      <xdr:nvSpPr>
        <xdr:cNvPr id="9" name="Shape 5">
          <a:extLst/>
        </xdr:cNvPr>
        <xdr:cNvSpPr/>
      </xdr:nvSpPr>
      <xdr:spPr>
        <a:xfrm>
          <a:off x="3872484" y="5932573"/>
          <a:ext cx="1605280" cy="0"/>
        </a:xfrm>
        <a:custGeom>
          <a:avLst/>
          <a:gdLst/>
          <a:ahLst/>
          <a:cxnLst/>
          <a:rect l="0" t="0" r="0" b="0"/>
          <a:pathLst>
            <a:path w="1605280">
              <a:moveTo>
                <a:pt x="0" y="0"/>
              </a:moveTo>
              <a:lnTo>
                <a:pt x="1604772" y="0"/>
              </a:lnTo>
            </a:path>
          </a:pathLst>
        </a:custGeom>
        <a:ln w="4825">
          <a:solidFill>
            <a:srgbClr val="000000"/>
          </a:solidFill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9"/>
  <sheetViews>
    <sheetView tabSelected="1" workbookViewId="0">
      <selection sqref="A1:E1"/>
    </sheetView>
  </sheetViews>
  <sheetFormatPr defaultColWidth="14.44140625" defaultRowHeight="15" customHeight="1" x14ac:dyDescent="0.3"/>
  <cols>
    <col min="1" max="1" width="50.88671875" customWidth="1"/>
    <col min="2" max="2" width="7.44140625" customWidth="1"/>
    <col min="3" max="3" width="10.44140625" customWidth="1"/>
    <col min="4" max="4" width="15.109375" customWidth="1"/>
    <col min="5" max="5" width="14" customWidth="1"/>
    <col min="6" max="6" width="8.6640625" customWidth="1"/>
    <col min="7" max="8" width="8.6640625" hidden="1" customWidth="1"/>
    <col min="9" max="9" width="16.21875" hidden="1" customWidth="1"/>
    <col min="10" max="10" width="13.33203125" hidden="1" customWidth="1"/>
    <col min="11" max="11" width="14.109375" hidden="1" customWidth="1"/>
    <col min="12" max="13" width="0" hidden="1" customWidth="1"/>
  </cols>
  <sheetData>
    <row r="1" spans="1:13" ht="28.5" customHeight="1" x14ac:dyDescent="0.3">
      <c r="A1" s="22" t="s">
        <v>31</v>
      </c>
      <c r="B1" s="21"/>
      <c r="C1" s="21"/>
      <c r="D1" s="21"/>
      <c r="E1" s="21"/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 ht="12.75" customHeight="1" x14ac:dyDescent="0.25">
      <c r="A2" s="1" t="s">
        <v>0</v>
      </c>
      <c r="B2" s="2"/>
      <c r="C2" s="2"/>
      <c r="D2" s="23" t="s">
        <v>21</v>
      </c>
      <c r="E2" s="21"/>
      <c r="I2">
        <f>7.61+0.51</f>
        <v>8.120000000000001</v>
      </c>
      <c r="J2">
        <f>12.24*2.65-2.25+2.65*3</f>
        <v>38.135999999999996</v>
      </c>
      <c r="M2">
        <v>12.24</v>
      </c>
    </row>
    <row r="3" spans="1:13" ht="12.75" customHeight="1" x14ac:dyDescent="0.25">
      <c r="A3" s="3" t="s">
        <v>22</v>
      </c>
      <c r="B3" s="2"/>
      <c r="C3" s="2"/>
      <c r="D3" s="2"/>
      <c r="E3" s="2"/>
      <c r="I3">
        <f>6.35+2.78+0.3</f>
        <v>9.43</v>
      </c>
      <c r="J3">
        <f>13.67*2.65-2.74-3.4-4</f>
        <v>26.085499999999996</v>
      </c>
      <c r="K3">
        <v>4.8</v>
      </c>
      <c r="M3">
        <v>13.67</v>
      </c>
    </row>
    <row r="4" spans="1:13" ht="25.5" customHeight="1" x14ac:dyDescent="0.3">
      <c r="A4" s="24" t="s">
        <v>1</v>
      </c>
      <c r="B4" s="25"/>
      <c r="C4" s="25"/>
      <c r="D4" s="25"/>
      <c r="E4" s="25"/>
      <c r="I4">
        <v>17.010000000000002</v>
      </c>
      <c r="J4">
        <f>16.51*2.65-2.74-3.2</f>
        <v>37.811499999999995</v>
      </c>
      <c r="K4">
        <v>5.0999999999999996</v>
      </c>
      <c r="L4">
        <v>4</v>
      </c>
      <c r="M4">
        <v>16.510000000000002</v>
      </c>
    </row>
    <row r="5" spans="1:13" ht="12.75" customHeight="1" x14ac:dyDescent="0.3">
      <c r="A5" s="4" t="s">
        <v>8</v>
      </c>
      <c r="B5" s="5" t="s">
        <v>2</v>
      </c>
      <c r="C5" s="5" t="s">
        <v>3</v>
      </c>
      <c r="D5" s="5" t="s">
        <v>4</v>
      </c>
      <c r="E5" s="5" t="s">
        <v>5</v>
      </c>
      <c r="I5">
        <v>13.05</v>
      </c>
      <c r="J5">
        <f>14.88*2.65-1.7-3.1</f>
        <v>34.631999999999998</v>
      </c>
      <c r="K5">
        <v>6.42</v>
      </c>
      <c r="L5">
        <v>2.83</v>
      </c>
      <c r="M5">
        <v>14.88</v>
      </c>
    </row>
    <row r="6" spans="1:13" ht="15.6" x14ac:dyDescent="0.3">
      <c r="A6" s="6" t="s">
        <v>6</v>
      </c>
      <c r="B6" s="7"/>
      <c r="C6" s="8"/>
      <c r="D6" s="8"/>
      <c r="E6" s="9"/>
      <c r="I6">
        <f>SUM(I2:I5)</f>
        <v>47.61</v>
      </c>
      <c r="J6">
        <f t="shared" ref="J6" si="0">SUM(J2:J5)</f>
        <v>136.66499999999999</v>
      </c>
      <c r="K6">
        <f>SUM(K2:K5)</f>
        <v>16.32</v>
      </c>
      <c r="L6">
        <f>SUM(L2:L5)</f>
        <v>6.83</v>
      </c>
      <c r="M6">
        <f>SUM(M2:M5)</f>
        <v>57.300000000000004</v>
      </c>
    </row>
    <row r="7" spans="1:13" ht="15.6" x14ac:dyDescent="0.3">
      <c r="A7" s="26" t="s">
        <v>28</v>
      </c>
      <c r="B7" s="27" t="s">
        <v>7</v>
      </c>
      <c r="C7" s="28">
        <v>79</v>
      </c>
      <c r="D7" s="29">
        <v>1131.6690000000001</v>
      </c>
      <c r="E7" s="30">
        <v>85837.093649999995</v>
      </c>
    </row>
    <row r="8" spans="1:13" ht="15.6" x14ac:dyDescent="0.3">
      <c r="A8" s="26" t="s">
        <v>29</v>
      </c>
      <c r="B8" s="27" t="s">
        <v>10</v>
      </c>
      <c r="C8" s="28">
        <v>7</v>
      </c>
      <c r="D8" s="29">
        <v>1417.5</v>
      </c>
      <c r="E8" s="30">
        <v>9922.5</v>
      </c>
    </row>
    <row r="9" spans="1:13" ht="15.6" x14ac:dyDescent="0.3">
      <c r="A9" s="26" t="s">
        <v>30</v>
      </c>
      <c r="B9" s="27" t="s">
        <v>10</v>
      </c>
      <c r="C9" s="28">
        <v>7</v>
      </c>
      <c r="D9" s="29">
        <v>1837.5</v>
      </c>
      <c r="E9" s="30">
        <v>12862.5</v>
      </c>
    </row>
    <row r="10" spans="1:13" ht="15.6" x14ac:dyDescent="0.3">
      <c r="A10" s="34" t="s">
        <v>24</v>
      </c>
      <c r="B10" s="7"/>
      <c r="C10" s="8"/>
      <c r="D10" s="8"/>
      <c r="E10" s="9"/>
    </row>
    <row r="11" spans="1:13" ht="46.8" x14ac:dyDescent="0.3">
      <c r="A11" s="31" t="s">
        <v>23</v>
      </c>
      <c r="B11" s="32" t="s">
        <v>7</v>
      </c>
      <c r="C11" s="33">
        <v>66.67</v>
      </c>
      <c r="D11" s="29">
        <v>110.25</v>
      </c>
      <c r="E11" s="30">
        <f t="shared" ref="E11" si="1">D11*C11</f>
        <v>7350.3675000000003</v>
      </c>
    </row>
    <row r="12" spans="1:13" s="13" customFormat="1" ht="31.2" x14ac:dyDescent="0.3">
      <c r="A12" s="31" t="s">
        <v>9</v>
      </c>
      <c r="B12" s="32" t="s">
        <v>26</v>
      </c>
      <c r="C12" s="33">
        <v>1</v>
      </c>
      <c r="D12" s="29">
        <v>4500</v>
      </c>
      <c r="E12" s="30">
        <f t="shared" ref="E12" si="2">D12*C12</f>
        <v>4500</v>
      </c>
    </row>
    <row r="13" spans="1:13" s="13" customFormat="1" ht="31.2" x14ac:dyDescent="0.3">
      <c r="A13" s="31" t="s">
        <v>25</v>
      </c>
      <c r="B13" s="32" t="s">
        <v>26</v>
      </c>
      <c r="C13" s="33">
        <v>1</v>
      </c>
      <c r="D13" s="29">
        <v>2200</v>
      </c>
      <c r="E13" s="30">
        <f t="shared" ref="E13" si="3">D13*C13</f>
        <v>2200</v>
      </c>
    </row>
    <row r="14" spans="1:13" s="13" customFormat="1" ht="28.2" customHeight="1" x14ac:dyDescent="0.3">
      <c r="A14" s="31" t="s">
        <v>27</v>
      </c>
      <c r="B14" s="32" t="s">
        <v>26</v>
      </c>
      <c r="C14" s="33">
        <v>1</v>
      </c>
      <c r="D14" s="29">
        <v>10000</v>
      </c>
      <c r="E14" s="30">
        <f t="shared" ref="E14" si="4">D14*C14</f>
        <v>10000</v>
      </c>
    </row>
    <row r="15" spans="1:13" ht="12.6" customHeight="1" x14ac:dyDescent="0.3">
      <c r="A15" s="17" t="s">
        <v>11</v>
      </c>
      <c r="B15" s="15"/>
      <c r="C15" s="15"/>
      <c r="D15" s="16"/>
      <c r="E15" s="10">
        <f>SUM(E7:E14)</f>
        <v>132672.46114999999</v>
      </c>
    </row>
    <row r="16" spans="1:13" ht="25.2" customHeight="1" x14ac:dyDescent="0.3">
      <c r="A16" s="14" t="s">
        <v>12</v>
      </c>
      <c r="B16" s="15"/>
      <c r="C16" s="15"/>
      <c r="D16" s="15"/>
      <c r="E16" s="15"/>
    </row>
    <row r="17" spans="1:5" ht="123.75" customHeight="1" x14ac:dyDescent="0.3">
      <c r="A17" s="18" t="s">
        <v>13</v>
      </c>
      <c r="B17" s="19"/>
      <c r="C17" s="19"/>
      <c r="D17" s="19"/>
      <c r="E17" s="19"/>
    </row>
    <row r="18" spans="1:5" ht="52.5" customHeight="1" x14ac:dyDescent="0.3">
      <c r="A18" s="11" t="s">
        <v>14</v>
      </c>
      <c r="B18" s="12"/>
      <c r="C18" s="20" t="s">
        <v>15</v>
      </c>
      <c r="D18" s="21"/>
      <c r="E18" s="21"/>
    </row>
    <row r="19" spans="1:5" ht="12.75" customHeight="1" x14ac:dyDescent="0.3"/>
    <row r="20" spans="1:5" ht="12.75" customHeight="1" x14ac:dyDescent="0.3"/>
    <row r="21" spans="1:5" ht="12.75" customHeight="1" x14ac:dyDescent="0.3"/>
    <row r="22" spans="1:5" ht="12.75" customHeight="1" x14ac:dyDescent="0.3"/>
    <row r="23" spans="1:5" ht="12.75" customHeight="1" x14ac:dyDescent="0.3"/>
    <row r="24" spans="1:5" ht="12.75" customHeight="1" x14ac:dyDescent="0.3"/>
    <row r="25" spans="1:5" ht="12.75" customHeight="1" x14ac:dyDescent="0.3"/>
    <row r="26" spans="1:5" ht="12.75" customHeight="1" x14ac:dyDescent="0.3"/>
    <row r="27" spans="1:5" ht="12.75" customHeight="1" x14ac:dyDescent="0.3"/>
    <row r="28" spans="1:5" ht="12.75" customHeight="1" x14ac:dyDescent="0.3"/>
    <row r="29" spans="1:5" ht="12.75" customHeight="1" x14ac:dyDescent="0.3"/>
    <row r="30" spans="1:5" ht="12.75" customHeight="1" x14ac:dyDescent="0.3"/>
    <row r="31" spans="1:5" ht="12.75" customHeight="1" x14ac:dyDescent="0.3"/>
    <row r="32" spans="1:5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</sheetData>
  <mergeCells count="7">
    <mergeCell ref="A1:E1"/>
    <mergeCell ref="D2:E2"/>
    <mergeCell ref="A4:E4"/>
    <mergeCell ref="A16:E16"/>
    <mergeCell ref="A15:D15"/>
    <mergeCell ref="A17:E17"/>
    <mergeCell ref="C18:E18"/>
  </mergeCells>
  <conditionalFormatting sqref="A10:E10 A5:E6 A15:E15">
    <cfRule type="expression" dxfId="15" priority="16">
      <formula>$B5=0</formula>
    </cfRule>
  </conditionalFormatting>
  <conditionalFormatting sqref="E7:E9">
    <cfRule type="expression" dxfId="14" priority="15">
      <formula>$B7=0</formula>
    </cfRule>
  </conditionalFormatting>
  <conditionalFormatting sqref="A7:C9">
    <cfRule type="expression" dxfId="13" priority="14">
      <formula>$B7=0</formula>
    </cfRule>
  </conditionalFormatting>
  <conditionalFormatting sqref="D7:D9">
    <cfRule type="expression" dxfId="12" priority="13">
      <formula>$B7=0</formula>
    </cfRule>
  </conditionalFormatting>
  <conditionalFormatting sqref="E11">
    <cfRule type="expression" dxfId="11" priority="12">
      <formula>$B11=0</formula>
    </cfRule>
  </conditionalFormatting>
  <conditionalFormatting sqref="A11:C11">
    <cfRule type="expression" dxfId="10" priority="11">
      <formula>$B11=0</formula>
    </cfRule>
  </conditionalFormatting>
  <conditionalFormatting sqref="D11">
    <cfRule type="expression" dxfId="9" priority="10">
      <formula>$B11=0</formula>
    </cfRule>
  </conditionalFormatting>
  <conditionalFormatting sqref="E12">
    <cfRule type="expression" dxfId="8" priority="9">
      <formula>$B12=0</formula>
    </cfRule>
  </conditionalFormatting>
  <conditionalFormatting sqref="A12:C12">
    <cfRule type="expression" dxfId="7" priority="8">
      <formula>$B12=0</formula>
    </cfRule>
  </conditionalFormatting>
  <conditionalFormatting sqref="D12">
    <cfRule type="expression" dxfId="6" priority="7">
      <formula>$B12=0</formula>
    </cfRule>
  </conditionalFormatting>
  <conditionalFormatting sqref="E13">
    <cfRule type="expression" dxfId="5" priority="6">
      <formula>$B13=0</formula>
    </cfRule>
  </conditionalFormatting>
  <conditionalFormatting sqref="A13:C13">
    <cfRule type="expression" dxfId="4" priority="5">
      <formula>$B13=0</formula>
    </cfRule>
  </conditionalFormatting>
  <conditionalFormatting sqref="D13">
    <cfRule type="expression" dxfId="3" priority="4">
      <formula>$B13=0</formula>
    </cfRule>
  </conditionalFormatting>
  <conditionalFormatting sqref="E14">
    <cfRule type="expression" dxfId="2" priority="3">
      <formula>$B14=0</formula>
    </cfRule>
  </conditionalFormatting>
  <conditionalFormatting sqref="A14:C14">
    <cfRule type="expression" dxfId="1" priority="2">
      <formula>$B14=0</formula>
    </cfRule>
  </conditionalFormatting>
  <conditionalFormatting sqref="D14">
    <cfRule type="expression" dxfId="0" priority="1">
      <formula>$B14=0</formula>
    </cfRule>
  </conditionalFormatting>
  <pageMargins left="0.7" right="0.7" top="0.75" bottom="0.75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79994</dc:creator>
  <cp:lastModifiedBy>*</cp:lastModifiedBy>
  <cp:lastPrinted>2025-04-26T07:29:43Z</cp:lastPrinted>
  <dcterms:created xsi:type="dcterms:W3CDTF">2025-02-07T10:13:46Z</dcterms:created>
  <dcterms:modified xsi:type="dcterms:W3CDTF">2025-07-29T10:44:53Z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2024-12-04T00:00:00Z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2025-02-07T00:00:00Z</vt:filetime>
  </property>
  <property fmtid="{D5CDD505-2E9C-101B-9397-08002B2CF9AE}" pid="5" name="Producer">
    <vt:lpwstr>Microsoft® Excel® 2021</vt:lpwstr>
  </property>
</Properties>
</file>