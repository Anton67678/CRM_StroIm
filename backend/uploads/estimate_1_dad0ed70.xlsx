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Затонная 4\"/>
    </mc:Choice>
  </mc:AlternateContent>
  <bookViews>
    <workbookView xWindow="0" yWindow="0" windowWidth="18996" windowHeight="9780" activeTab="3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Электрика" sheetId="10" r:id="rId7"/>
    <sheet name="Table 9" sheetId="9" r:id="rId8"/>
  </sheets>
  <calcPr calcId="162913"/>
</workbook>
</file>

<file path=xl/calcChain.xml><?xml version="1.0" encoding="utf-8"?>
<calcChain xmlns="http://schemas.openxmlformats.org/spreadsheetml/2006/main">
  <c r="C13" i="4" l="1"/>
  <c r="C12" i="4"/>
  <c r="C16" i="4"/>
  <c r="E17" i="4"/>
  <c r="C15" i="4"/>
  <c r="E19" i="6"/>
  <c r="E19" i="5"/>
  <c r="F12" i="3"/>
  <c r="F11" i="2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39" i="10" s="1"/>
  <c r="F40" i="10" s="1"/>
  <c r="F21" i="10"/>
  <c r="E18" i="6"/>
  <c r="E16" i="6"/>
  <c r="E16" i="5"/>
  <c r="E18" i="5" s="1"/>
  <c r="F8" i="1" s="1"/>
  <c r="E23" i="4"/>
  <c r="C11" i="6"/>
  <c r="E12" i="6"/>
  <c r="F10" i="3"/>
  <c r="F7" i="3"/>
  <c r="F6" i="2"/>
  <c r="E16" i="4" l="1"/>
  <c r="E15" i="4"/>
  <c r="E19" i="4"/>
  <c r="E15" i="2"/>
  <c r="E17" i="6" l="1"/>
  <c r="E14" i="6"/>
  <c r="E11" i="6"/>
  <c r="E9" i="6"/>
  <c r="E8" i="6"/>
  <c r="E17" i="5"/>
  <c r="E14" i="5"/>
  <c r="E12" i="5"/>
  <c r="E10" i="5"/>
  <c r="E9" i="5"/>
  <c r="E24" i="4"/>
  <c r="E21" i="4"/>
  <c r="E18" i="4"/>
  <c r="E14" i="4"/>
  <c r="E13" i="4"/>
  <c r="E12" i="4"/>
  <c r="E10" i="4"/>
  <c r="E9" i="4"/>
  <c r="F9" i="3"/>
  <c r="F8" i="3"/>
  <c r="F11" i="3" s="1"/>
  <c r="C8" i="1" s="1"/>
  <c r="F9" i="2"/>
  <c r="F8" i="2"/>
  <c r="F7" i="2"/>
  <c r="F10" i="2" s="1"/>
  <c r="B8" i="1" s="1"/>
  <c r="E25" i="4" l="1"/>
  <c r="E26" i="4"/>
  <c r="D8" i="1" s="1"/>
  <c r="G8" i="1"/>
  <c r="J8" i="1" l="1"/>
</calcChain>
</file>

<file path=xl/sharedStrings.xml><?xml version="1.0" encoding="utf-8"?>
<sst xmlns="http://schemas.openxmlformats.org/spreadsheetml/2006/main" count="1204" uniqueCount="1149">
  <si>
    <r>
      <rPr>
        <b/>
        <u/>
        <sz val="12"/>
        <color rgb="FFD13E3E"/>
        <rFont val="Calibri"/>
        <family val="2"/>
        <charset val="204"/>
      </rPr>
      <t xml:space="preserve">Студия ремонта квартир в Москве
</t>
    </r>
    <r>
      <rPr>
        <b/>
        <u/>
        <sz val="12"/>
        <color rgb="FFD13E3E"/>
        <rFont val="Calibri"/>
        <family val="2"/>
        <charset val="204"/>
      </rPr>
      <t>и МО</t>
    </r>
  </si>
  <si>
    <r>
      <rPr>
        <b/>
        <u/>
        <sz val="12"/>
        <color rgb="FFD13E3E"/>
        <rFont val="Calibri"/>
        <family val="2"/>
        <charset val="204"/>
      </rPr>
      <t>Портфолио</t>
    </r>
    <r>
      <rPr>
        <b/>
        <sz val="12"/>
        <color rgb="FFD13E3E"/>
        <rFont val="Calibri"/>
        <family val="2"/>
        <charset val="204"/>
      </rPr>
      <t xml:space="preserve">              </t>
    </r>
    <r>
      <rPr>
        <b/>
        <u/>
        <sz val="12"/>
        <color rgb="FFD13E3E"/>
        <rFont val="Calibri"/>
        <family val="2"/>
        <charset val="204"/>
      </rPr>
      <t>WhatsApp</t>
    </r>
    <r>
      <rPr>
        <b/>
        <sz val="12"/>
        <color rgb="FFD13E3E"/>
        <rFont val="Calibri"/>
        <family val="2"/>
        <charset val="204"/>
      </rPr>
      <t xml:space="preserve">         </t>
    </r>
    <r>
      <rPr>
        <b/>
        <u/>
        <sz val="12"/>
        <color rgb="FFD13E3E"/>
        <rFont val="Calibri"/>
        <family val="2"/>
        <charset val="204"/>
      </rPr>
      <t>8 (495) 532-40-24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</si>
  <si>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</si>
  <si>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2"/>
        <rFont val="Calibri"/>
        <family val="2"/>
        <charset val="204"/>
      </rPr>
      <t>Сводная смета</t>
    </r>
  </si>
  <si>
    <r>
      <rPr>
        <b/>
        <sz val="11"/>
        <rFont val="Calibri"/>
        <family val="2"/>
        <charset val="204"/>
      </rPr>
      <t>площади</t>
    </r>
  </si>
  <si>
    <r>
      <rPr>
        <b/>
        <sz val="11"/>
        <rFont val="Calibri"/>
        <family val="2"/>
        <charset val="204"/>
      </rPr>
      <t>Коридор №1</t>
    </r>
  </si>
  <si>
    <r>
      <rPr>
        <b/>
        <sz val="11"/>
        <rFont val="Calibri"/>
        <family val="2"/>
        <charset val="204"/>
      </rPr>
      <t>Коридор №2</t>
    </r>
  </si>
  <si>
    <r>
      <rPr>
        <b/>
        <sz val="11"/>
        <rFont val="Calibri"/>
        <family val="2"/>
        <charset val="204"/>
      </rPr>
      <t>Кухня №1</t>
    </r>
  </si>
  <si>
    <r>
      <rPr>
        <b/>
        <sz val="11"/>
        <rFont val="Calibri"/>
        <family val="2"/>
        <charset val="204"/>
      </rPr>
      <t>Комната №1</t>
    </r>
  </si>
  <si>
    <r>
      <rPr>
        <b/>
        <sz val="11"/>
        <rFont val="Calibri"/>
        <family val="2"/>
        <charset val="204"/>
      </rPr>
      <t>Комната №2</t>
    </r>
  </si>
  <si>
    <r>
      <rPr>
        <b/>
        <sz val="11"/>
        <rFont val="Calibri"/>
        <family val="2"/>
        <charset val="204"/>
      </rPr>
      <t>Итого</t>
    </r>
  </si>
  <si>
    <r>
      <rPr>
        <sz val="11"/>
        <rFont val="Calibri"/>
        <family val="2"/>
        <charset val="204"/>
      </rPr>
      <t>площадь пола</t>
    </r>
  </si>
  <si>
    <r>
      <rPr>
        <sz val="11"/>
        <rFont val="Calibri"/>
        <family val="2"/>
        <charset val="204"/>
      </rPr>
      <t>площадь стен</t>
    </r>
  </si>
  <si>
    <r>
      <rPr>
        <b/>
        <sz val="11"/>
        <rFont val="Calibri"/>
        <family val="2"/>
        <charset val="204"/>
      </rPr>
      <t>наименование работ</t>
    </r>
  </si>
  <si>
    <r>
      <rPr>
        <b/>
        <sz val="11"/>
        <rFont val="Calibri"/>
        <family val="2"/>
        <charset val="204"/>
      </rPr>
      <t>Коридор №1</t>
    </r>
  </si>
  <si>
    <r>
      <rPr>
        <b/>
        <sz val="11"/>
        <rFont val="Calibri"/>
        <family val="2"/>
        <charset val="204"/>
      </rPr>
      <t>Коридор №2</t>
    </r>
  </si>
  <si>
    <r>
      <rPr>
        <b/>
        <sz val="11"/>
        <rFont val="Calibri"/>
        <family val="2"/>
        <charset val="204"/>
      </rPr>
      <t>Кухня №1</t>
    </r>
  </si>
  <si>
    <r>
      <rPr>
        <b/>
        <sz val="11"/>
        <rFont val="Calibri"/>
        <family val="2"/>
        <charset val="204"/>
      </rPr>
      <t>Комната №1</t>
    </r>
  </si>
  <si>
    <r>
      <rPr>
        <b/>
        <sz val="11"/>
        <rFont val="Calibri"/>
        <family val="2"/>
        <charset val="204"/>
      </rPr>
      <t>Комната №2</t>
    </r>
  </si>
  <si>
    <r>
      <rPr>
        <b/>
        <sz val="11"/>
        <rFont val="Calibri"/>
        <family val="2"/>
        <charset val="204"/>
      </rPr>
      <t>Итого</t>
    </r>
  </si>
  <si>
    <r>
      <rPr>
        <b/>
        <sz val="11"/>
        <rFont val="Calibri"/>
        <family val="2"/>
        <charset val="204"/>
      </rPr>
      <t>ИТОГО ПО РАБОТАМ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</si>
  <si>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</si>
  <si>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0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10"/>
        <color rgb="FF000000"/>
        <rFont val="Times New Roman"/>
        <family val="1"/>
        <charset val="204"/>
      </rPr>
      <t>                         </t>
    </r>
    <r>
      <rPr>
        <b/>
        <sz val="10"/>
        <color rgb="FF000000"/>
        <rFont val="Times New Roman"/>
        <family val="1"/>
        <charset val="204"/>
      </rPr>
      <t xml:space="preserve">от </t>
    </r>
    <r>
      <rPr>
        <u/>
        <sz val="10"/>
        <color rgb="FF000000"/>
        <rFont val="Times New Roman"/>
        <family val="1"/>
        <charset val="204"/>
      </rPr>
      <t>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</si>
  <si>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b/>
        <sz val="10"/>
        <color rgb="FF000000"/>
        <rFont val="Times New Roman"/>
        <family val="1"/>
        <charset val="204"/>
      </rPr>
      <t>СМЕТА от "</t>
    </r>
    <r>
      <rPr>
        <u/>
        <sz val="10"/>
        <color rgb="FF000000"/>
        <rFont val="Times New Roman"/>
        <family val="1"/>
        <charset val="204"/>
      </rPr>
      <t>            </t>
    </r>
    <r>
      <rPr>
        <b/>
        <sz val="10"/>
        <color rgb="FF000000"/>
        <rFont val="Times New Roman"/>
        <family val="1"/>
        <charset val="204"/>
      </rPr>
      <t>"</t>
    </r>
    <r>
      <rPr>
        <u/>
        <sz val="10"/>
        <color rgb="FF000000"/>
        <rFont val="Times New Roman"/>
        <family val="1"/>
        <charset val="204"/>
      </rPr>
      <t>         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</si>
  <si>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</si>
  <si>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Коридор 1. Чистовые отделочные работы</t>
    </r>
  </si>
  <si>
    <r>
      <rPr>
        <b/>
        <sz val="12"/>
        <rFont val="Times New Roman"/>
        <family val="1"/>
        <charset val="204"/>
      </rPr>
      <t>ед. изм.</t>
    </r>
  </si>
  <si>
    <r>
      <rPr>
        <b/>
        <sz val="12"/>
        <rFont val="Times New Roman"/>
        <family val="1"/>
        <charset val="204"/>
      </rPr>
      <t>кол-во</t>
    </r>
  </si>
  <si>
    <r>
      <rPr>
        <b/>
        <sz val="12"/>
        <rFont val="Times New Roman"/>
        <family val="1"/>
        <charset val="204"/>
      </rPr>
      <t>цена</t>
    </r>
  </si>
  <si>
    <r>
      <rPr>
        <b/>
        <sz val="12"/>
        <rFont val="Times New Roman"/>
        <family val="1"/>
        <charset val="204"/>
      </rPr>
      <t>сумма</t>
    </r>
  </si>
  <si>
    <r>
      <rPr>
        <sz val="12"/>
        <rFont val="Times New Roman"/>
        <family val="1"/>
        <charset val="204"/>
      </rPr>
      <t>м2</t>
    </r>
  </si>
  <si>
    <r>
      <rPr>
        <sz val="12"/>
        <rFont val="Times New Roman"/>
        <family val="1"/>
        <charset val="204"/>
      </rPr>
      <t>Монтаж плинтусов пластиковых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</si>
  <si>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</si>
  <si>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Оклейка стен обоями без подбора*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</si>
  <si>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</si>
  <si>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Итого по разделу(чистовые отделочные работы)</t>
    </r>
  </si>
  <si>
    <r>
      <rPr>
        <sz val="12"/>
        <rFont val="Times New Roman"/>
        <family val="1"/>
        <charset val="204"/>
      </rPr>
      <t>Составлено:                                                                                                                                                                                                 Согласовано:</t>
    </r>
  </si>
  <si>
    <r>
      <rPr>
        <sz val="8"/>
        <rFont val="Times New Roman"/>
        <family val="1"/>
        <charset val="204"/>
      </rPr>
      <t>(подпись)</t>
    </r>
  </si>
  <si>
    <r>
      <rPr>
        <sz val="8"/>
        <rFont val="Times New Roman"/>
        <family val="1"/>
        <charset val="204"/>
      </rPr>
      <t>(подпись)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</si>
  <si>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</si>
  <si>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0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10"/>
        <color rgb="FF000000"/>
        <rFont val="Times New Roman"/>
        <family val="1"/>
        <charset val="204"/>
      </rPr>
      <t>                         </t>
    </r>
    <r>
      <rPr>
        <b/>
        <sz val="10"/>
        <color rgb="FF000000"/>
        <rFont val="Times New Roman"/>
        <family val="1"/>
        <charset val="204"/>
      </rPr>
      <t xml:space="preserve">от </t>
    </r>
    <r>
      <rPr>
        <u/>
        <sz val="10"/>
        <color rgb="FF000000"/>
        <rFont val="Times New Roman"/>
        <family val="1"/>
        <charset val="204"/>
      </rPr>
      <t>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</si>
  <si>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sz val="9"/>
        <rFont val="Times New Roman"/>
        <family val="1"/>
        <charset val="204"/>
      </rPr>
      <t>L,м/п</t>
    </r>
  </si>
  <si>
    <r>
      <rPr>
        <sz val="9"/>
        <rFont val="Times New Roman"/>
        <family val="1"/>
        <charset val="204"/>
      </rPr>
      <t>B,м/п</t>
    </r>
  </si>
  <si>
    <r>
      <rPr>
        <sz val="9"/>
        <rFont val="Times New Roman"/>
        <family val="1"/>
        <charset val="204"/>
      </rPr>
      <t>H,м/п</t>
    </r>
  </si>
  <si>
    <r>
      <rPr>
        <sz val="9"/>
        <rFont val="Times New Roman"/>
        <family val="1"/>
        <charset val="204"/>
      </rPr>
      <t>Проем, м2</t>
    </r>
  </si>
  <si>
    <r>
      <rPr>
        <b/>
        <sz val="10"/>
        <color rgb="FF000000"/>
        <rFont val="Times New Roman"/>
        <family val="1"/>
        <charset val="204"/>
      </rPr>
      <t>СМЕТА от "</t>
    </r>
    <r>
      <rPr>
        <u/>
        <sz val="10"/>
        <color rgb="FF000000"/>
        <rFont val="Times New Roman"/>
        <family val="1"/>
        <charset val="204"/>
      </rPr>
      <t>            </t>
    </r>
    <r>
      <rPr>
        <b/>
        <sz val="10"/>
        <color rgb="FF000000"/>
        <rFont val="Times New Roman"/>
        <family val="1"/>
        <charset val="204"/>
      </rPr>
      <t>"</t>
    </r>
    <r>
      <rPr>
        <u/>
        <sz val="10"/>
        <color rgb="FF000000"/>
        <rFont val="Times New Roman"/>
        <family val="1"/>
        <charset val="204"/>
      </rPr>
      <t>         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</si>
  <si>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b/>
        <sz val="12"/>
        <rFont val="Times New Roman"/>
        <family val="1"/>
        <charset val="204"/>
      </rPr>
      <t>Коридор 2. Чистовые отделочные работы</t>
    </r>
  </si>
  <si>
    <r>
      <rPr>
        <b/>
        <sz val="12"/>
        <rFont val="Times New Roman"/>
        <family val="1"/>
        <charset val="204"/>
      </rPr>
      <t>ед. изм.</t>
    </r>
  </si>
  <si>
    <r>
      <rPr>
        <b/>
        <sz val="12"/>
        <rFont val="Times New Roman"/>
        <family val="1"/>
        <charset val="204"/>
      </rPr>
      <t>кол-во</t>
    </r>
  </si>
  <si>
    <r>
      <rPr>
        <b/>
        <sz val="12"/>
        <rFont val="Times New Roman"/>
        <family val="1"/>
        <charset val="204"/>
      </rPr>
      <t>цена</t>
    </r>
  </si>
  <si>
    <r>
      <rPr>
        <b/>
        <sz val="12"/>
        <rFont val="Times New Roman"/>
        <family val="1"/>
        <charset val="204"/>
      </rPr>
      <t>сумма</t>
    </r>
  </si>
  <si>
    <r>
      <rPr>
        <sz val="12"/>
        <rFont val="Times New Roman"/>
        <family val="1"/>
        <charset val="204"/>
      </rPr>
      <t>м2</t>
    </r>
  </si>
  <si>
    <r>
      <rPr>
        <sz val="12"/>
        <rFont val="Times New Roman"/>
        <family val="1"/>
        <charset val="204"/>
      </rPr>
      <t>Монтаж плинтусов пластиковых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</si>
  <si>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</si>
  <si>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Оклейка стен обоями без подбора*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</si>
  <si>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</si>
  <si>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Итого по разделу(чистовые отделочные работы)</t>
    </r>
  </si>
  <si>
    <r>
      <rPr>
        <sz val="12"/>
        <rFont val="Times New Roman"/>
        <family val="1"/>
        <charset val="204"/>
      </rPr>
      <t>Составлено:                                                                                                                                                                                                 Согласовано:</t>
    </r>
  </si>
  <si>
    <r>
      <rPr>
        <sz val="8"/>
        <rFont val="Times New Roman"/>
        <family val="1"/>
        <charset val="204"/>
      </rPr>
      <t>(подпись)</t>
    </r>
  </si>
  <si>
    <r>
      <rPr>
        <sz val="8"/>
        <rFont val="Times New Roman"/>
        <family val="1"/>
        <charset val="204"/>
      </rPr>
      <t>(подпись)</t>
    </r>
  </si>
  <si>
    <r>
      <rPr>
        <b/>
        <i/>
        <sz val="13"/>
        <rFont val="Times New Roman"/>
        <family val="1"/>
        <charset val="204"/>
      </rPr>
      <t>Кухня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</si>
  <si>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</si>
  <si>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0"/>
        <color rgb="FF000000"/>
        <rFont val="Times New Roman"/>
        <family val="1"/>
        <charset val="204"/>
      </rPr>
      <t xml:space="preserve">Приложение№1 к договору №КС </t>
    </r>
    <r>
      <rPr>
        <u/>
        <sz val="10"/>
        <color rgb="FF000000"/>
        <rFont val="Times New Roman"/>
        <family val="1"/>
        <charset val="204"/>
      </rPr>
      <t>                         </t>
    </r>
    <r>
      <rPr>
        <b/>
        <sz val="10"/>
        <color rgb="FF000000"/>
        <rFont val="Times New Roman"/>
        <family val="1"/>
        <charset val="204"/>
      </rPr>
      <t xml:space="preserve">от </t>
    </r>
    <r>
      <rPr>
        <u/>
        <sz val="10"/>
        <color rgb="FF000000"/>
        <rFont val="Times New Roman"/>
        <family val="1"/>
        <charset val="204"/>
      </rPr>
      <t>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</si>
  <si>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sz val="9"/>
        <rFont val="Times New Roman"/>
        <family val="1"/>
        <charset val="204"/>
      </rPr>
      <t>L,м/п</t>
    </r>
  </si>
  <si>
    <r>
      <rPr>
        <sz val="9"/>
        <rFont val="Times New Roman"/>
        <family val="1"/>
        <charset val="204"/>
      </rPr>
      <t>B,м/п</t>
    </r>
  </si>
  <si>
    <r>
      <rPr>
        <sz val="9"/>
        <rFont val="Times New Roman"/>
        <family val="1"/>
        <charset val="204"/>
      </rPr>
      <t>H,м/п</t>
    </r>
  </si>
  <si>
    <r>
      <rPr>
        <sz val="9"/>
        <rFont val="Times New Roman"/>
        <family val="1"/>
        <charset val="204"/>
      </rPr>
      <t>Проем, м2</t>
    </r>
  </si>
  <si>
    <r>
      <rPr>
        <b/>
        <sz val="10"/>
        <color rgb="FF000000"/>
        <rFont val="Times New Roman"/>
        <family val="1"/>
        <charset val="204"/>
      </rPr>
      <t>СМЕТА от "</t>
    </r>
    <r>
      <rPr>
        <u/>
        <sz val="10"/>
        <color rgb="FF000000"/>
        <rFont val="Times New Roman"/>
        <family val="1"/>
        <charset val="204"/>
      </rPr>
      <t>            </t>
    </r>
    <r>
      <rPr>
        <b/>
        <sz val="10"/>
        <color rgb="FF000000"/>
        <rFont val="Times New Roman"/>
        <family val="1"/>
        <charset val="204"/>
      </rPr>
      <t>"</t>
    </r>
    <r>
      <rPr>
        <u/>
        <sz val="10"/>
        <color rgb="FF000000"/>
        <rFont val="Times New Roman"/>
        <family val="1"/>
        <charset val="204"/>
      </rPr>
      <t>         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</si>
  <si>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b/>
        <sz val="12"/>
        <rFont val="Times New Roman"/>
        <family val="1"/>
        <charset val="204"/>
      </rPr>
      <t>Кухня 1. Чистовые отделочные работы</t>
    </r>
  </si>
  <si>
    <r>
      <rPr>
        <b/>
        <sz val="12"/>
        <rFont val="Times New Roman"/>
        <family val="1"/>
        <charset val="204"/>
      </rPr>
      <t>ед. изм.</t>
    </r>
  </si>
  <si>
    <r>
      <rPr>
        <b/>
        <sz val="12"/>
        <rFont val="Times New Roman"/>
        <family val="1"/>
        <charset val="204"/>
      </rPr>
      <t>кол-во</t>
    </r>
  </si>
  <si>
    <r>
      <rPr>
        <b/>
        <sz val="12"/>
        <rFont val="Times New Roman"/>
        <family val="1"/>
        <charset val="204"/>
      </rPr>
      <t>цена</t>
    </r>
  </si>
  <si>
    <r>
      <rPr>
        <b/>
        <sz val="12"/>
        <rFont val="Times New Roman"/>
        <family val="1"/>
        <charset val="204"/>
      </rPr>
      <t>сумма</t>
    </r>
  </si>
  <si>
    <r>
      <rPr>
        <b/>
        <sz val="12"/>
        <rFont val="Times New Roman"/>
        <family val="1"/>
        <charset val="204"/>
      </rPr>
      <t>Полы</t>
    </r>
  </si>
  <si>
    <r>
      <rPr>
        <sz val="12"/>
        <rFont val="Times New Roman"/>
        <family val="1"/>
        <charset val="204"/>
      </rPr>
      <t>м2</t>
    </r>
  </si>
  <si>
    <r>
      <rPr>
        <sz val="12"/>
        <rFont val="Times New Roman"/>
        <family val="1"/>
        <charset val="204"/>
      </rPr>
      <t>Монтаж плинтусов пластиковых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</si>
  <si>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</si>
  <si>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Стены</t>
    </r>
  </si>
  <si>
    <r>
      <rPr>
        <sz val="12"/>
        <rFont val="Times New Roman"/>
        <family val="1"/>
        <charset val="204"/>
      </rPr>
      <t>Подрезка керамической плитки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</si>
  <si>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</si>
  <si>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Оклейка стен обоями без подбора*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</si>
  <si>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</si>
  <si>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Откосы</t>
    </r>
  </si>
  <si>
    <r>
      <rPr>
        <sz val="12"/>
        <rFont val="Times New Roman"/>
        <family val="1"/>
        <charset val="204"/>
      </rPr>
      <t>Окраска откосов, углов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</si>
  <si>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</si>
  <si>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Установка карнизов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</si>
  <si>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</si>
  <si>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Итого по разделу(чистовые отделочные работы)</t>
    </r>
  </si>
  <si>
    <r>
      <rPr>
        <sz val="12"/>
        <rFont val="Times New Roman"/>
        <family val="1"/>
        <charset val="204"/>
      </rPr>
      <t>Составлено:                                                                                                                                                                                                 Согласовано:</t>
    </r>
  </si>
  <si>
    <r>
      <rPr>
        <sz val="8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</si>
  <si>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r>
      <rPr>
        <b/>
        <i/>
        <sz val="13"/>
        <rFont val="Times New Roman"/>
        <family val="1"/>
        <charset val="204"/>
      </rPr>
      <t>Гостиная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</si>
  <si>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</si>
  <si>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0"/>
        <color rgb="FF000000"/>
        <rFont val="Times New Roman"/>
        <family val="1"/>
        <charset val="204"/>
      </rPr>
      <t xml:space="preserve">Приложение№1 к договору № КС </t>
    </r>
    <r>
      <rPr>
        <u/>
        <sz val="10"/>
        <color rgb="FF000000"/>
        <rFont val="Times New Roman"/>
        <family val="1"/>
        <charset val="204"/>
      </rPr>
      <t>                         </t>
    </r>
    <r>
      <rPr>
        <b/>
        <sz val="10"/>
        <color rgb="FF000000"/>
        <rFont val="Times New Roman"/>
        <family val="1"/>
        <charset val="204"/>
      </rPr>
      <t xml:space="preserve">от </t>
    </r>
    <r>
      <rPr>
        <u/>
        <sz val="10"/>
        <color rgb="FF000000"/>
        <rFont val="Times New Roman"/>
        <family val="1"/>
        <charset val="204"/>
      </rPr>
      <t>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</si>
  <si>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sz val="9"/>
        <rFont val="Times New Roman"/>
        <family val="1"/>
        <charset val="204"/>
      </rPr>
      <t>L,м/п</t>
    </r>
  </si>
  <si>
    <r>
      <rPr>
        <sz val="9"/>
        <rFont val="Times New Roman"/>
        <family val="1"/>
        <charset val="204"/>
      </rPr>
      <t>B,м/п</t>
    </r>
  </si>
  <si>
    <r>
      <rPr>
        <sz val="9"/>
        <rFont val="Times New Roman"/>
        <family val="1"/>
        <charset val="204"/>
      </rPr>
      <t>H,м/п</t>
    </r>
  </si>
  <si>
    <r>
      <rPr>
        <sz val="9"/>
        <rFont val="Times New Roman"/>
        <family val="1"/>
        <charset val="204"/>
      </rPr>
      <t>Проем, м2</t>
    </r>
  </si>
  <si>
    <r>
      <rPr>
        <b/>
        <sz val="10"/>
        <color rgb="FF000000"/>
        <rFont val="Times New Roman"/>
        <family val="1"/>
        <charset val="204"/>
      </rPr>
      <t>СМЕТА от "</t>
    </r>
    <r>
      <rPr>
        <u/>
        <sz val="10"/>
        <color rgb="FF000000"/>
        <rFont val="Times New Roman"/>
        <family val="1"/>
        <charset val="204"/>
      </rPr>
      <t>            </t>
    </r>
    <r>
      <rPr>
        <b/>
        <sz val="10"/>
        <color rgb="FF000000"/>
        <rFont val="Times New Roman"/>
        <family val="1"/>
        <charset val="204"/>
      </rPr>
      <t>"</t>
    </r>
    <r>
      <rPr>
        <u/>
        <sz val="10"/>
        <color rgb="FF000000"/>
        <rFont val="Times New Roman"/>
        <family val="1"/>
        <charset val="204"/>
      </rPr>
      <t>         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</si>
  <si>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b/>
        <sz val="12"/>
        <rFont val="Times New Roman"/>
        <family val="1"/>
        <charset val="204"/>
      </rPr>
      <t>Комната 1. Чистовые отделочные работы</t>
    </r>
  </si>
  <si>
    <r>
      <rPr>
        <b/>
        <sz val="12"/>
        <rFont val="Times New Roman"/>
        <family val="1"/>
        <charset val="204"/>
      </rPr>
      <t>ед. изм.</t>
    </r>
  </si>
  <si>
    <r>
      <rPr>
        <b/>
        <sz val="12"/>
        <rFont val="Times New Roman"/>
        <family val="1"/>
        <charset val="204"/>
      </rPr>
      <t>кол-во</t>
    </r>
  </si>
  <si>
    <r>
      <rPr>
        <b/>
        <sz val="12"/>
        <rFont val="Times New Roman"/>
        <family val="1"/>
        <charset val="204"/>
      </rPr>
      <t>цена</t>
    </r>
  </si>
  <si>
    <r>
      <rPr>
        <b/>
        <sz val="12"/>
        <rFont val="Times New Roman"/>
        <family val="1"/>
        <charset val="204"/>
      </rPr>
      <t>сумма</t>
    </r>
  </si>
  <si>
    <r>
      <rPr>
        <b/>
        <sz val="12"/>
        <rFont val="Times New Roman"/>
        <family val="1"/>
        <charset val="204"/>
      </rPr>
      <t>Полы</t>
    </r>
  </si>
  <si>
    <r>
      <rPr>
        <sz val="12"/>
        <rFont val="Times New Roman"/>
        <family val="1"/>
        <charset val="204"/>
      </rPr>
      <t>м2</t>
    </r>
  </si>
  <si>
    <r>
      <rPr>
        <sz val="12"/>
        <rFont val="Times New Roman"/>
        <family val="1"/>
        <charset val="204"/>
      </rPr>
      <t>Монтаж плинтусов пластиковых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</si>
  <si>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</si>
  <si>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Стены</t>
    </r>
  </si>
  <si>
    <r>
      <rPr>
        <sz val="12"/>
        <rFont val="Times New Roman"/>
        <family val="1"/>
        <charset val="204"/>
      </rPr>
      <t>Оклейка стен обоями без подбора*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</si>
  <si>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</si>
  <si>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Откосы</t>
    </r>
  </si>
  <si>
    <r>
      <rPr>
        <sz val="12"/>
        <rFont val="Times New Roman"/>
        <family val="1"/>
        <charset val="204"/>
      </rPr>
      <t>Окраска откосов, углов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</si>
  <si>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</si>
  <si>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Установка карнизов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</si>
  <si>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</si>
  <si>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Итого по разделу(чистовые отделочные работы)</t>
    </r>
  </si>
  <si>
    <r>
      <rPr>
        <sz val="12"/>
        <rFont val="Times New Roman"/>
        <family val="1"/>
        <charset val="204"/>
      </rPr>
      <t>Составлено:                                                                                                                                                                                                 Согласовано:</t>
    </r>
  </si>
  <si>
    <r>
      <rPr>
        <sz val="8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</si>
  <si>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r>
      <rPr>
        <b/>
        <i/>
        <sz val="13"/>
        <rFont val="Times New Roman"/>
        <family val="1"/>
        <charset val="204"/>
      </rPr>
      <t>Спальня</t>
    </r>
  </si>
  <si>
    <r>
      <rPr>
        <b/>
        <sz val="12"/>
        <rFont val="Times New Roman"/>
        <family val="1"/>
        <charset val="204"/>
      </rPr>
      <t>*Адрес объекта: "Затонная 4 "</t>
    </r>
  </si>
  <si>
    <r>
      <rPr>
        <b/>
        <sz val="10"/>
        <color rgb="FF000000"/>
        <rFont val="Times New Roman"/>
        <family val="1"/>
        <charset val="204"/>
      </rPr>
      <t xml:space="preserve">Приложение№1 к договору № КС </t>
    </r>
    <r>
      <rPr>
        <u/>
        <sz val="10"/>
        <color rgb="FF000000"/>
        <rFont val="Times New Roman"/>
        <family val="1"/>
        <charset val="204"/>
      </rPr>
      <t>                         </t>
    </r>
    <r>
      <rPr>
        <b/>
        <sz val="10"/>
        <color rgb="FF000000"/>
        <rFont val="Times New Roman"/>
        <family val="1"/>
        <charset val="204"/>
      </rPr>
      <t xml:space="preserve">от </t>
    </r>
    <r>
      <rPr>
        <u/>
        <sz val="10"/>
        <color rgb="FF000000"/>
        <rFont val="Times New Roman"/>
        <family val="1"/>
        <charset val="204"/>
      </rPr>
      <t>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</si>
  <si>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sz val="9"/>
        <rFont val="Times New Roman"/>
        <family val="1"/>
        <charset val="204"/>
      </rPr>
      <t>L,м/п</t>
    </r>
  </si>
  <si>
    <r>
      <rPr>
        <sz val="9"/>
        <rFont val="Times New Roman"/>
        <family val="1"/>
        <charset val="204"/>
      </rPr>
      <t>B,м/п</t>
    </r>
  </si>
  <si>
    <r>
      <rPr>
        <sz val="9"/>
        <rFont val="Times New Roman"/>
        <family val="1"/>
        <charset val="204"/>
      </rPr>
      <t>H,м/п</t>
    </r>
  </si>
  <si>
    <r>
      <rPr>
        <sz val="9"/>
        <rFont val="Times New Roman"/>
        <family val="1"/>
        <charset val="204"/>
      </rPr>
      <t>Проем, м2</t>
    </r>
  </si>
  <si>
    <r>
      <rPr>
        <b/>
        <sz val="10"/>
        <color rgb="FF000000"/>
        <rFont val="Times New Roman"/>
        <family val="1"/>
        <charset val="204"/>
      </rPr>
      <t>СМЕТА от "</t>
    </r>
    <r>
      <rPr>
        <u/>
        <sz val="10"/>
        <color rgb="FF000000"/>
        <rFont val="Times New Roman"/>
        <family val="1"/>
        <charset val="204"/>
      </rPr>
      <t>            </t>
    </r>
    <r>
      <rPr>
        <b/>
        <sz val="10"/>
        <color rgb="FF000000"/>
        <rFont val="Times New Roman"/>
        <family val="1"/>
        <charset val="204"/>
      </rPr>
      <t>"</t>
    </r>
    <r>
      <rPr>
        <u/>
        <sz val="10"/>
        <color rgb="FF000000"/>
        <rFont val="Times New Roman"/>
        <family val="1"/>
        <charset val="204"/>
      </rPr>
      <t>                                      </t>
    </r>
    <r>
      <rPr>
        <b/>
        <sz val="10"/>
        <color rgb="FF000000"/>
        <rFont val="Times New Roman"/>
        <family val="1"/>
        <charset val="204"/>
      </rPr>
      <t>202_г.</t>
    </r>
  </si>
  <si>
    <r>
      <rPr>
        <b/>
        <sz val="12"/>
        <rFont val="Times New Roman"/>
        <family val="1"/>
        <charset val="204"/>
      </rPr>
      <t>Комната 2. Чистовые отделочные работы</t>
    </r>
  </si>
  <si>
    <r>
      <rPr>
        <b/>
        <sz val="12"/>
        <rFont val="Times New Roman"/>
        <family val="1"/>
        <charset val="204"/>
      </rPr>
      <t>ед. изм.</t>
    </r>
  </si>
  <si>
    <r>
      <rPr>
        <b/>
        <sz val="12"/>
        <rFont val="Times New Roman"/>
        <family val="1"/>
        <charset val="204"/>
      </rPr>
      <t>кол-во</t>
    </r>
  </si>
  <si>
    <r>
      <rPr>
        <b/>
        <sz val="12"/>
        <rFont val="Times New Roman"/>
        <family val="1"/>
        <charset val="204"/>
      </rPr>
      <t>цена</t>
    </r>
  </si>
  <si>
    <r>
      <rPr>
        <b/>
        <sz val="12"/>
        <rFont val="Times New Roman"/>
        <family val="1"/>
        <charset val="204"/>
      </rPr>
      <t>сумма</t>
    </r>
  </si>
  <si>
    <r>
      <rPr>
        <b/>
        <sz val="12"/>
        <rFont val="Times New Roman"/>
        <family val="1"/>
        <charset val="204"/>
      </rPr>
      <t>Полы</t>
    </r>
  </si>
  <si>
    <r>
      <rPr>
        <sz val="12"/>
        <rFont val="Times New Roman"/>
        <family val="1"/>
        <charset val="204"/>
      </rPr>
      <t>м2</t>
    </r>
  </si>
  <si>
    <r>
      <rPr>
        <sz val="12"/>
        <rFont val="Times New Roman"/>
        <family val="1"/>
        <charset val="204"/>
      </rPr>
      <t>Монтаж плинтусов пластиковых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</si>
  <si>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</si>
  <si>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Стены</t>
    </r>
  </si>
  <si>
    <r>
      <rPr>
        <sz val="12"/>
        <rFont val="Times New Roman"/>
        <family val="1"/>
        <charset val="204"/>
      </rPr>
      <t>Оклейка стен обоями без подбора*</t>
    </r>
  </si>
  <si>
    <r>
      <rPr>
        <sz val="12"/>
        <rFont val="Times New Roman"/>
        <family val="1"/>
        <charset val="204"/>
      </rPr>
      <t>м2</t>
    </r>
  </si>
  <si>
    <r>
      <rPr>
        <b/>
        <sz val="12"/>
        <rFont val="Times New Roman"/>
        <family val="1"/>
        <charset val="204"/>
      </rPr>
      <t>Откосы</t>
    </r>
  </si>
  <si>
    <r>
      <rPr>
        <sz val="12"/>
        <rFont val="Times New Roman"/>
        <family val="1"/>
        <charset val="204"/>
      </rPr>
      <t>Окраска откосов, углов</t>
    </r>
  </si>
  <si>
    <r>
      <rPr>
        <sz val="12"/>
        <rFont val="Times New Roman"/>
        <family val="1"/>
        <charset val="204"/>
      </rPr>
      <t>м/п</t>
    </r>
  </si>
  <si>
    <r>
      <rPr>
        <sz val="12"/>
        <rFont val="Times New Roman"/>
        <family val="1"/>
        <charset val="204"/>
      </rPr>
      <t>Установка карнизов</t>
    </r>
  </si>
  <si>
    <r>
      <rPr>
        <sz val="12"/>
        <rFont val="Times New Roman"/>
        <family val="1"/>
        <charset val="204"/>
      </rPr>
      <t>м/п</t>
    </r>
  </si>
  <si>
    <r>
      <rPr>
        <b/>
        <sz val="12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</si>
  <si>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12"/>
        <rFont val="Times New Roman"/>
        <family val="1"/>
        <charset val="204"/>
      </rPr>
      <t>ИТОГО ПО ПОМЕЩЕНИЮ. СТОИМОСТЬ РАБОТ</t>
    </r>
  </si>
  <si>
    <r>
      <rPr>
        <sz val="12"/>
        <rFont val="Times New Roman"/>
        <family val="1"/>
        <charset val="204"/>
      </rPr>
      <t>Составлено:                                                                                                                                                                                                 Согласовано:</t>
    </r>
  </si>
  <si>
    <r>
      <rPr>
        <sz val="8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</si>
  <si>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r>
      <rPr>
        <b/>
        <sz val="12"/>
        <rFont val="Times New Roman"/>
        <family val="1"/>
        <charset val="204"/>
      </rPr>
      <t>Приложение №2</t>
    </r>
  </si>
  <si>
    <r>
      <rPr>
        <b/>
        <i/>
        <sz val="22"/>
        <rFont val="Times New Roman"/>
        <family val="1"/>
        <charset val="204"/>
      </rPr>
      <t>Прайс Лист</t>
    </r>
  </si>
  <si>
    <r>
      <rPr>
        <b/>
        <i/>
        <sz val="12"/>
        <rFont val="Times New Roman"/>
        <family val="1"/>
        <charset val="204"/>
      </rPr>
      <t>цены актуальны до 30.06.2025 г.</t>
    </r>
  </si>
  <si>
    <r>
      <rPr>
        <b/>
        <sz val="10"/>
        <rFont val="Times New Roman"/>
        <family val="1"/>
        <charset val="204"/>
      </rPr>
      <t>Наименование работ</t>
    </r>
  </si>
  <si>
    <r>
      <rPr>
        <b/>
        <sz val="10"/>
        <rFont val="Times New Roman"/>
        <family val="1"/>
        <charset val="204"/>
      </rPr>
      <t>Цена</t>
    </r>
  </si>
  <si>
    <r>
      <rPr>
        <b/>
        <sz val="10"/>
        <rFont val="Times New Roman"/>
        <family val="1"/>
        <charset val="204"/>
      </rPr>
      <t>Демонтажные работы</t>
    </r>
  </si>
  <si>
    <r>
      <rPr>
        <sz val="10"/>
        <rFont val="Times New Roman"/>
        <family val="1"/>
        <charset val="204"/>
      </rPr>
      <t>Демонтаж плинтуса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</si>
  <si>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</si>
  <si>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Расключение элищта слаботочного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</si>
  <si>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</si>
  <si>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паркета штучного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</si>
  <si>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</si>
  <si>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паркета шитового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</si>
  <si>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</si>
  <si>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линолеума, ковролина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</si>
  <si>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</si>
  <si>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фанеры, ДВП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</si>
  <si>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</si>
  <si>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Комплекс косметических демонтажных работ: Пол: снятие чистового напольного покрытия и напольного плинтуса без демонтажа стяжки, Стены: демонтаж чистового покрытия обои или краска и очисткой стен от старой шпатлевки Потолок очистка от старой краски или демонтаж конструкции из ГКЛ с очисткой поверхности от шпатлевки РАБОТЫ Демонтажные работы по потолкам производятся
</t>
    </r>
    <r>
      <rPr>
        <sz val="10"/>
        <color rgb="FF000000"/>
        <rFont val="Times New Roman"/>
        <family val="1"/>
        <charset val="204"/>
      </rPr>
      <t>по необходимости и на усмотрение прораба!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</si>
  <si>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</si>
  <si>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Комплекс капитальный демонтажных работ: Пол: снятие старого напольного покрытия и отбивка стяжки, Стены:Снятие всех покрытий с учетом отбивки старой штукатурки или нанесения засечек под штукатурные работы, Потолок: демонтаж всех старых покрытий и конструкции. Демонтажные работы по потолкам
</t>
    </r>
    <r>
      <rPr>
        <sz val="10"/>
        <color rgb="FF000000"/>
        <rFont val="Times New Roman"/>
        <family val="1"/>
        <charset val="204"/>
      </rPr>
      <t>производятся по необходимости и на усмотрение прораба!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</si>
  <si>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</si>
  <si>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покрытия из битумной мастики*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</si>
  <si>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</si>
  <si>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деревянных полов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</si>
  <si>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</si>
  <si>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лаг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</si>
  <si>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</si>
  <si>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Удаление слоев из керамзита, песка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</si>
  <si>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</si>
  <si>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Ремонт дощатых полов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</si>
  <si>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</si>
  <si>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Сухая уборка полов под метлу,щетку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</si>
  <si>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</si>
  <si>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стяжки до 3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</si>
  <si>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</si>
  <si>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стяжки до 5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</si>
  <si>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</si>
  <si>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плитки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</si>
  <si>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</si>
  <si>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бетонного бортика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</si>
  <si>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</si>
  <si>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плинтуса из плитки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</si>
  <si>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</si>
  <si>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порога из плитки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</si>
  <si>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</si>
  <si>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Расшивка плиточных швов(пол)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</si>
  <si>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</si>
  <si>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балконного бортика(бетон)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</si>
  <si>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</si>
  <si>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балконного бортика(кирпич)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</si>
  <si>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</si>
  <si>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Высверливание отверстия 100 мм в бетонной сене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</si>
  <si>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</si>
  <si>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пластикового уголка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</si>
  <si>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</si>
  <si>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Сверление отверстия в ГКЛ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</si>
  <si>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</si>
  <si>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Снятие обоев(стены)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</si>
  <si>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</si>
  <si>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Снятие побелки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</si>
  <si>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</si>
  <si>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краски со стен*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</si>
  <si>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</si>
  <si>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масляной краски со стен*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</si>
  <si>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</si>
  <si>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стен от "жидких" обоев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</si>
  <si>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</si>
  <si>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стен от шпаклевки*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</si>
  <si>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</si>
  <si>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Ошкуривание поверхности(стены)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</si>
  <si>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</si>
  <si>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Расшивка трещин/рустов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</si>
  <si>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</si>
  <si>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Насечка стен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</si>
  <si>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</si>
  <si>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Высверливание коронкой отверстия в керамической плитке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</si>
  <si>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</si>
  <si>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керамической плитки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</si>
  <si>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</si>
  <si>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Отбивка плиточного клея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</si>
  <si>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</si>
  <si>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Расшивка плиточных швов(стены)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</si>
  <si>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</si>
  <si>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Отбивка штукатурки со стен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</si>
  <si>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</si>
  <si>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панелей ПВХ(без каркаса)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</si>
  <si>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</si>
  <si>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панелей ПВХ(с каркасом)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</si>
  <si>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</si>
  <si>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стен(перегородок) в 1/2 кирпича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</si>
  <si>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</si>
  <si>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стен(перегородок) в 1 кирпич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</si>
  <si>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</si>
  <si>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стен(перегородок) в 1 1/2 кирпича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</si>
  <si>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</si>
  <si>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стен(перегородок) в 2 кирпича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</si>
  <si>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</si>
  <si>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 из пеноблока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</si>
  <si>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</si>
  <si>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стен из ацеида, гипсолита, ГКЛ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</si>
  <si>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</si>
  <si>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бетонных стен толщиной до 12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</si>
  <si>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</si>
  <si>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Отбивка штукатурки с откосов, углов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</si>
  <si>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</si>
  <si>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откосов, углов от шпаклевки до 40 см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</si>
  <si>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</si>
  <si>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откосов, углов от шпаклевки свыше 40 см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</si>
  <si>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</si>
  <si>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краски откосов, углов до 40 см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</si>
  <si>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</si>
  <si>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краски откосов, углов свыше 40 см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</si>
  <si>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</si>
  <si>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уголка с откосов,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</si>
  <si>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</si>
  <si>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сэндвич панелей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</si>
  <si>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</si>
  <si>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Обрезка пены с откосов,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</si>
  <si>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</si>
  <si>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потолочного плинтуса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</si>
  <si>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</si>
  <si>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подвесных потолков ГКЛ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</si>
  <si>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</si>
  <si>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реечного потолка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</si>
  <si>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</si>
  <si>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кассетного подвесного потолка(армстронг)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</si>
  <si>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</si>
  <si>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потолочных панелей(на клею)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</si>
  <si>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</si>
  <si>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Демонтаж панелей кассетного потолка без
</t>
    </r>
    <r>
      <rPr>
        <sz val="10"/>
        <color rgb="FF000000"/>
        <rFont val="Times New Roman"/>
        <family val="1"/>
        <charset val="204"/>
      </rPr>
      <t>профиля(армстронг)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</si>
  <si>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</si>
  <si>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натяжного потолка(включая профиль)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</si>
  <si>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</si>
  <si>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Сверление отверстия в реечном потолке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</si>
  <si>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</si>
  <si>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Отбивка штукатурки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</si>
  <si>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</si>
  <si>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Расшивка трещин рустов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</si>
  <si>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</si>
  <si>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Ошкуривание поверхности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</si>
  <si>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</si>
  <si>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побелки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</si>
  <si>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</si>
  <si>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краски ВЭ*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</si>
  <si>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</si>
  <si>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потолков от маслянной краски*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</si>
  <si>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</si>
  <si>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потолков из ацеида, гипсолита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</si>
  <si>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</si>
  <si>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Снятие обоев(потолки)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</si>
  <si>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</si>
  <si>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Очистка потолка от шпатлевки*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</si>
  <si>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</si>
  <si>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наличников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</si>
  <si>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</si>
  <si>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деревянной двери(+ наличник)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</si>
  <si>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</si>
  <si>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металлической двери(+ наличник)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</si>
  <si>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</si>
  <si>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Снятие деревянной двери с петель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</si>
  <si>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</si>
  <si>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Очистка наличников или дверной коробки от краски*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</si>
  <si>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</si>
  <si>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дверного полотна от краски*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</si>
  <si>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</si>
  <si>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оконного блока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</si>
  <si>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</si>
  <si>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подоконника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</si>
  <si>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</si>
  <si>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Очистка окна от краски*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</si>
  <si>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</si>
  <si>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встроенных шкафов и полок, антресолей*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</si>
  <si>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</si>
  <si>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карнизов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</si>
  <si>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</si>
  <si>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Демонтаж вентиляционной решетки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</si>
  <si>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</si>
  <si>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Очиска радиатора от краски(до 5 секций)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</si>
  <si>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</si>
  <si>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Очиска радиатора каждая следущая секция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</si>
  <si>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</si>
  <si>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воздуховодов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</si>
  <si>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</si>
  <si>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Срез металлоконструкций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</si>
  <si>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</si>
  <si>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смесителя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</si>
  <si>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</si>
  <si>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радиатора*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</si>
  <si>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</si>
  <si>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сантехнического шкафа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</si>
  <si>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</si>
  <si>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душевой кабины(без сохранения)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</si>
  <si>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</si>
  <si>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душевой кабины(с сохранением)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</si>
  <si>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</si>
  <si>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ванны(без сохранения)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</si>
  <si>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</si>
  <si>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ванны(с сохранением)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</si>
  <si>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</si>
  <si>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раковины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</si>
  <si>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</si>
  <si>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кухнонной мойки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</si>
  <si>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</si>
  <si>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унитаза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</si>
  <si>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</si>
  <si>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стиральной машины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</si>
  <si>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</si>
  <si>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полотенцесушителя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</si>
  <si>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</si>
  <si>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водонагревателя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</si>
  <si>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</si>
  <si>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радиатора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</si>
  <si>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</si>
  <si>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кранов вводных, счетчиков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</si>
  <si>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</si>
  <si>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кранов шаровых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</si>
  <si>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</si>
  <si>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труб в/с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</si>
  <si>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</si>
  <si>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труб канализации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</si>
  <si>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</si>
  <si>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Штробление кирпичных стен(сечение штробы до 7см)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</si>
  <si>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</si>
  <si>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Штробление бетонных стен(сечение штробы до 7 см)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</si>
  <si>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</si>
  <si>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Демонтаж розеток и выключателей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</si>
  <si>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</si>
  <si>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светильников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</si>
  <si>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</si>
  <si>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люстры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</si>
  <si>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</si>
  <si>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электрического щита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</si>
  <si>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</si>
  <si>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Демонтаж электрокабеля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</si>
  <si>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</si>
  <si>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Демонтаж автоматического выключателя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</si>
  <si>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</si>
  <si>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Пробивка отверстия ф16-20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</si>
  <si>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</si>
  <si>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Штробление ниши под элщит до 12 модулей(бетон)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</si>
  <si>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</si>
  <si>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Штробление ниши под элщит свыше 12 модулей(бетон)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</si>
  <si>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</si>
  <si>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Штробление ниши под элщит(кирпич/пеноблок)</t>
    </r>
  </si>
  <si>
    <r>
      <rPr>
        <sz val="10"/>
        <rFont val="Times New Roman"/>
        <family val="1"/>
        <charset val="204"/>
      </rPr>
      <t>шт</t>
    </r>
  </si>
  <si>
    <r>
      <rPr>
        <b/>
        <sz val="10"/>
        <rFont val="Times New Roman"/>
        <family val="1"/>
        <charset val="204"/>
      </rPr>
      <t>Полы. Черновые работы</t>
    </r>
  </si>
  <si>
    <r>
      <rPr>
        <sz val="10"/>
        <rFont val="Times New Roman"/>
        <family val="1"/>
        <charset val="204"/>
      </rPr>
      <t>Грунтовка пола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</si>
  <si>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</si>
  <si>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Грунтовка пола(бетоноконтактом)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</si>
  <si>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</si>
  <si>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наливных полов (до 1 см)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</si>
  <si>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</si>
  <si>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наливных полов (до 3 см)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</si>
  <si>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</si>
  <si>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стяжки по маякам до 4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</si>
  <si>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</si>
  <si>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стяжки по маякам до 6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</si>
  <si>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</si>
  <si>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стяжки по маякам свыше 6 см до 10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</si>
  <si>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</si>
  <si>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Железнение стяжки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</si>
  <si>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</si>
  <si>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сетки(для стяжки)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</si>
  <si>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</si>
  <si>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Монтаж демферной ленты(кромочной ленты)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</si>
  <si>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</si>
  <si>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Обработка антиплесенью</t>
    </r>
  </si>
  <si>
    <r>
      <rPr>
        <sz val="10"/>
        <rFont val="Times New Roman"/>
        <family val="1"/>
        <charset val="204"/>
      </rPr>
      <t>м2/мп</t>
    </r>
  </si>
  <si>
    <r>
      <rPr>
        <sz val="10"/>
        <rFont val="Times New Roman"/>
        <family val="1"/>
        <charset val="204"/>
      </rPr>
      <t>Подсыпка керамзита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</si>
  <si>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</si>
  <si>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Гидроизоляция пола пленкой ПВХ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</si>
  <si>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</si>
  <si>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Гидроизоляция рулонными материалами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</si>
  <si>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</si>
  <si>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Гидроизоляция пола(смесью водостоп или жидким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</si>
  <si>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</si>
  <si>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"сухой стяжки"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</si>
  <si>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</si>
  <si>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деревянной обрешетки пола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</si>
  <si>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</si>
  <si>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пароизоляции(полы)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</si>
  <si>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</si>
  <si>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тепло/звукоизоляции(полы)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</si>
  <si>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</si>
  <si>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деревянных лаг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</si>
  <si>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</si>
  <si>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Укладка фанеры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</si>
  <si>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</si>
  <si>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Шлифовка фанеры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</si>
  <si>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</si>
  <si>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ДВП</t>
    </r>
  </si>
  <si>
    <r>
      <rPr>
        <sz val="10"/>
        <rFont val="Times New Roman"/>
        <family val="1"/>
        <charset val="204"/>
      </rPr>
      <t>м2</t>
    </r>
  </si>
  <si>
    <r>
      <rPr>
        <b/>
        <sz val="10"/>
        <rFont val="Times New Roman"/>
        <family val="1"/>
        <charset val="204"/>
      </rPr>
      <t>Стены. Черновые Работы</t>
    </r>
  </si>
  <si>
    <r>
      <rPr>
        <sz val="10"/>
        <rFont val="Times New Roman"/>
        <family val="1"/>
        <charset val="204"/>
      </rPr>
      <t>Грунтовка стен(бетоноконтактом)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</si>
  <si>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</si>
  <si>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по маякам высококачественная до 2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</si>
  <si>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</si>
  <si>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по маякам высококачественная до 5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</si>
  <si>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</si>
  <si>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по маякам улучшенная до 2 см гипсовая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</si>
  <si>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</si>
  <si>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по маякам улучшенная до 2 см цементной смесью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</si>
  <si>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</si>
  <si>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по маякам улучшенная до 5 см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</si>
  <si>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</si>
  <si>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стен простая (под правило)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</si>
  <si>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</si>
  <si>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Протяжка углов штукатуркой и устройство угла 90 градусов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</si>
  <si>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</si>
  <si>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Поклейка стеклохолста(стены)</t>
    </r>
  </si>
  <si>
    <r>
      <rPr>
        <sz val="10"/>
        <rFont val="Times New Roman"/>
        <family val="1"/>
        <charset val="204"/>
      </rPr>
      <t>м2/мп</t>
    </r>
  </si>
  <si>
    <r>
      <rPr>
        <sz val="10"/>
        <color rgb="FF000000"/>
        <rFont val="Times New Roman"/>
        <family val="1"/>
        <charset val="204"/>
      </rPr>
      <t xml:space="preserve">Шпатлевка стен под окраску под малярную лампу
</t>
    </r>
    <r>
      <rPr>
        <sz val="10"/>
        <color rgb="FF000000"/>
        <rFont val="Times New Roman"/>
        <family val="1"/>
        <charset val="204"/>
      </rPr>
      <t>LOSSEW поверхность качества К4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</si>
  <si>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</si>
  <si>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Грунтовка стен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</si>
  <si>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</si>
  <si>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Сплошная шпаклевка в 1 слой / Базовый слой /
</t>
    </r>
    <r>
      <rPr>
        <sz val="10"/>
        <color rgb="FF000000"/>
        <rFont val="Times New Roman"/>
        <family val="1"/>
        <charset val="204"/>
      </rPr>
      <t>Дополнительный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</si>
  <si>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</si>
  <si>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Шпаклевка стен под оклейку обоями (поверхность
</t>
    </r>
    <r>
      <rPr>
        <sz val="10"/>
        <color rgb="FF000000"/>
        <rFont val="Times New Roman"/>
        <family val="1"/>
        <charset val="204"/>
      </rPr>
      <t>качества) К2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</si>
  <si>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</si>
  <si>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Шпаклевка стен под окраску базовые 2 слоя (поверхность
</t>
    </r>
    <r>
      <rPr>
        <sz val="10"/>
        <color rgb="FF000000"/>
        <rFont val="Times New Roman"/>
        <family val="1"/>
        <charset val="204"/>
      </rPr>
      <t>качества) К3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</si>
  <si>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</si>
  <si>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Шпаклевка стен под окраску финишные 2 слоя
</t>
    </r>
    <r>
      <rPr>
        <sz val="10"/>
        <color rgb="FF000000"/>
        <rFont val="Times New Roman"/>
        <family val="1"/>
        <charset val="204"/>
      </rPr>
      <t>(поверхность качества) К3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</si>
  <si>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</si>
  <si>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Ошкуривание стен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</si>
  <si>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</si>
  <si>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Демонтаж маяков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</si>
  <si>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</si>
  <si>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Монтаж маяков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</si>
  <si>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</si>
  <si>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Нанесение штукатурной/малярной сетки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</si>
  <si>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</si>
  <si>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Кирпичная кладка в 1/2 кирпича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</si>
  <si>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</si>
  <si>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Кирпичная кладка в 1 кирпич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</si>
  <si>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</si>
  <si>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Кладка стен из пеноблоков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</si>
  <si>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</si>
  <si>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Кладка перегородок из шлакоблоков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</si>
  <si>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</si>
  <si>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Кладка перегородок из пазогребневых блоков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</si>
  <si>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</si>
  <si>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Армирование проемов арматурой (1 проём)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</si>
  <si>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</si>
  <si>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Устройство дверного проёма в возведенных стенах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</si>
  <si>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</si>
  <si>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Герметизация стыков, швов монтажной пеной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</si>
  <si>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</si>
  <si>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Герметизация стыков, швов силиконом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</si>
  <si>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</si>
  <si>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Гидроизоляция(смесью водостоп или жидким стеклом)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</si>
  <si>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</si>
  <si>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перегородок из ГКЛ в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</si>
  <si>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</si>
  <si>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перегородок из ГКЛ в 2 слоя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</si>
  <si>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</si>
  <si>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Выравнивание стен листами ГКЛ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</si>
  <si>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</si>
  <si>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Выравнивание стен листами ГКЛ(1 слой) с устройством
</t>
    </r>
    <r>
      <rPr>
        <sz val="10"/>
        <color rgb="FF000000"/>
        <rFont val="Times New Roman"/>
        <family val="1"/>
        <charset val="204"/>
      </rPr>
      <t>каркаса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</si>
  <si>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</si>
  <si>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Выравнивание стен листами ГКЛ(2 слоя) с устройством
</t>
    </r>
    <r>
      <rPr>
        <sz val="10"/>
        <color rgb="FF000000"/>
        <rFont val="Times New Roman"/>
        <family val="1"/>
        <charset val="204"/>
      </rPr>
      <t>каркаса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</si>
  <si>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</si>
  <si>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Проклейка швов ГКЛ серпянкой/малярной лентой и
</t>
    </r>
    <r>
      <rPr>
        <sz val="10"/>
        <color rgb="FF000000"/>
        <rFont val="Times New Roman"/>
        <family val="1"/>
        <charset val="204"/>
      </rPr>
      <t>шпаклевка</t>
    </r>
  </si>
  <si>
    <r>
      <rPr>
        <sz val="10"/>
        <rFont val="Times New Roman"/>
        <family val="1"/>
        <charset val="204"/>
      </rPr>
      <t>м2/мп</t>
    </r>
  </si>
  <si>
    <r>
      <rPr>
        <sz val="10"/>
        <rFont val="Times New Roman"/>
        <family val="1"/>
        <charset val="204"/>
      </rPr>
      <t>Устройсво коробов из ГКЛ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</si>
  <si>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</si>
  <si>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Устройво ниш, ступеней из ГКЛ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</si>
  <si>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</si>
  <si>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арки из ГКЛ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</si>
  <si>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</si>
  <si>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деревянной обрешетки стены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</si>
  <si>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</si>
  <si>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пароизоляции (стены)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</si>
  <si>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</si>
  <si>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тепло/звукоизоляции (стены) 1 слой</t>
    </r>
  </si>
  <si>
    <r>
      <rPr>
        <sz val="10"/>
        <rFont val="Times New Roman"/>
        <family val="1"/>
        <charset val="204"/>
      </rPr>
      <t>м2</t>
    </r>
  </si>
  <si>
    <r>
      <rPr>
        <b/>
        <sz val="10"/>
        <rFont val="Times New Roman"/>
        <family val="1"/>
        <charset val="204"/>
      </rPr>
      <t>Откосы. Черновые Работы</t>
    </r>
  </si>
  <si>
    <r>
      <rPr>
        <sz val="10"/>
        <rFont val="Times New Roman"/>
        <family val="1"/>
        <charset val="204"/>
      </rPr>
      <t>Грунтовка откосов,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</si>
  <si>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</si>
  <si>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Штукатурка откосов до 40 см,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</si>
  <si>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</si>
  <si>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Штукатурка откосов от 40 до 60 см,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</si>
  <si>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</si>
  <si>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Штукатурка откосов арочных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</si>
  <si>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</si>
  <si>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Шпаклевка откосов,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</si>
  <si>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</si>
  <si>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малярной сетки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</si>
  <si>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</si>
  <si>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Запенивание стыков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</si>
  <si>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</si>
  <si>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откосов из ГКЛ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</si>
  <si>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</si>
  <si>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Утепление откосов</t>
    </r>
  </si>
  <si>
    <r>
      <rPr>
        <sz val="10"/>
        <rFont val="Times New Roman"/>
        <family val="1"/>
        <charset val="204"/>
      </rPr>
      <t>м/п</t>
    </r>
  </si>
  <si>
    <r>
      <rPr>
        <b/>
        <sz val="10"/>
        <rFont val="Times New Roman"/>
        <family val="1"/>
        <charset val="204"/>
      </rPr>
      <t>Потолки. Черновые Работы</t>
    </r>
  </si>
  <si>
    <r>
      <rPr>
        <sz val="10"/>
        <rFont val="Times New Roman"/>
        <family val="1"/>
        <charset val="204"/>
      </rPr>
      <t>Грунтовка потолков бетоноконтактом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</si>
  <si>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</si>
  <si>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потолка простая (под правило)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</si>
  <si>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</si>
  <si>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потолка по маякам высококачественная  до 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</si>
  <si>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</si>
  <si>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Штукатурка потолка по маякам улучшенная до 2 см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</si>
  <si>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</si>
  <si>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Шпатлевка потолок под окраску под малярную лампу
</t>
    </r>
    <r>
      <rPr>
        <sz val="10"/>
        <color rgb="FF000000"/>
        <rFont val="Times New Roman"/>
        <family val="1"/>
        <charset val="204"/>
      </rPr>
      <t>LOSSEW поверхность качества К4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</si>
  <si>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</si>
  <si>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Заделка трещин рустов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</si>
  <si>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</si>
  <si>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Проклейка швов ГКЛ серпянкой/малярной лентой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</si>
  <si>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</si>
  <si>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теплоизоляции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</si>
  <si>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</si>
  <si>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Грунтовка потолков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</si>
  <si>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</si>
  <si>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Поклейка стеклохолста(потолок)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</si>
  <si>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</si>
  <si>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малярной сетки/"серпянки"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</si>
  <si>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</si>
  <si>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Сплошная шпаклевка в один слой / Базовый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</si>
  <si>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</si>
  <si>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Шпаклевка потолков в два слоя категория качества К2 под
</t>
    </r>
    <r>
      <rPr>
        <sz val="10"/>
        <color rgb="FF000000"/>
        <rFont val="Times New Roman"/>
        <family val="1"/>
        <charset val="204"/>
      </rPr>
      <t>обои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</si>
  <si>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</si>
  <si>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Шпаклевка стен под окраску базовые 2 слоя (поверхность
</t>
    </r>
    <r>
      <rPr>
        <sz val="10"/>
        <color rgb="FF000000"/>
        <rFont val="Times New Roman"/>
        <family val="1"/>
        <charset val="204"/>
      </rPr>
      <t>качества) К3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</si>
  <si>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</si>
  <si>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Ошкуривание потолка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</si>
  <si>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</si>
  <si>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Шпаклевка криволинейного участка до 250мм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</si>
  <si>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</si>
  <si>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деревянной обрешетки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</si>
  <si>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</si>
  <si>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пароизоляции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</si>
  <si>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</si>
  <si>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теплоизоляции/шумоизоляции(потолок)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</si>
  <si>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</si>
  <si>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коробов из ГКЛ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</si>
  <si>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</si>
  <si>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потолков из ГКЛ в толщину 1 слой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</si>
  <si>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</si>
  <si>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Устройство потолков из ГКЛ в толщину 2 слоя
</t>
    </r>
    <r>
      <rPr>
        <sz val="10"/>
        <color rgb="FF000000"/>
        <rFont val="Times New Roman"/>
        <family val="1"/>
        <charset val="204"/>
      </rPr>
      <t>прямолинейный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</si>
  <si>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</si>
  <si>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Устройство криволинейного участка в ГКЛ и/или второй и
</t>
    </r>
    <r>
      <rPr>
        <sz val="10"/>
        <color rgb="FF000000"/>
        <rFont val="Times New Roman"/>
        <family val="1"/>
        <charset val="204"/>
      </rPr>
      <t>последующие уровни потолка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</si>
  <si>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</si>
  <si>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Подготовка ниши в ГКЛ под линейное освещение</t>
    </r>
  </si>
  <si>
    <r>
      <rPr>
        <sz val="10"/>
        <rFont val="Times New Roman"/>
        <family val="1"/>
        <charset val="204"/>
      </rPr>
      <t>м/п</t>
    </r>
  </si>
  <si>
    <r>
      <rPr>
        <b/>
        <sz val="10"/>
        <rFont val="Times New Roman"/>
        <family val="1"/>
        <charset val="204"/>
      </rPr>
      <t>Полы. Чистовые Работы</t>
    </r>
  </si>
  <si>
    <r>
      <rPr>
        <sz val="10"/>
        <color rgb="FF000000"/>
        <rFont val="Times New Roman"/>
        <family val="1"/>
        <charset val="204"/>
      </rPr>
      <t xml:space="preserve">Облицовка плиткой пола (до 600 по одной грани
</t>
    </r>
    <r>
      <rPr>
        <sz val="10"/>
        <color rgb="FF000000"/>
        <rFont val="Times New Roman"/>
        <family val="1"/>
        <charset val="204"/>
      </rPr>
      <t>включительно)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</si>
  <si>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</si>
  <si>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Подрезка керамической напольной плитки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</si>
  <si>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</si>
  <si>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плиткой пола с декоративными вставками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</si>
  <si>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</si>
  <si>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Диагональная укладка (считается дополнительно к
</t>
    </r>
    <r>
      <rPr>
        <sz val="10"/>
        <color rgb="FF000000"/>
        <rFont val="Times New Roman"/>
        <family val="1"/>
        <charset val="204"/>
      </rPr>
      <t>облицовке плиткой и керамогранитом)*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</si>
  <si>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</si>
  <si>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плиткой пола "панно"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</si>
  <si>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</si>
  <si>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плиточным бордюром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</si>
  <si>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</si>
  <si>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плиткой менее 300x300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</si>
  <si>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</si>
  <si>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Облицовка керамогранитом (до 800 по одной грани
</t>
    </r>
    <r>
      <rPr>
        <sz val="10"/>
        <color rgb="FF000000"/>
        <rFont val="Times New Roman"/>
        <family val="1"/>
        <charset val="204"/>
      </rPr>
      <t>включительно)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</si>
  <si>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</si>
  <si>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керамогранитом 600x600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</si>
  <si>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</si>
  <si>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керамогранитом (1200х600 и менее)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</si>
  <si>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</si>
  <si>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керамогранитом (более 1200x600)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</si>
  <si>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</si>
  <si>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мозаикой на подложке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</si>
  <si>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</si>
  <si>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мозаикой, мелкой плиткой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</si>
  <si>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</si>
  <si>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плиткой ступеней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</si>
  <si>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</si>
  <si>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</si>
  <si>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</si>
  <si>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 эпоксидной затиркой (плитка менее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</si>
  <si>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</si>
  <si>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 эпоксидной затиркой (плитка более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</si>
  <si>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</si>
  <si>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Подрезка керамогранита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</si>
  <si>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</si>
  <si>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Устройство плинтуса из плитки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</si>
  <si>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</si>
  <si>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Укладка ламината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</si>
  <si>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</si>
  <si>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ламината с проклейкой стыков клеем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</si>
  <si>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</si>
  <si>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ПВХ и кварцвиниловой плитки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</si>
  <si>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</si>
  <si>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ПВХ и кварцвиниловой плитки (на клей)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</si>
  <si>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</si>
  <si>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напольного покрытия по диагонали**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</si>
  <si>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</si>
  <si>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паркетной доски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</si>
  <si>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</si>
  <si>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паркетной доски(на клей)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</si>
  <si>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</si>
  <si>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инженерной доски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</si>
  <si>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</si>
  <si>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Укладка массива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</si>
  <si>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</si>
  <si>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Настил линолеума бытового, ковролина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</si>
  <si>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</si>
  <si>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Настил линолеума коммерческого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</si>
  <si>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</si>
  <si>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Монтаж плинтусов пластиковых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</si>
  <si>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</si>
  <si>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плинтусов деревянных, МДФ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</si>
  <si>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</si>
  <si>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плинтусов полиуретан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</si>
  <si>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</si>
  <si>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порожков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</si>
  <si>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</si>
  <si>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Устройство порогов из плитки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</si>
  <si>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</si>
  <si>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Покраска(покрытие лаком) плинтуса, наличника</t>
    </r>
  </si>
  <si>
    <r>
      <rPr>
        <sz val="10"/>
        <rFont val="Times New Roman"/>
        <family val="1"/>
        <charset val="204"/>
      </rPr>
      <t>м/п</t>
    </r>
  </si>
  <si>
    <r>
      <rPr>
        <b/>
        <sz val="10"/>
        <rFont val="Times New Roman"/>
        <family val="1"/>
        <charset val="204"/>
      </rPr>
      <t>Стены. Чистовые Работы</t>
    </r>
  </si>
  <si>
    <r>
      <rPr>
        <sz val="10"/>
        <color rgb="FF000000"/>
        <rFont val="Times New Roman"/>
        <family val="1"/>
        <charset val="204"/>
      </rPr>
      <t xml:space="preserve">Облицовка керамической плиткой стен (до 600 по одной
</t>
    </r>
    <r>
      <rPr>
        <sz val="10"/>
        <color rgb="FF000000"/>
        <rFont val="Times New Roman"/>
        <family val="1"/>
        <charset val="204"/>
      </rPr>
      <t>грани включительно)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</si>
  <si>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</si>
  <si>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Облицовка стен керамогранитом до 800 по одной грани
</t>
    </r>
    <r>
      <rPr>
        <sz val="10"/>
        <color rgb="FF000000"/>
        <rFont val="Times New Roman"/>
        <family val="1"/>
        <charset val="204"/>
      </rPr>
      <t>включительно)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</si>
  <si>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</si>
  <si>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керамогранитом 600x600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</si>
  <si>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</si>
  <si>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керамогранитом (1200х600 и менее)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</si>
  <si>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</si>
  <si>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плиткой стен более 1200x600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</si>
  <si>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</si>
  <si>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плиткой стен, с декоративными вставками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</si>
  <si>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</si>
  <si>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Диагональная укладка (считается дополнительно к
</t>
    </r>
    <r>
      <rPr>
        <sz val="10"/>
        <color rgb="FF000000"/>
        <rFont val="Times New Roman"/>
        <family val="1"/>
        <charset val="204"/>
      </rPr>
      <t>облицовке плиткой и керамогранитом)*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</si>
  <si>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</si>
  <si>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</si>
  <si>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бордюра из плитки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</si>
  <si>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</si>
  <si>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декоративным камнем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</si>
  <si>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</si>
  <si>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стен мазайкой на подложке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</si>
  <si>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</si>
  <si>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мозаикой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</si>
  <si>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</si>
  <si>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плитки(стены)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</si>
  <si>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</si>
  <si>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 эпоксидной затиркой (плитка менее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</si>
  <si>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</si>
  <si>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Затирка плитки эпоксидной затиркой (плитка более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</si>
  <si>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</si>
  <si>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Подрезка плитки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</si>
  <si>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</si>
  <si>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Подрезка керамогранита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</si>
  <si>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</si>
  <si>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стен плиткой панно*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</si>
  <si>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</si>
  <si>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Подрезка резного края плитки под 45(стены)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</si>
  <si>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</si>
  <si>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углового профиля(для плитки)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</si>
  <si>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</si>
  <si>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3D панелями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</si>
  <si>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</si>
  <si>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3D панелями(менее чем 50х50)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</si>
  <si>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</si>
  <si>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ПВХ панелями(до 10м2)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</si>
  <si>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</si>
  <si>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ПВХ панелями(свыше 10м2)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</si>
  <si>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</si>
  <si>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декоративных реек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</si>
  <si>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</si>
  <si>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стеновыми панелями(с устройством каркаса)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</si>
  <si>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</si>
  <si>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стен ПВХ панелями(с устройством каркаса)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</si>
  <si>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</si>
  <si>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Декоративная штукатурка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</si>
  <si>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</si>
  <si>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Фактурная штукатурка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</si>
  <si>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</si>
  <si>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Оклейка стен обоями без подбора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</si>
  <si>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</si>
  <si>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Оклейка стен обоями без подбора (ширина до 50см)</t>
    </r>
  </si>
  <si>
    <r>
      <rPr>
        <sz val="10"/>
        <rFont val="Times New Roman"/>
        <family val="1"/>
        <charset val="204"/>
      </rPr>
      <t>м2</t>
    </r>
  </si>
  <si>
    <r>
      <rPr>
        <sz val="10"/>
        <color rgb="FF000000"/>
        <rFont val="Times New Roman"/>
        <family val="1"/>
        <charset val="204"/>
      </rPr>
      <t xml:space="preserve">Оклейка стен премиум обоями (от 3,5 тыс рулон),
</t>
    </r>
    <r>
      <rPr>
        <sz val="10"/>
        <color rgb="FF000000"/>
        <rFont val="Times New Roman"/>
        <family val="1"/>
        <charset val="204"/>
      </rPr>
      <t>шелковыми обоями, обоями типа соломка, пробковым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</si>
  <si>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</si>
  <si>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Оклейка стен обоями с подбором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</si>
  <si>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</si>
  <si>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Оклейка стен обоями под окраску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</si>
  <si>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</si>
  <si>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Поклейка обойного бордюра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</si>
  <si>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</si>
  <si>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Поклейка фотообоев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</si>
  <si>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</si>
  <si>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Нанесение жидких обоев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</si>
  <si>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</si>
  <si>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малярного уголка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</si>
  <si>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</si>
  <si>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Облицовка плиткой "фартук"(затиркой и подрезкой)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</si>
  <si>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</si>
  <si>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Окраска стен в 2 слоя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</si>
  <si>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</si>
  <si>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Окраска стен(цветная) до 3х цветов*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</si>
  <si>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</si>
  <si>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Окраска обоев в 2 слоя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</si>
  <si>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</si>
  <si>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Венецианская штукатурка</t>
    </r>
  </si>
  <si>
    <r>
      <rPr>
        <sz val="10"/>
        <rFont val="Times New Roman"/>
        <family val="1"/>
        <charset val="204"/>
      </rPr>
      <t>м2</t>
    </r>
  </si>
  <si>
    <r>
      <rPr>
        <b/>
        <sz val="10"/>
        <rFont val="Times New Roman"/>
        <family val="1"/>
        <charset val="204"/>
      </rPr>
      <t>Откосы. Чистовые Работы</t>
    </r>
  </si>
  <si>
    <r>
      <rPr>
        <sz val="10"/>
        <rFont val="Times New Roman"/>
        <family val="1"/>
        <charset val="204"/>
      </rPr>
      <t>Окраска откосов, углов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</si>
  <si>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</si>
  <si>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Оклейка откосов обоями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</si>
  <si>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</si>
  <si>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ПВХ уголка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</si>
  <si>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</si>
  <si>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Устройство откосов из ПВХ панелей, сэндвич-панелей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</si>
  <si>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</si>
  <si>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Облицовка откосов плиткой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</si>
  <si>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</si>
  <si>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Подрезка резного края плитки под 45 гр.</t>
    </r>
  </si>
  <si>
    <r>
      <rPr>
        <sz val="10"/>
        <rFont val="Times New Roman"/>
        <family val="1"/>
        <charset val="204"/>
      </rPr>
      <t>м/п</t>
    </r>
  </si>
  <si>
    <r>
      <rPr>
        <b/>
        <sz val="10"/>
        <rFont val="Times New Roman"/>
        <family val="1"/>
        <charset val="204"/>
      </rPr>
      <t>Потолки. Чистовые Работы</t>
    </r>
  </si>
  <si>
    <r>
      <rPr>
        <sz val="10"/>
        <rFont val="Times New Roman"/>
        <family val="1"/>
        <charset val="204"/>
      </rPr>
      <t>Окраска потолков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</si>
  <si>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</si>
  <si>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потолков из ПВХ панелей свыше 10м2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</si>
  <si>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</si>
  <si>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потолков из ПВХ панелей до 10м2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</si>
  <si>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</si>
  <si>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потолков реечных свыше 10м2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</si>
  <si>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</si>
  <si>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потолков реечных до 10м2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</si>
  <si>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</si>
  <si>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плинтуса потолочного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</si>
  <si>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</si>
  <si>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Установка плинтуса потолочного(полиуретан)</t>
    </r>
  </si>
  <si>
    <r>
      <rPr>
        <sz val="10"/>
        <rFont val="Times New Roman"/>
        <family val="1"/>
        <charset val="204"/>
      </rPr>
      <t>м</t>
    </r>
  </si>
  <si>
    <r>
      <rPr>
        <sz val="10"/>
        <color rgb="FF000000"/>
        <rFont val="Times New Roman"/>
        <family val="1"/>
        <charset val="204"/>
      </rPr>
      <t xml:space="preserve">Установка плинтуса потолочного(полиуретан, с подбором
</t>
    </r>
    <r>
      <rPr>
        <sz val="10"/>
        <color rgb="FF000000"/>
        <rFont val="Times New Roman"/>
        <family val="1"/>
        <charset val="204"/>
      </rPr>
      <t>рисунка)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</si>
  <si>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</si>
  <si>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Установка плинтуса потолочного(дюропласт)</t>
    </r>
  </si>
  <si>
    <r>
      <rPr>
        <sz val="10"/>
        <rFont val="Times New Roman"/>
        <family val="1"/>
        <charset val="204"/>
      </rPr>
      <t>м</t>
    </r>
  </si>
  <si>
    <r>
      <rPr>
        <sz val="10"/>
        <rFont val="Times New Roman"/>
        <family val="1"/>
        <charset val="204"/>
      </rPr>
      <t>Окраска потолочного плинтуса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</si>
  <si>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</si>
  <si>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Поклейка панелей потолочных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</si>
  <si>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</si>
  <si>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Устройство кассетных подвесных потолков("Армстронг")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</si>
  <si>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</si>
  <si>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Поклейка обоев на потолок</t>
    </r>
  </si>
  <si>
    <r>
      <rPr>
        <sz val="10"/>
        <rFont val="Times New Roman"/>
        <family val="1"/>
        <charset val="204"/>
      </rPr>
      <t>м2</t>
    </r>
  </si>
  <si>
    <r>
      <rPr>
        <b/>
        <sz val="10"/>
        <rFont val="Times New Roman"/>
        <family val="1"/>
        <charset val="204"/>
      </rPr>
      <t>Прочее. Чистовые Работы</t>
    </r>
  </si>
  <si>
    <r>
      <rPr>
        <sz val="10"/>
        <rFont val="Times New Roman"/>
        <family val="1"/>
        <charset val="204"/>
      </rPr>
      <t>Установка деревянной двери на петли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</si>
  <si>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</si>
  <si>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Подрез деревянной двери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</si>
  <si>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</si>
  <si>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Врезка замка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</si>
  <si>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</si>
  <si>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замка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</si>
  <si>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</si>
  <si>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наличников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</si>
  <si>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</si>
  <si>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Окраска двери*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</si>
  <si>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</si>
  <si>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доборов дверных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</si>
  <si>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</si>
  <si>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Установка арки в проем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</si>
  <si>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</si>
  <si>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стеклянных шторок на ванну*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</si>
  <si>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</si>
  <si>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антресольных дверок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</si>
  <si>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</si>
  <si>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Монтаж дверного ограничителя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</si>
  <si>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</si>
  <si>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Окраска наличников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</si>
  <si>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</si>
  <si>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Обшивка двери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</si>
  <si>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</si>
  <si>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Шпаклевка дверей(с ошкуриванием*)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</si>
  <si>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</si>
  <si>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Замуровка окна(между с/у и кухней)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</si>
  <si>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</si>
  <si>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Окраска окна*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</si>
  <si>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</si>
  <si>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подоконников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</si>
  <si>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</si>
  <si>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отливов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</si>
  <si>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</si>
  <si>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Окраска подоконников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</si>
  <si>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</si>
  <si>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Заделка окна(кухня / с/у)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</si>
  <si>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</si>
  <si>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карнизов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</si>
  <si>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</si>
  <si>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рольставней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</si>
  <si>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</si>
  <si>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полок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</si>
  <si>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</si>
  <si>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зеркал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</si>
  <si>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</si>
  <si>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шкафа навесного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</si>
  <si>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</si>
  <si>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экрана для радиатора из МДФ(без изготовления)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</si>
  <si>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</si>
  <si>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аксессуаров(вешалки, крючки и пр.)</t>
    </r>
  </si>
  <si>
    <r>
      <rPr>
        <sz val="10"/>
        <rFont val="Times New Roman"/>
        <family val="1"/>
        <charset val="204"/>
      </rPr>
      <t>шт</t>
    </r>
  </si>
  <si>
    <r>
      <rPr>
        <b/>
        <sz val="10"/>
        <rFont val="Times New Roman"/>
        <family val="1"/>
        <charset val="204"/>
      </rPr>
      <t>Электрика</t>
    </r>
  </si>
  <si>
    <r>
      <rPr>
        <sz val="10"/>
        <rFont val="Times New Roman"/>
        <family val="1"/>
        <charset val="204"/>
      </rPr>
      <t>Штробление кирпичных стен под элкабель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</si>
  <si>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</si>
  <si>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Штробление бетонных стен под элкабель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</si>
  <si>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</si>
  <si>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Заделка штроб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</si>
  <si>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</si>
  <si>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механизма, панели электроточки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</si>
  <si>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</si>
  <si>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Электроточки накладной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</si>
  <si>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</si>
  <si>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электроточки в ГКЛ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</si>
  <si>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</si>
  <si>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электроточки в кирпиче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</si>
  <si>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</si>
  <si>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электроточки в бетоне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</si>
  <si>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</si>
  <si>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3х фазной розетки накладной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</si>
  <si>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</si>
  <si>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3х фазной розетки накладной внутренней</t>
    </r>
  </si>
  <si>
    <r>
      <rPr>
        <sz val="10"/>
        <rFont val="Times New Roman"/>
        <family val="1"/>
        <charset val="204"/>
      </rPr>
      <t>шт</t>
    </r>
  </si>
  <si>
    <r>
      <rPr>
        <sz val="10"/>
        <color rgb="FF000000"/>
        <rFont val="Times New Roman"/>
        <family val="1"/>
        <charset val="204"/>
      </rPr>
      <t xml:space="preserve">Установка трекового освещения(без монтажа
</t>
    </r>
    <r>
      <rPr>
        <sz val="10"/>
        <color rgb="FF000000"/>
        <rFont val="Times New Roman"/>
        <family val="1"/>
        <charset val="204"/>
      </rPr>
      <t>осветительных приборов)*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</si>
  <si>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</si>
  <si>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люстры**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</si>
  <si>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</si>
  <si>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линейного светильника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</si>
  <si>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</si>
  <si>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Установка бра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</si>
  <si>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</si>
  <si>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Прокладка кабеля (по полу)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</si>
  <si>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</si>
  <si>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Прокладка кабеля в ПВХ трубе (по полу)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</si>
  <si>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</si>
  <si>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Прокладка кабеля (по потолку)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</si>
  <si>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</si>
  <si>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Прокладка кабеля в ПВХ трубе (по потолку)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</si>
  <si>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</si>
  <si>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кабель-канала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</si>
  <si>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</si>
  <si>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вентилятора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</si>
  <si>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</si>
  <si>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светильников точечных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</si>
  <si>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</si>
  <si>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светильника настенного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</si>
  <si>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</si>
  <si>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Коробки распределительной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</si>
  <si>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</si>
  <si>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светодиодной ленты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</si>
  <si>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</si>
  <si>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контроллера для светодиодной ленты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</si>
  <si>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</si>
  <si>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автоматического выключателя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</si>
  <si>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</si>
  <si>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дифф автоматического выключателя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</si>
  <si>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</si>
  <si>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УЗО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</si>
  <si>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</si>
  <si>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Подключение к вводному щиту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</si>
  <si>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</si>
  <si>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накладного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</si>
  <si>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</si>
  <si>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слаботочного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</si>
  <si>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</si>
  <si>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Расключение элищта слаботочного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</si>
  <si>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</si>
  <si>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до 6 автоматов в кирпичной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</si>
  <si>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</si>
  <si>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до 12 автоматов в кирпичной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</si>
  <si>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</si>
  <si>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более 12 автоматов в кирпичной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</si>
  <si>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</si>
  <si>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до 6 автоматов в бетонной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</si>
  <si>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</si>
  <si>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до 12 автоматов в бетонной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</si>
  <si>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</si>
  <si>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элщита до более 12 автоматов в бетонной стене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</si>
  <si>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</si>
  <si>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звонка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</si>
  <si>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</si>
  <si>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домофона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</si>
  <si>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</si>
  <si>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Устройство инфракрасного теплого пола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</si>
  <si>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</si>
  <si>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терморегулятора под теплый пол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</si>
  <si>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</si>
  <si>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Устройство теплого пола из карбоновых матов(кабель)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</si>
  <si>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</si>
  <si>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Прозвон линии действуюей электросети(до 15 точек)</t>
    </r>
  </si>
  <si>
    <r>
      <rPr>
        <sz val="10"/>
        <rFont val="Times New Roman"/>
        <family val="1"/>
        <charset val="204"/>
      </rPr>
      <t>компл</t>
    </r>
  </si>
  <si>
    <r>
      <rPr>
        <sz val="10"/>
        <rFont val="Times New Roman"/>
        <family val="1"/>
        <charset val="204"/>
      </rPr>
      <t>Прозвон линии действуюей электросети(до 30 точек)</t>
    </r>
  </si>
  <si>
    <r>
      <rPr>
        <sz val="10"/>
        <rFont val="Times New Roman"/>
        <family val="1"/>
        <charset val="204"/>
      </rPr>
      <t>компл</t>
    </r>
  </si>
  <si>
    <r>
      <rPr>
        <sz val="10"/>
        <rFont val="Times New Roman"/>
        <family val="1"/>
        <charset val="204"/>
      </rPr>
      <t>Прозвон линии действуюей электросети(до 50 точек)</t>
    </r>
  </si>
  <si>
    <r>
      <rPr>
        <sz val="10"/>
        <rFont val="Times New Roman"/>
        <family val="1"/>
        <charset val="204"/>
      </rPr>
      <t>компл</t>
    </r>
  </si>
  <si>
    <r>
      <rPr>
        <b/>
        <sz val="10"/>
        <rFont val="Times New Roman"/>
        <family val="1"/>
        <charset val="204"/>
      </rPr>
      <t>Сантехника</t>
    </r>
  </si>
  <si>
    <r>
      <rPr>
        <sz val="10"/>
        <color rgb="FF000000"/>
        <rFont val="Times New Roman"/>
        <family val="1"/>
        <charset val="204"/>
      </rPr>
      <t xml:space="preserve">Снятие и установка радиатора, без замены, для проведения
</t>
    </r>
    <r>
      <rPr>
        <sz val="10"/>
        <color rgb="FF000000"/>
        <rFont val="Times New Roman"/>
        <family val="1"/>
        <charset val="204"/>
      </rPr>
      <t>работ по стенам при наличие шаровых кранов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</si>
  <si>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</si>
  <si>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вертикальных радиаторов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</si>
  <si>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</si>
  <si>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горизонтальных радиаторов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</si>
  <si>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</si>
  <si>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внутрипольных конвекторов (с вентилятором)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</si>
  <si>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</si>
  <si>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Окраска радиатора(до 5 секций)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</si>
  <si>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</si>
  <si>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Окраска радиатора каждая последущая секция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</si>
  <si>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</si>
  <si>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Окраска труб диаметром до 50мм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</si>
  <si>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</si>
  <si>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Окраска труб диаметром свыше 50мм</t>
    </r>
  </si>
  <si>
    <r>
      <rPr>
        <sz val="10"/>
        <rFont val="Times New Roman"/>
        <family val="1"/>
        <charset val="204"/>
      </rPr>
      <t>мп</t>
    </r>
  </si>
  <si>
    <r>
      <rPr>
        <sz val="10"/>
        <rFont val="Times New Roman"/>
        <family val="1"/>
        <charset val="204"/>
      </rPr>
      <t>Укрытие пленкой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</si>
  <si>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</si>
  <si>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Разборка/сборка мебели**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</si>
  <si>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</si>
  <si>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Сборка мебели 15% от стоимости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</si>
  <si>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</si>
  <si>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Занос/вынос мебели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</si>
  <si>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</si>
  <si>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Разгрузка материала</t>
    </r>
  </si>
  <si>
    <r>
      <rPr>
        <sz val="10"/>
        <rFont val="Times New Roman"/>
        <family val="1"/>
        <charset val="204"/>
      </rPr>
      <t>т</t>
    </r>
  </si>
  <si>
    <r>
      <rPr>
        <sz val="10"/>
        <rFont val="Times New Roman"/>
        <family val="1"/>
        <charset val="204"/>
      </rPr>
      <t>При отсутствии лифта подъем на 1 этаж</t>
    </r>
  </si>
  <si>
    <r>
      <rPr>
        <sz val="10"/>
        <rFont val="Times New Roman"/>
        <family val="1"/>
        <charset val="204"/>
      </rPr>
      <t>т</t>
    </r>
  </si>
  <si>
    <r>
      <rPr>
        <sz val="10"/>
        <rFont val="Times New Roman"/>
        <family val="1"/>
        <charset val="204"/>
      </rPr>
      <t>Вынос мусора*****</t>
    </r>
  </si>
  <si>
    <r>
      <rPr>
        <sz val="10"/>
        <rFont val="Times New Roman"/>
        <family val="1"/>
        <charset val="204"/>
      </rPr>
      <t>т</t>
    </r>
  </si>
  <si>
    <r>
      <rPr>
        <sz val="10"/>
        <rFont val="Times New Roman"/>
        <family val="1"/>
        <charset val="204"/>
      </rPr>
      <t>Вынос мусора при отсутствии лифта 1 этаж*****</t>
    </r>
  </si>
  <si>
    <r>
      <rPr>
        <sz val="10"/>
        <rFont val="Times New Roman"/>
        <family val="1"/>
        <charset val="204"/>
      </rPr>
      <t>т</t>
    </r>
  </si>
  <si>
    <r>
      <rPr>
        <sz val="10"/>
        <rFont val="Times New Roman"/>
        <family val="1"/>
        <charset val="204"/>
      </rPr>
      <t>Установка кухонной мойки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</si>
  <si>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</si>
  <si>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ванны(акрил)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</si>
  <si>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</si>
  <si>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ванны(чугун)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</si>
  <si>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</si>
  <si>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ванны(камень)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</si>
  <si>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</si>
  <si>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ванны("джакузи")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</si>
  <si>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</si>
  <si>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стеклянных шторок на ванну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</si>
  <si>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</si>
  <si>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душевой кабины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</si>
  <si>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</si>
  <si>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поддона для душевой кабины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</si>
  <si>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</si>
  <si>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Устройство подиума с установкой поддона</t>
    </r>
  </si>
  <si>
    <r>
      <rPr>
        <sz val="10"/>
        <rFont val="Times New Roman"/>
        <family val="1"/>
        <charset val="204"/>
      </rPr>
      <t>шт</t>
    </r>
  </si>
  <si>
    <r>
      <rPr>
        <sz val="10"/>
        <color rgb="FF000000"/>
        <rFont val="Times New Roman"/>
        <family val="1"/>
        <charset val="204"/>
      </rPr>
      <t xml:space="preserve">Устройство душевой кабины в строительном
</t>
    </r>
    <r>
      <rPr>
        <sz val="10"/>
        <color rgb="FF000000"/>
        <rFont val="Times New Roman"/>
        <family val="1"/>
        <charset val="204"/>
      </rPr>
      <t>исполнении(Устройство подиума)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</si>
  <si>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</si>
  <si>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раковины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</si>
  <si>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</si>
  <si>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подвесной тумбы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</si>
  <si>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</si>
  <si>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"мойдодыра"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</si>
  <si>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</si>
  <si>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"тюльпана"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</si>
  <si>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</si>
  <si>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унитаза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</si>
  <si>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</si>
  <si>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"инсталляции"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</si>
  <si>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</si>
  <si>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смесителей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</si>
  <si>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</si>
  <si>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встроенного смесителя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</si>
  <si>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</si>
  <si>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гигиенического душа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</si>
  <si>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</si>
  <si>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сифона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</si>
  <si>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</si>
  <si>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душа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</si>
  <si>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</si>
  <si>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душа тропического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</si>
  <si>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</si>
  <si>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кранов шаровых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</si>
  <si>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</si>
  <si>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Прокладка труб водоснабжения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</si>
  <si>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</si>
  <si>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Прокладка труб канализации</t>
    </r>
  </si>
  <si>
    <r>
      <rPr>
        <sz val="10"/>
        <rFont val="Times New Roman"/>
        <family val="1"/>
        <charset val="204"/>
      </rPr>
      <t>м/п</t>
    </r>
  </si>
  <si>
    <r>
      <rPr>
        <sz val="10"/>
        <rFont val="Times New Roman"/>
        <family val="1"/>
        <charset val="204"/>
      </rPr>
      <t>Монтаж заглушек на трубопроводе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</si>
  <si>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</si>
  <si>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коллекторов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</si>
  <si>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</si>
  <si>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фильтра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</si>
  <si>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</si>
  <si>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регулятора давления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</si>
  <si>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</si>
  <si>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полотенцесушителя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</si>
  <si>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</si>
  <si>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полотенцесушителя (электрического)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</si>
  <si>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</si>
  <si>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счетчика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</si>
  <si>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</si>
  <si>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и подключение стиральной машины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</si>
  <si>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</si>
  <si>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Подключение стиральной машины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</si>
  <si>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</si>
  <si>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водонагревателя(до 50 л)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</si>
  <si>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</si>
  <si>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проточного водонагревателя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</si>
  <si>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</si>
  <si>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Устройство сантехнического короба</t>
    </r>
  </si>
  <si>
    <r>
      <rPr>
        <sz val="10"/>
        <rFont val="Times New Roman"/>
        <family val="1"/>
        <charset val="204"/>
      </rPr>
      <t>м2</t>
    </r>
  </si>
  <si>
    <r>
      <rPr>
        <sz val="10"/>
        <rFont val="Times New Roman"/>
        <family val="1"/>
        <charset val="204"/>
      </rPr>
      <t>Установка люка(металл, ПВХ)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</si>
  <si>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</si>
  <si>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люка("невидимка")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</si>
  <si>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</si>
  <si>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сантехнической двери*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</si>
  <si>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</si>
  <si>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экрана под ванну(пластик)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</si>
  <si>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</si>
  <si>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Монтаж экрана под ванну(каркас для плитки)</t>
    </r>
  </si>
  <si>
    <r>
      <rPr>
        <sz val="10"/>
        <rFont val="Times New Roman"/>
        <family val="1"/>
        <charset val="204"/>
      </rPr>
      <t>шт</t>
    </r>
  </si>
  <si>
    <r>
      <rPr>
        <sz val="10"/>
        <color rgb="FF000000"/>
        <rFont val="Times New Roman"/>
        <family val="1"/>
        <charset val="204"/>
      </rPr>
      <t xml:space="preserve">Монтаж системы водостоп(с одним электромагнитным
</t>
    </r>
    <r>
      <rPr>
        <sz val="10"/>
        <color rgb="FF000000"/>
        <rFont val="Times New Roman"/>
        <family val="1"/>
        <charset val="204"/>
      </rPr>
      <t>клапаном)</t>
    </r>
  </si>
  <si>
    <r>
      <rPr>
        <sz val="10"/>
        <rFont val="Times New Roman"/>
        <family val="1"/>
        <charset val="204"/>
      </rPr>
      <t>компл.</t>
    </r>
  </si>
  <si>
    <r>
      <rPr>
        <sz val="10"/>
        <rFont val="Times New Roman"/>
        <family val="1"/>
        <charset val="204"/>
      </rPr>
      <t>Монтаж сололифта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</si>
  <si>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</si>
  <si>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Замена вводных кранов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</si>
  <si>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</si>
  <si>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Пайка тройника(полипропилен)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</si>
  <si>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</si>
  <si>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Пайка угла(полипропилен)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</si>
  <si>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</si>
  <si>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Пайка муфты(полипропилен)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</si>
  <si>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</si>
  <si>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перехода (полипропилен-металл)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</si>
  <si>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</si>
  <si>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тройника(металл)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</si>
  <si>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</si>
  <si>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Комплексная разводка труб водоснабжения(1 точка)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</si>
  <si>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</si>
  <si>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Комплексная разводка труб канализации(1 точка)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</si>
  <si>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</si>
  <si>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точки водоснабжения(водорозетки)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</si>
  <si>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</si>
  <si>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точки канализации</t>
    </r>
  </si>
  <si>
    <r>
      <rPr>
        <sz val="10"/>
        <rFont val="Times New Roman"/>
        <family val="1"/>
        <charset val="204"/>
      </rPr>
      <t>шт</t>
    </r>
  </si>
  <si>
    <r>
      <rPr>
        <sz val="10"/>
        <color rgb="FF000000"/>
        <rFont val="Times New Roman"/>
        <family val="1"/>
        <charset val="204"/>
      </rPr>
      <t xml:space="preserve">Комплексная разводка труб водоснабжения из сшитого
</t>
    </r>
    <r>
      <rPr>
        <sz val="10"/>
        <color rgb="FF000000"/>
        <rFont val="Times New Roman"/>
        <family val="1"/>
        <charset val="204"/>
      </rPr>
      <t>полиэтилена "Рехау"(1 точка)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</si>
  <si>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</si>
  <si>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точки водоснабжения(водорозетки) "Рехау"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</si>
  <si>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</si>
  <si>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Комплексная разводка воздуховодов</t>
    </r>
  </si>
  <si>
    <r>
      <rPr>
        <sz val="10"/>
        <rFont val="Times New Roman"/>
        <family val="1"/>
        <charset val="204"/>
      </rPr>
      <t>шт</t>
    </r>
  </si>
  <si>
    <r>
      <rPr>
        <sz val="10"/>
        <rFont val="Times New Roman"/>
        <family val="1"/>
        <charset val="204"/>
      </rPr>
      <t>Установка вентрешеток</t>
    </r>
  </si>
  <si>
    <r>
      <rPr>
        <sz val="10"/>
        <rFont val="Times New Roman"/>
        <family val="1"/>
        <charset val="204"/>
      </rPr>
      <t>шт</t>
    </r>
  </si>
  <si>
    <r>
      <rPr>
        <b/>
        <i/>
        <sz val="10"/>
        <color rgb="FF000000"/>
        <rFont val="Times New Roman"/>
        <family val="1"/>
        <charset val="204"/>
      </rPr>
      <t xml:space="preserve">*на работы со "звездочкой" может применяться коэффицент, связанный с выской трудоемкостью
</t>
    </r>
    <r>
      <rPr>
        <b/>
        <i/>
        <sz val="10"/>
        <color rgb="FF000000"/>
        <rFont val="Times New Roman"/>
        <family val="1"/>
        <charset val="204"/>
      </rPr>
      <t>процесса или стоимостью материала</t>
    </r>
  </si>
  <si>
    <t>Укладка кварцвинила</t>
  </si>
  <si>
    <t>мп</t>
  </si>
  <si>
    <t>Оклейка стен фотообоями</t>
  </si>
  <si>
    <t>Покраска потолка</t>
  </si>
  <si>
    <t>ИТОГО ПО ПОМЕЩЕНИЮ. СТОИМОСТЬ РАБОТ со скидкой 15%</t>
  </si>
  <si>
    <t>Облицовка плиткой стен (менее 300x300)</t>
  </si>
  <si>
    <t>Потолок</t>
  </si>
  <si>
    <t>Окраска потолков</t>
  </si>
  <si>
    <t>м2</t>
  </si>
  <si>
    <t>*Адрес объекта: "Затонная 4 "</t>
  </si>
  <si>
    <r>
      <rPr>
        <b/>
        <sz val="10"/>
        <rFont val="Times New Roman"/>
        <family val="1"/>
        <charset val="204"/>
      </rPr>
      <t xml:space="preserve">Приложение№1 к договору №КС </t>
    </r>
    <r>
      <rPr>
        <u/>
        <sz val="10"/>
        <rFont val="Times New Roman"/>
        <family val="1"/>
        <charset val="204"/>
      </rPr>
      <t>                         </t>
    </r>
    <r>
      <rPr>
        <b/>
        <sz val="10"/>
        <rFont val="Times New Roman"/>
        <family val="1"/>
        <charset val="204"/>
      </rPr>
      <t xml:space="preserve">от </t>
    </r>
    <r>
      <rPr>
        <u/>
        <sz val="10"/>
        <rFont val="Times New Roman"/>
        <family val="1"/>
        <charset val="204"/>
      </rPr>
      <t>                             </t>
    </r>
    <r>
      <rPr>
        <b/>
        <sz val="10"/>
        <rFont val="Times New Roman"/>
        <family val="1"/>
        <charset val="204"/>
      </rPr>
      <t>202_г.</t>
    </r>
  </si>
  <si>
    <t>L,м/п</t>
  </si>
  <si>
    <t>B,м/п</t>
  </si>
  <si>
    <t>H,м/п</t>
  </si>
  <si>
    <t>Проем, м2</t>
  </si>
  <si>
    <r>
      <rPr>
        <b/>
        <sz val="10"/>
        <rFont val="Times New Roman"/>
        <family val="1"/>
        <charset val="204"/>
      </rPr>
      <t>СМЕТА от "</t>
    </r>
    <r>
      <rPr>
        <u/>
        <sz val="10"/>
        <rFont val="Times New Roman"/>
        <family val="1"/>
        <charset val="204"/>
      </rPr>
      <t>            </t>
    </r>
    <r>
      <rPr>
        <b/>
        <sz val="10"/>
        <rFont val="Times New Roman"/>
        <family val="1"/>
        <charset val="204"/>
      </rPr>
      <t>"</t>
    </r>
    <r>
      <rPr>
        <u/>
        <sz val="10"/>
        <rFont val="Times New Roman"/>
        <family val="1"/>
        <charset val="204"/>
      </rPr>
      <t>                                      </t>
    </r>
    <r>
      <rPr>
        <b/>
        <sz val="10"/>
        <rFont val="Times New Roman"/>
        <family val="1"/>
        <charset val="204"/>
      </rPr>
      <t>202_г.</t>
    </r>
  </si>
  <si>
    <t>Электромонтажные работы</t>
  </si>
  <si>
    <t>ед. изм</t>
  </si>
  <si>
    <t>Кол-во</t>
  </si>
  <si>
    <t>цена</t>
  </si>
  <si>
    <t>сумма</t>
  </si>
  <si>
    <t>Штробление кирпичных, блочных стен под элкабель</t>
  </si>
  <si>
    <t>м/пм/п</t>
  </si>
  <si>
    <t>Штробление бетонных стен под элкабель</t>
  </si>
  <si>
    <t>Заделка и грунтовка штробЗаделка и грунтовка штроб</t>
  </si>
  <si>
    <t>Установка механизма, панели электроточки</t>
  </si>
  <si>
    <t>штшт</t>
  </si>
  <si>
    <t>Установка электроточки в кирпиче, блоке</t>
  </si>
  <si>
    <t>Установка электроточки в бетонеУстановка электроточки в бетоне</t>
  </si>
  <si>
    <t>Прокладка кабеляПрокладка кабеля</t>
  </si>
  <si>
    <t>Прокладка кабеля в ПВХ трубе (по полу)</t>
  </si>
  <si>
    <t>Установка автоматического выключателя</t>
  </si>
  <si>
    <t>Установка дифф автоматического выключателя</t>
  </si>
  <si>
    <t>Установка УЗОУстановка УЗО</t>
  </si>
  <si>
    <t>Подключение к вводному щиту</t>
  </si>
  <si>
    <t>Монтаж элщита накладного</t>
  </si>
  <si>
    <t>Монтаж элщита слаботочного</t>
  </si>
  <si>
    <t>Итого</t>
  </si>
  <si>
    <t>м/п</t>
  </si>
  <si>
    <t>Штробление бетонных потолков под элкабель</t>
  </si>
  <si>
    <t>Заделка и грунтовка штроб</t>
  </si>
  <si>
    <t>шт</t>
  </si>
  <si>
    <t>Установка электроточки в бетоне</t>
  </si>
  <si>
    <t>Прокладка кабеля</t>
  </si>
  <si>
    <t>Монтаж элщита внутреннего монтажа</t>
  </si>
  <si>
    <t>Монтаж КУП (заземление) комплекс работ</t>
  </si>
  <si>
    <t>Монтаж бра (без сборки)</t>
  </si>
  <si>
    <t>Монтаж люстры (без сборки)</t>
  </si>
  <si>
    <t>Итого по разделу(электромонтажные работы)Итого по разделу(электромонтажные работы)</t>
  </si>
  <si>
    <t>Остаток около</t>
  </si>
  <si>
    <t>(подпись)</t>
  </si>
  <si>
    <t>Электрика</t>
  </si>
  <si>
    <t>Сантехника</t>
  </si>
  <si>
    <t>остаток</t>
  </si>
  <si>
    <t>радиаторы</t>
  </si>
  <si>
    <t>ИТОГО ПО ПОМЕЩЕНИЮ. СТОИМОСТЬ РАБОТ</t>
  </si>
  <si>
    <t xml:space="preserve">ИТОГО ПО ПОМЕЩЕНИЮ. СТОИМОСТЬ РАБОТ </t>
  </si>
  <si>
    <t>Затирка плитки цементная (стены)</t>
  </si>
  <si>
    <t>Облицовка плиткой 400*80мм</t>
  </si>
  <si>
    <t>Запил плитки на 45 гр</t>
  </si>
  <si>
    <t>Затирка плитки цементная (полуколона)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</si>
</sst>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Calibri"/>
      <family val="2"/>
      <charset val="204"/>
    </font>
    <font>
      <b/>
      <sz val="11"/>
      <name val="Calibri"/>
      <family val="2"/>
      <charset val="204"/>
    </font>
    <font>
      <sz val="10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9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13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2"/>
      <color rgb="FFD13E3E"/>
      <name val="Calibri"/>
      <family val="2"/>
      <charset val="204"/>
    </font>
    <font>
      <b/>
      <sz val="12"/>
      <color rgb="FFD13E3E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u/>
      <sz val="10"/>
      <name val="Times New Roman"/>
      <family val="1"/>
      <charset val="204"/>
    </font>
    <font>
      <sz val="11"/>
      <name val="Cambria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  <fill>
      <patternFill patternType="solid">
        <fgColor rgb="FFF9BE8F"/>
        <bgColor rgb="FFF9BE8F"/>
      </patternFill>
    </fill>
    <fill>
      <patternFill patternType="solid">
        <fgColor rgb="FFE16B09"/>
        <bgColor rgb="FFE16B09"/>
      </patternFill>
    </fill>
    <fill>
      <patternFill patternType="solid">
        <fgColor rgb="FFDA9593"/>
        <bgColor rgb="FFDA9593"/>
      </patternFill>
    </fill>
    <fill>
      <patternFill patternType="solid">
        <fgColor rgb="FF66CCFF"/>
        <bgColor rgb="FF66CC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2" fontId="8" fillId="0" borderId="1" xfId="0" applyNumberFormat="1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top" wrapText="1"/>
    </xf>
    <xf numFmtId="4" fontId="9" fillId="3" borderId="1" xfId="0" applyNumberFormat="1" applyFont="1" applyFill="1" applyBorder="1" applyAlignment="1">
      <alignment horizontal="left" vertical="top" shrinkToFi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2" fontId="11" fillId="0" borderId="1" xfId="0" applyNumberFormat="1" applyFont="1" applyBorder="1" applyAlignment="1">
      <alignment horizontal="center" vertical="top" shrinkToFit="1"/>
    </xf>
    <xf numFmtId="0" fontId="1" fillId="4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top" wrapText="1"/>
    </xf>
    <xf numFmtId="2" fontId="13" fillId="0" borderId="1" xfId="0" applyNumberFormat="1" applyFont="1" applyBorder="1" applyAlignment="1">
      <alignment horizontal="center" vertical="top" shrinkToFit="1"/>
    </xf>
    <xf numFmtId="4" fontId="13" fillId="0" borderId="1" xfId="0" applyNumberFormat="1" applyFont="1" applyBorder="1" applyAlignment="1">
      <alignment horizontal="center" vertical="top" shrinkToFit="1"/>
    </xf>
    <xf numFmtId="4" fontId="13" fillId="0" borderId="1" xfId="0" applyNumberFormat="1" applyFont="1" applyBorder="1" applyAlignment="1">
      <alignment horizontal="right" vertical="top" shrinkToFit="1"/>
    </xf>
    <xf numFmtId="4" fontId="13" fillId="4" borderId="1" xfId="0" applyNumberFormat="1" applyFont="1" applyFill="1" applyBorder="1" applyAlignment="1">
      <alignment horizontal="right" vertical="top" shrinkToFit="1"/>
    </xf>
    <xf numFmtId="2" fontId="13" fillId="0" borderId="1" xfId="0" applyNumberFormat="1" applyFont="1" applyBorder="1" applyAlignment="1">
      <alignment horizontal="right" vertical="top" shrinkToFit="1"/>
    </xf>
    <xf numFmtId="4" fontId="13" fillId="3" borderId="1" xfId="0" applyNumberFormat="1" applyFont="1" applyFill="1" applyBorder="1" applyAlignment="1">
      <alignment horizontal="right" vertical="top" shrinkToFit="1"/>
    </xf>
    <xf numFmtId="0" fontId="1" fillId="0" borderId="9" xfId="0" applyFont="1" applyBorder="1" applyAlignment="1">
      <alignment horizontal="left" wrapText="1"/>
    </xf>
    <xf numFmtId="0" fontId="14" fillId="0" borderId="1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top" shrinkToFit="1"/>
    </xf>
    <xf numFmtId="0" fontId="18" fillId="5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2" fontId="8" fillId="0" borderId="2" xfId="0" applyNumberFormat="1" applyFont="1" applyBorder="1" applyAlignment="1">
      <alignment horizontal="left" vertical="top" shrinkToFit="1"/>
    </xf>
    <xf numFmtId="4" fontId="9" fillId="3" borderId="2" xfId="0" applyNumberFormat="1" applyFont="1" applyFill="1" applyBorder="1" applyAlignment="1">
      <alignment horizontal="left" vertical="top" shrinkToFit="1"/>
    </xf>
    <xf numFmtId="0" fontId="3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4" fontId="11" fillId="0" borderId="2" xfId="0" applyNumberFormat="1" applyFont="1" applyBorder="1" applyAlignment="1">
      <alignment horizontal="center" vertical="top" shrinkToFit="1"/>
    </xf>
    <xf numFmtId="0" fontId="12" fillId="3" borderId="2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3" fillId="4" borderId="2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4" fontId="24" fillId="0" borderId="0" xfId="0" applyNumberFormat="1" applyFont="1" applyAlignment="1">
      <alignment horizontal="left" vertical="top"/>
    </xf>
    <xf numFmtId="0" fontId="12" fillId="6" borderId="1" xfId="0" applyFont="1" applyFill="1" applyBorder="1" applyAlignment="1">
      <alignment horizontal="left" vertical="top" wrapText="1"/>
    </xf>
    <xf numFmtId="2" fontId="13" fillId="6" borderId="1" xfId="0" applyNumberFormat="1" applyFont="1" applyFill="1" applyBorder="1" applyAlignment="1">
      <alignment horizontal="center" vertical="top" shrinkToFit="1"/>
    </xf>
    <xf numFmtId="0" fontId="6" fillId="0" borderId="4" xfId="0" applyFont="1" applyBorder="1"/>
    <xf numFmtId="0" fontId="6" fillId="0" borderId="3" xfId="0" applyFont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/>
    <xf numFmtId="0" fontId="0" fillId="0" borderId="0" xfId="0" applyFont="1" applyAlignment="1"/>
    <xf numFmtId="0" fontId="18" fillId="0" borderId="5" xfId="0" applyFont="1" applyBorder="1" applyAlignment="1">
      <alignment horizontal="left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18" fillId="0" borderId="2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2" fontId="13" fillId="7" borderId="1" xfId="0" applyNumberFormat="1" applyFont="1" applyFill="1" applyBorder="1" applyAlignment="1">
      <alignment horizontal="center" vertical="top" shrinkToFit="1"/>
    </xf>
    <xf numFmtId="4" fontId="13" fillId="8" borderId="1" xfId="0" applyNumberFormat="1" applyFont="1" applyFill="1" applyBorder="1" applyAlignment="1">
      <alignment horizontal="right" vertical="top" shrinkToFit="1"/>
    </xf>
    <xf numFmtId="0" fontId="26" fillId="0" borderId="3" xfId="0" applyFont="1" applyBorder="1" applyAlignment="1"/>
    <xf numFmtId="0" fontId="12" fillId="6" borderId="2" xfId="0" applyFont="1" applyFill="1" applyBorder="1" applyAlignment="1">
      <alignment horizontal="left" vertical="top" wrapText="1"/>
    </xf>
    <xf numFmtId="4" fontId="13" fillId="6" borderId="1" xfId="0" applyNumberFormat="1" applyFont="1" applyFill="1" applyBorder="1" applyAlignment="1">
      <alignment horizontal="right" vertical="top" shrinkToFit="1"/>
    </xf>
    <xf numFmtId="4" fontId="13" fillId="6" borderId="1" xfId="0" applyNumberFormat="1" applyFont="1" applyFill="1" applyBorder="1" applyAlignment="1">
      <alignment horizontal="center" vertical="top" shrinkToFit="1"/>
    </xf>
    <xf numFmtId="0" fontId="12" fillId="3" borderId="2" xfId="0" applyFont="1" applyFill="1" applyBorder="1" applyAlignment="1">
      <alignment horizontal="right" vertical="top" wrapText="1"/>
    </xf>
    <xf numFmtId="0" fontId="1" fillId="0" borderId="9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11</xdr:row>
      <xdr:rowOff>0</xdr:rowOff>
    </xdr:from>
    <xdr:ext cx="9610725" cy="19050"/>
    <xdr:sp macro="" textlink="">
      <xdr:nvSpPr>
        <xdr:cNvPr id="2" name="Shape 2"/>
        <xdr:cNvSpPr/>
      </xdr:nvSpPr>
      <xdr:spPr>
        <a:xfrm>
          <a:off x="0" y="0"/>
          <a:ext cx="9616440" cy="20955"/>
        </a:xfrm>
        <a:custGeom>
          <a:avLst/>
          <a:gdLst/>
          <a:ahLst/>
          <a:cxnLst/>
          <a:rect l="0" t="0" r="0" b="0"/>
          <a:pathLst>
            <a:path w="9616440" h="20955">
              <a:moveTo>
                <a:pt x="9616186" y="0"/>
              </a:moveTo>
              <a:lnTo>
                <a:pt x="0" y="0"/>
              </a:lnTo>
              <a:lnTo>
                <a:pt x="0" y="20664"/>
              </a:lnTo>
              <a:lnTo>
                <a:pt x="9616186" y="20664"/>
              </a:lnTo>
              <a:lnTo>
                <a:pt x="9616186" y="0"/>
              </a:lnTo>
              <a:close/>
            </a:path>
          </a:pathLst>
        </a:custGeom>
        <a:solidFill>
          <a:srgbClr val="000000"/>
        </a:solidFill>
      </xdr:spPr>
    </xdr:sp>
    <xdr:clientData fLocksWithSheet="0"/>
  </xdr:oneCellAnchor>
  <xdr:oneCellAnchor>
    <xdr:from>
      <xdr:col>0</xdr:col>
      <xdr:colOff>476250</xdr:colOff>
      <xdr:row>0</xdr:row>
      <xdr:rowOff>0</xdr:rowOff>
    </xdr:from>
    <xdr:ext cx="1257300" cy="1285875"/>
    <xdr:grpSp>
      <xdr:nvGrpSpPr>
        <xdr:cNvPr id="12" name="Group 12"/>
        <xdr:cNvGrpSpPr/>
      </xdr:nvGrpSpPr>
      <xdr:grpSpPr>
        <a:xfrm>
          <a:off x="476250" y="0"/>
          <a:ext cx="1257300" cy="1285875"/>
          <a:chOff x="0" y="0"/>
          <a:chExt cx="1265555" cy="1285875"/>
        </a:xfrm>
      </xdr:grpSpPr>
      <xdr:pic>
        <xdr:nvPicPr>
          <xdr:cNvPr id="13" name="image7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142699" y="195741"/>
            <a:ext cx="981341" cy="691923"/>
          </a:xfrm>
          <a:prstGeom prst="rect">
            <a:avLst/>
          </a:prstGeom>
        </xdr:spPr>
      </xdr:pic>
      <xdr:pic>
        <xdr:nvPicPr>
          <xdr:cNvPr id="14" name="image8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0" y="0"/>
            <a:ext cx="1264945" cy="1285621"/>
          </a:xfrm>
          <a:prstGeom prst="rect">
            <a:avLst/>
          </a:prstGeom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5" cy="1381125"/>
    <xdr:grpSp>
      <xdr:nvGrpSpPr>
        <xdr:cNvPr id="15" name="Group 15"/>
        <xdr:cNvGrpSpPr/>
      </xdr:nvGrpSpPr>
      <xdr:grpSpPr>
        <a:xfrm>
          <a:off x="0" y="0"/>
          <a:ext cx="1304925" cy="1381125"/>
          <a:chOff x="0" y="0"/>
          <a:chExt cx="1308100" cy="1381760"/>
        </a:xfrm>
      </xdr:grpSpPr>
      <xdr:pic>
        <xdr:nvPicPr>
          <xdr:cNvPr id="16" name="image9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126"/>
            <a:ext cx="1307858" cy="1381505"/>
          </a:xfrm>
          <a:prstGeom prst="rect">
            <a:avLst/>
          </a:prstGeom>
        </xdr:spPr>
      </xdr:pic>
      <xdr:pic>
        <xdr:nvPicPr>
          <xdr:cNvPr id="17" name="image10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0" y="0"/>
            <a:ext cx="1252740" cy="1326515"/>
          </a:xfrm>
          <a:prstGeom prst="rect">
            <a:avLst/>
          </a:prstGeom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5" cy="1381125"/>
    <xdr:grpSp>
      <xdr:nvGrpSpPr>
        <xdr:cNvPr id="18" name="Group 18"/>
        <xdr:cNvGrpSpPr/>
      </xdr:nvGrpSpPr>
      <xdr:grpSpPr>
        <a:xfrm>
          <a:off x="0" y="0"/>
          <a:ext cx="1304925" cy="1381125"/>
          <a:chOff x="0" y="0"/>
          <a:chExt cx="1308100" cy="1381760"/>
        </a:xfrm>
      </xdr:grpSpPr>
      <xdr:pic>
        <xdr:nvPicPr>
          <xdr:cNvPr id="19" name="image9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126"/>
            <a:ext cx="1307858" cy="1381505"/>
          </a:xfrm>
          <a:prstGeom prst="rect">
            <a:avLst/>
          </a:prstGeom>
        </xdr:spPr>
      </xdr:pic>
      <xdr:pic>
        <xdr:nvPicPr>
          <xdr:cNvPr id="20" name="image10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0" y="0"/>
            <a:ext cx="1252740" cy="1326515"/>
          </a:xfrm>
          <a:prstGeom prst="rect">
            <a:avLst/>
          </a:prstGeom>
        </xdr:spPr>
      </xdr:pic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27</xdr:row>
      <xdr:rowOff>114300</xdr:rowOff>
    </xdr:from>
    <xdr:ext cx="1085850" cy="0"/>
    <xdr:sp macro="" textlink="">
      <xdr:nvSpPr>
        <xdr:cNvPr id="21" name="Shape 21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495300</xdr:colOff>
      <xdr:row>27</xdr:row>
      <xdr:rowOff>123825</xdr:rowOff>
    </xdr:from>
    <xdr:ext cx="1085850" cy="0"/>
    <xdr:sp macro="" textlink="">
      <xdr:nvSpPr>
        <xdr:cNvPr id="22" name="Shape 22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0</xdr:colOff>
      <xdr:row>0</xdr:row>
      <xdr:rowOff>0</xdr:rowOff>
    </xdr:from>
    <xdr:ext cx="1304925" cy="1381125"/>
    <xdr:grpSp>
      <xdr:nvGrpSpPr>
        <xdr:cNvPr id="23" name="Group 23"/>
        <xdr:cNvGrpSpPr/>
      </xdr:nvGrpSpPr>
      <xdr:grpSpPr>
        <a:xfrm>
          <a:off x="0" y="0"/>
          <a:ext cx="1304925" cy="1381125"/>
          <a:chOff x="0" y="0"/>
          <a:chExt cx="1308100" cy="1381760"/>
        </a:xfrm>
      </xdr:grpSpPr>
      <xdr:pic>
        <xdr:nvPicPr>
          <xdr:cNvPr id="24" name="image9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126"/>
            <a:ext cx="1307858" cy="1381505"/>
          </a:xfrm>
          <a:prstGeom prst="rect">
            <a:avLst/>
          </a:prstGeom>
        </xdr:spPr>
      </xdr:pic>
      <xdr:pic>
        <xdr:nvPicPr>
          <xdr:cNvPr id="25" name="image10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0" y="0"/>
            <a:ext cx="1252740" cy="1326515"/>
          </a:xfrm>
          <a:prstGeom prst="rect">
            <a:avLst/>
          </a:prstGeom>
        </xdr:spPr>
      </xdr:pic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20</xdr:row>
      <xdr:rowOff>114300</xdr:rowOff>
    </xdr:from>
    <xdr:ext cx="1085850" cy="0"/>
    <xdr:sp macro="" textlink="">
      <xdr:nvSpPr>
        <xdr:cNvPr id="26" name="Shape 26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495300</xdr:colOff>
      <xdr:row>20</xdr:row>
      <xdr:rowOff>123825</xdr:rowOff>
    </xdr:from>
    <xdr:ext cx="1085850" cy="0"/>
    <xdr:sp macro="" textlink="">
      <xdr:nvSpPr>
        <xdr:cNvPr id="27" name="Shape 27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0</xdr:colOff>
      <xdr:row>0</xdr:row>
      <xdr:rowOff>0</xdr:rowOff>
    </xdr:from>
    <xdr:ext cx="1314450" cy="1381125"/>
    <xdr:grpSp>
      <xdr:nvGrpSpPr>
        <xdr:cNvPr id="28" name="Group 28"/>
        <xdr:cNvGrpSpPr/>
      </xdr:nvGrpSpPr>
      <xdr:grpSpPr>
        <a:xfrm>
          <a:off x="0" y="0"/>
          <a:ext cx="1314450" cy="1381125"/>
          <a:chOff x="0" y="0"/>
          <a:chExt cx="1315720" cy="1381760"/>
        </a:xfrm>
      </xdr:grpSpPr>
      <xdr:pic>
        <xdr:nvPicPr>
          <xdr:cNvPr id="29" name="image11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0"/>
            <a:ext cx="1315224" cy="1381633"/>
          </a:xfrm>
          <a:prstGeom prst="rect">
            <a:avLst/>
          </a:prstGeom>
        </xdr:spPr>
      </xdr:pic>
      <xdr:pic>
        <xdr:nvPicPr>
          <xdr:cNvPr id="30" name="image10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9283" y="0"/>
            <a:ext cx="1252728" cy="1326515"/>
          </a:xfrm>
          <a:prstGeom prst="rect">
            <a:avLst/>
          </a:prstGeom>
        </xdr:spPr>
      </xdr:pic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20</xdr:row>
      <xdr:rowOff>114300</xdr:rowOff>
    </xdr:from>
    <xdr:ext cx="1085850" cy="0"/>
    <xdr:sp macro="" textlink="">
      <xdr:nvSpPr>
        <xdr:cNvPr id="31" name="Shape 31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495300</xdr:colOff>
      <xdr:row>20</xdr:row>
      <xdr:rowOff>123825</xdr:rowOff>
    </xdr:from>
    <xdr:ext cx="1085850" cy="0"/>
    <xdr:sp macro="" textlink="">
      <xdr:nvSpPr>
        <xdr:cNvPr id="32" name="Shape 32"/>
        <xdr:cNvSpPr/>
      </xdr:nvSpPr>
      <xdr:spPr>
        <a:xfrm>
          <a:off x="0" y="0"/>
          <a:ext cx="1087120" cy="0"/>
        </a:xfrm>
        <a:custGeom>
          <a:avLst/>
          <a:gdLst/>
          <a:ahLst/>
          <a:cxnLst/>
          <a:rect l="0" t="0" r="0" b="0"/>
          <a:pathLst>
            <a:path w="1087120">
              <a:moveTo>
                <a:pt x="0" y="0"/>
              </a:moveTo>
              <a:lnTo>
                <a:pt x="1086516" y="0"/>
              </a:lnTo>
            </a:path>
          </a:pathLst>
        </a:custGeom>
        <a:ln w="8053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0</xdr:colOff>
      <xdr:row>0</xdr:row>
      <xdr:rowOff>0</xdr:rowOff>
    </xdr:from>
    <xdr:ext cx="1314450" cy="1381125"/>
    <xdr:grpSp>
      <xdr:nvGrpSpPr>
        <xdr:cNvPr id="33" name="Group 33"/>
        <xdr:cNvGrpSpPr/>
      </xdr:nvGrpSpPr>
      <xdr:grpSpPr>
        <a:xfrm>
          <a:off x="0" y="0"/>
          <a:ext cx="1314450" cy="1381125"/>
          <a:chOff x="0" y="0"/>
          <a:chExt cx="1315720" cy="1381760"/>
        </a:xfrm>
      </xdr:grpSpPr>
      <xdr:pic>
        <xdr:nvPicPr>
          <xdr:cNvPr id="34" name="image11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0"/>
            <a:ext cx="1315224" cy="1381633"/>
          </a:xfrm>
          <a:prstGeom prst="rect">
            <a:avLst/>
          </a:prstGeom>
        </xdr:spPr>
      </xdr:pic>
      <xdr:pic>
        <xdr:nvPicPr>
          <xdr:cNvPr id="35" name="image10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9283" y="0"/>
            <a:ext cx="1252728" cy="1326515"/>
          </a:xfrm>
          <a:prstGeom prst="rect">
            <a:avLst/>
          </a:prstGeom>
        </xdr:spPr>
      </xdr:pic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0</xdr:row>
      <xdr:rowOff>0</xdr:rowOff>
    </xdr:from>
    <xdr:ext cx="1638300" cy="1628775"/>
    <xdr:grpSp>
      <xdr:nvGrpSpPr>
        <xdr:cNvPr id="42" name="Group 42"/>
        <xdr:cNvGrpSpPr/>
      </xdr:nvGrpSpPr>
      <xdr:grpSpPr>
        <a:xfrm>
          <a:off x="942975" y="0"/>
          <a:ext cx="1638300" cy="1628775"/>
          <a:chOff x="0" y="0"/>
          <a:chExt cx="1640839" cy="1631950"/>
        </a:xfrm>
      </xdr:grpSpPr>
      <xdr:pic>
        <xdr:nvPicPr>
          <xdr:cNvPr id="43" name="image12.png"/>
          <xdr:cNvPicPr>
            <a:picLocks noChangeAspect="1"/>
          </xdr:cNvPicPr>
        </xdr:nvPicPr>
        <xdr:blipFill>
          <a:blip xmlns:r="http://schemas.openxmlformats.org/officeDocument/2006/relationships" r:embed="rId1">
            <a:extLst/>
          </a:blip>
          <a:stretch>
            <a:fillRect/>
          </a:stretch>
        </xdr:blipFill>
        <xdr:spPr>
          <a:xfrm>
            <a:off x="0" y="0"/>
            <a:ext cx="1640586" cy="1631442"/>
          </a:xfrm>
          <a:prstGeom prst="rect">
            <a:avLst/>
          </a:prstGeom>
        </xdr:spPr>
      </xdr:pic>
      <xdr:pic>
        <xdr:nvPicPr>
          <xdr:cNvPr id="44" name="image8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/>
          </a:blip>
          <a:stretch>
            <a:fillRect/>
          </a:stretch>
        </xdr:blipFill>
        <xdr:spPr>
          <a:xfrm>
            <a:off x="53721" y="0"/>
            <a:ext cx="1535557" cy="1580515"/>
          </a:xfrm>
          <a:prstGeom prst="rect">
            <a:avLst/>
          </a:prstGeom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c2SxDFYWsBVI4T7zqPVK6d5ZSY4odyJVYtzBXl6XQA0/edit?pli=1&amp;gid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selection activeCell="J10" sqref="J10"/>
    </sheetView>
  </sheetViews>
  <sheetFormatPr defaultColWidth="14.44140625" defaultRowHeight="15" customHeight="1" x14ac:dyDescent="0.3"/>
  <cols>
    <col min="1" max="1" width="43.33203125" customWidth="1"/>
    <col min="2" max="2" width="16.21875" customWidth="1"/>
    <col min="3" max="3" width="14.109375" customWidth="1"/>
    <col min="4" max="4" width="2.88671875" hidden="1" customWidth="1"/>
    <col min="5" max="5" width="13.21875" customWidth="1"/>
    <col min="6" max="6" width="14.21875" customWidth="1"/>
    <col min="7" max="7" width="13.5546875" customWidth="1"/>
    <col min="8" max="9" width="15.109375" style="37" customWidth="1"/>
    <col min="10" max="10" width="22" customWidth="1"/>
    <col min="11" max="11" width="2.88671875" customWidth="1"/>
  </cols>
  <sheetData>
    <row r="1" spans="1:11" ht="36" customHeight="1" x14ac:dyDescent="0.3">
      <c r="A1" s="38" t="s">
        <v>0</v>
      </c>
      <c r="B1" s="39"/>
      <c r="C1" s="39"/>
      <c r="D1" s="39"/>
      <c r="E1" s="40" t="s">
        <v>1</v>
      </c>
      <c r="F1" s="39"/>
      <c r="G1" s="39"/>
      <c r="H1" s="39"/>
      <c r="I1" s="39"/>
      <c r="J1" s="39"/>
      <c r="K1" s="39"/>
    </row>
    <row r="2" spans="1:11" ht="17.25" customHeight="1" x14ac:dyDescent="0.3">
      <c r="A2" s="41" t="s">
        <v>2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8" customHeight="1" x14ac:dyDescent="0.3">
      <c r="A3" s="42" t="s">
        <v>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16.5" customHeight="1" x14ac:dyDescent="0.3">
      <c r="A4" s="1" t="s">
        <v>4</v>
      </c>
      <c r="B4" s="1" t="s">
        <v>5</v>
      </c>
      <c r="C4" s="1" t="s">
        <v>6</v>
      </c>
      <c r="D4" s="43" t="s">
        <v>7</v>
      </c>
      <c r="E4" s="44"/>
      <c r="F4" s="1" t="s">
        <v>8</v>
      </c>
      <c r="G4" s="1" t="s">
        <v>9</v>
      </c>
      <c r="H4" s="1" t="s">
        <v>1139</v>
      </c>
      <c r="I4" s="1" t="s">
        <v>1140</v>
      </c>
      <c r="J4" s="1" t="s">
        <v>10</v>
      </c>
    </row>
    <row r="5" spans="1:11" ht="16.5" customHeight="1" x14ac:dyDescent="0.3">
      <c r="A5" s="2" t="s">
        <v>11</v>
      </c>
      <c r="B5" s="3">
        <v>7.87</v>
      </c>
      <c r="C5" s="3">
        <v>2.2000000000000002</v>
      </c>
      <c r="D5" s="45">
        <v>8.2899999999999991</v>
      </c>
      <c r="E5" s="44"/>
      <c r="F5" s="3">
        <v>16.899999999999999</v>
      </c>
      <c r="G5" s="3">
        <v>13.12</v>
      </c>
      <c r="H5" s="3" t="s">
        <v>1141</v>
      </c>
      <c r="I5" s="3" t="s">
        <v>1142</v>
      </c>
      <c r="J5" s="3">
        <v>48.38</v>
      </c>
    </row>
    <row r="6" spans="1:11" ht="16.5" customHeight="1" x14ac:dyDescent="0.3">
      <c r="A6" s="2" t="s">
        <v>12</v>
      </c>
      <c r="B6" s="3">
        <v>25.2</v>
      </c>
      <c r="C6" s="3">
        <v>7.5</v>
      </c>
      <c r="D6" s="45">
        <v>27.68</v>
      </c>
      <c r="E6" s="44"/>
      <c r="F6" s="3">
        <v>35.51</v>
      </c>
      <c r="G6" s="3">
        <v>32.270000000000003</v>
      </c>
      <c r="H6" s="3"/>
      <c r="I6" s="3"/>
      <c r="J6" s="3">
        <v>128.16</v>
      </c>
    </row>
    <row r="7" spans="1:11" ht="16.5" customHeight="1" x14ac:dyDescent="0.3">
      <c r="A7" s="1" t="s">
        <v>13</v>
      </c>
      <c r="B7" s="1" t="s">
        <v>14</v>
      </c>
      <c r="C7" s="1" t="s">
        <v>15</v>
      </c>
      <c r="D7" s="43" t="s">
        <v>16</v>
      </c>
      <c r="E7" s="44"/>
      <c r="F7" s="1" t="s">
        <v>17</v>
      </c>
      <c r="G7" s="1" t="s">
        <v>18</v>
      </c>
      <c r="H7" s="1"/>
      <c r="I7" s="1"/>
      <c r="J7" s="1" t="s">
        <v>19</v>
      </c>
    </row>
    <row r="8" spans="1:11" ht="16.5" customHeight="1" x14ac:dyDescent="0.3">
      <c r="A8" s="4" t="s">
        <v>20</v>
      </c>
      <c r="B8" s="5">
        <f>'Table 2'!F11</f>
        <v>24212.25</v>
      </c>
      <c r="C8" s="5">
        <f>'Table 3'!F12</f>
        <v>10285.68</v>
      </c>
      <c r="D8" s="46">
        <f>'Table 4'!E26</f>
        <v>101973.85</v>
      </c>
      <c r="E8" s="44"/>
      <c r="F8" s="5">
        <f>'Table 5'!E19</f>
        <v>50764.27</v>
      </c>
      <c r="G8" s="5">
        <f>'Table 6'!E19</f>
        <v>47513.590000000004</v>
      </c>
      <c r="H8" s="5">
        <v>58229</v>
      </c>
      <c r="I8" s="5">
        <v>5700</v>
      </c>
      <c r="J8" s="5">
        <f>B8+C8+D8+F8+G8+H8+I8</f>
        <v>298678.64</v>
      </c>
    </row>
    <row r="9" spans="1:11" ht="27" customHeight="1" x14ac:dyDescent="0.3">
      <c r="J9" s="71"/>
    </row>
    <row r="10" spans="1:11" ht="24" customHeight="1" x14ac:dyDescent="0.3"/>
    <row r="11" spans="1:11" ht="21.75" customHeight="1" x14ac:dyDescent="0.3"/>
    <row r="12" spans="1:11" ht="1.5" customHeight="1" x14ac:dyDescent="0.3"/>
    <row r="13" spans="1:11" ht="15.75" customHeight="1" x14ac:dyDescent="0.3"/>
    <row r="14" spans="1:11" ht="15.75" customHeight="1" x14ac:dyDescent="0.3"/>
    <row r="15" spans="1:11" ht="15.75" customHeight="1" x14ac:dyDescent="0.3"/>
    <row r="16" spans="1:1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</sheetData>
  <mergeCells count="9">
    <mergeCell ref="D5:E5"/>
    <mergeCell ref="D6:E6"/>
    <mergeCell ref="D8:E8"/>
    <mergeCell ref="D7:E7"/>
    <mergeCell ref="A1:D1"/>
    <mergeCell ref="E1:K1"/>
    <mergeCell ref="A2:K2"/>
    <mergeCell ref="A3:K3"/>
    <mergeCell ref="D4:E4"/>
  </mergeCells>
  <hyperlinks>
    <hyperlink ref="E1" r:id="rId1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A12" sqref="A12:G12"/>
    </sheetView>
  </sheetViews>
  <sheetFormatPr defaultColWidth="14.44140625" defaultRowHeight="15" customHeight="1" x14ac:dyDescent="0.3"/>
  <cols>
    <col min="1" max="1" width="19.6640625" customWidth="1"/>
    <col min="2" max="2" width="79.44140625" customWidth="1"/>
    <col min="3" max="3" width="10.5546875" customWidth="1"/>
    <col min="4" max="4" width="10.44140625" customWidth="1"/>
    <col min="5" max="5" width="11.33203125" customWidth="1"/>
    <col min="6" max="6" width="12" customWidth="1"/>
    <col min="7" max="7" width="3.109375" customWidth="1"/>
    <col min="8" max="11" width="8.6640625" customWidth="1"/>
  </cols>
  <sheetData>
    <row r="1" spans="1:7" ht="21" customHeight="1" x14ac:dyDescent="0.3">
      <c r="A1" s="50" t="s">
        <v>21</v>
      </c>
      <c r="B1" s="51"/>
      <c r="C1" s="51"/>
      <c r="D1" s="51"/>
      <c r="E1" s="51"/>
      <c r="F1" s="44"/>
    </row>
    <row r="2" spans="1:7" ht="21" customHeight="1" x14ac:dyDescent="0.3">
      <c r="A2" s="52" t="s">
        <v>22</v>
      </c>
      <c r="B2" s="53"/>
      <c r="C2" s="6"/>
      <c r="D2" s="6"/>
      <c r="E2" s="6"/>
      <c r="F2" s="7"/>
    </row>
    <row r="3" spans="1:7" ht="21" customHeight="1" x14ac:dyDescent="0.3">
      <c r="A3" s="54"/>
      <c r="B3" s="55"/>
      <c r="C3" s="8"/>
      <c r="D3" s="8"/>
      <c r="E3" s="8"/>
      <c r="F3" s="8"/>
    </row>
    <row r="4" spans="1:7" ht="14.25" customHeight="1" x14ac:dyDescent="0.3">
      <c r="A4" s="56" t="s">
        <v>23</v>
      </c>
      <c r="B4" s="44"/>
      <c r="C4" s="57"/>
      <c r="D4" s="51"/>
      <c r="E4" s="51"/>
      <c r="F4" s="44"/>
    </row>
    <row r="5" spans="1:7" ht="17.25" customHeight="1" x14ac:dyDescent="0.3">
      <c r="A5" s="49" t="s">
        <v>25</v>
      </c>
      <c r="B5" s="44"/>
      <c r="C5" s="10" t="s">
        <v>26</v>
      </c>
      <c r="D5" s="11" t="s">
        <v>27</v>
      </c>
      <c r="E5" s="11" t="s">
        <v>28</v>
      </c>
      <c r="F5" s="12" t="s">
        <v>29</v>
      </c>
    </row>
    <row r="6" spans="1:7" s="37" customFormat="1" ht="17.25" customHeight="1" x14ac:dyDescent="0.3">
      <c r="A6" s="48" t="s">
        <v>1091</v>
      </c>
      <c r="B6" s="44"/>
      <c r="C6" s="14" t="s">
        <v>24</v>
      </c>
      <c r="D6" s="15">
        <v>6.35</v>
      </c>
      <c r="E6" s="15">
        <v>550</v>
      </c>
      <c r="F6" s="17">
        <f t="shared" ref="F6" si="0">D6*E6</f>
        <v>3492.5</v>
      </c>
    </row>
    <row r="7" spans="1:7" ht="17.25" customHeight="1" x14ac:dyDescent="0.3">
      <c r="A7" s="48" t="s">
        <v>1088</v>
      </c>
      <c r="B7" s="44"/>
      <c r="C7" s="14" t="s">
        <v>30</v>
      </c>
      <c r="D7" s="15">
        <v>6.35</v>
      </c>
      <c r="E7" s="15">
        <v>835</v>
      </c>
      <c r="F7" s="17">
        <f t="shared" ref="F7:F9" si="1">D7*E7</f>
        <v>5302.25</v>
      </c>
    </row>
    <row r="8" spans="1:7" ht="17.25" customHeight="1" x14ac:dyDescent="0.3">
      <c r="A8" s="48" t="s">
        <v>31</v>
      </c>
      <c r="B8" s="44"/>
      <c r="C8" s="14" t="s">
        <v>32</v>
      </c>
      <c r="D8" s="15">
        <v>10</v>
      </c>
      <c r="E8" s="15">
        <v>214</v>
      </c>
      <c r="F8" s="17">
        <f t="shared" si="1"/>
        <v>2140</v>
      </c>
    </row>
    <row r="9" spans="1:7" ht="17.25" customHeight="1" x14ac:dyDescent="0.3">
      <c r="A9" s="48" t="s">
        <v>33</v>
      </c>
      <c r="B9" s="44"/>
      <c r="C9" s="14" t="s">
        <v>34</v>
      </c>
      <c r="D9" s="15">
        <v>23.5</v>
      </c>
      <c r="E9" s="15">
        <v>565</v>
      </c>
      <c r="F9" s="17">
        <f t="shared" si="1"/>
        <v>13277.5</v>
      </c>
    </row>
    <row r="10" spans="1:7" ht="17.25" customHeight="1" x14ac:dyDescent="0.3">
      <c r="A10" s="60" t="s">
        <v>35</v>
      </c>
      <c r="B10" s="51"/>
      <c r="C10" s="51"/>
      <c r="D10" s="51"/>
      <c r="E10" s="44"/>
      <c r="F10" s="18">
        <f>F7+F8+F9+F6</f>
        <v>24212.25</v>
      </c>
    </row>
    <row r="11" spans="1:7" ht="17.25" customHeight="1" x14ac:dyDescent="0.3">
      <c r="A11" s="58" t="s">
        <v>1143</v>
      </c>
      <c r="B11" s="51"/>
      <c r="C11" s="51"/>
      <c r="D11" s="51"/>
      <c r="E11" s="44"/>
      <c r="F11" s="20">
        <f>F10</f>
        <v>24212.25</v>
      </c>
    </row>
    <row r="12" spans="1:7" ht="17.25" customHeight="1" x14ac:dyDescent="0.3">
      <c r="A12" s="59" t="s">
        <v>36</v>
      </c>
      <c r="B12" s="59"/>
      <c r="C12" s="59"/>
      <c r="D12" s="59"/>
      <c r="E12" s="59"/>
      <c r="F12" s="59"/>
      <c r="G12" s="59"/>
    </row>
    <row r="13" spans="1:7" ht="10.5" customHeight="1" x14ac:dyDescent="0.25">
      <c r="A13" s="21"/>
    </row>
    <row r="14" spans="1:7" ht="24.6" customHeight="1" x14ac:dyDescent="0.3">
      <c r="A14" s="22" t="s">
        <v>37</v>
      </c>
    </row>
    <row r="15" spans="1:7" ht="16.8" customHeight="1" x14ac:dyDescent="0.25">
      <c r="A15" s="21"/>
      <c r="E15">
        <f>13.67*2.63</f>
        <v>35.952100000000002</v>
      </c>
    </row>
    <row r="16" spans="1:7" ht="11.25" customHeight="1" x14ac:dyDescent="0.3">
      <c r="A16" s="22" t="s">
        <v>38</v>
      </c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</sheetData>
  <mergeCells count="12">
    <mergeCell ref="A12:G12"/>
    <mergeCell ref="A8:B8"/>
    <mergeCell ref="A9:B9"/>
    <mergeCell ref="A10:E10"/>
    <mergeCell ref="A5:B5"/>
    <mergeCell ref="A7:B7"/>
    <mergeCell ref="A11:E11"/>
    <mergeCell ref="A6:B6"/>
    <mergeCell ref="A1:F1"/>
    <mergeCell ref="A2:B3"/>
    <mergeCell ref="A4:B4"/>
    <mergeCell ref="C4:F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activeCell="A13" sqref="A13:G13"/>
    </sheetView>
  </sheetViews>
  <sheetFormatPr defaultColWidth="14.44140625" defaultRowHeight="15" customHeight="1" x14ac:dyDescent="0.3"/>
  <cols>
    <col min="1" max="1" width="19.6640625" customWidth="1"/>
    <col min="2" max="2" width="110" customWidth="1"/>
    <col min="3" max="3" width="18.33203125" customWidth="1"/>
    <col min="4" max="4" width="18.6640625" customWidth="1"/>
    <col min="5" max="6" width="18.33203125" customWidth="1"/>
    <col min="7" max="7" width="3.109375" customWidth="1"/>
    <col min="8" max="11" width="8.6640625" customWidth="1"/>
  </cols>
  <sheetData>
    <row r="1" spans="1:7" ht="21" customHeight="1" x14ac:dyDescent="0.3">
      <c r="A1" s="50" t="s">
        <v>39</v>
      </c>
      <c r="B1" s="51"/>
      <c r="C1" s="51"/>
      <c r="D1" s="51"/>
      <c r="E1" s="51"/>
      <c r="F1" s="44"/>
    </row>
    <row r="2" spans="1:7" ht="21" customHeight="1" x14ac:dyDescent="0.3">
      <c r="A2" s="52" t="s">
        <v>40</v>
      </c>
      <c r="B2" s="53"/>
      <c r="C2" s="6" t="s">
        <v>41</v>
      </c>
      <c r="D2" s="6" t="s">
        <v>42</v>
      </c>
      <c r="E2" s="6" t="s">
        <v>43</v>
      </c>
      <c r="F2" s="7" t="s">
        <v>44</v>
      </c>
    </row>
    <row r="3" spans="1:7" ht="21" customHeight="1" x14ac:dyDescent="0.3">
      <c r="A3" s="54"/>
      <c r="B3" s="55"/>
      <c r="C3" s="8">
        <v>2.11</v>
      </c>
      <c r="D3" s="8">
        <v>1.04</v>
      </c>
      <c r="E3" s="8">
        <v>2.5</v>
      </c>
      <c r="F3" s="8">
        <v>8.2799999999999994</v>
      </c>
    </row>
    <row r="4" spans="1:7" ht="14.25" customHeight="1" x14ac:dyDescent="0.3">
      <c r="A4" s="56" t="s">
        <v>45</v>
      </c>
      <c r="B4" s="44"/>
      <c r="C4" s="57">
        <v>24367.68</v>
      </c>
      <c r="D4" s="51"/>
      <c r="E4" s="51"/>
      <c r="F4" s="44"/>
    </row>
    <row r="5" spans="1:7" ht="15" customHeight="1" x14ac:dyDescent="0.25">
      <c r="A5" s="61"/>
      <c r="B5" s="44"/>
      <c r="C5" s="9"/>
      <c r="D5" s="9"/>
      <c r="E5" s="9"/>
      <c r="F5" s="9"/>
    </row>
    <row r="6" spans="1:7" ht="17.25" customHeight="1" x14ac:dyDescent="0.3">
      <c r="A6" s="49" t="s">
        <v>46</v>
      </c>
      <c r="B6" s="44"/>
      <c r="C6" s="10" t="s">
        <v>47</v>
      </c>
      <c r="D6" s="11" t="s">
        <v>48</v>
      </c>
      <c r="E6" s="11" t="s">
        <v>49</v>
      </c>
      <c r="F6" s="12" t="s">
        <v>50</v>
      </c>
    </row>
    <row r="7" spans="1:7" s="37" customFormat="1" ht="17.25" customHeight="1" x14ac:dyDescent="0.3">
      <c r="A7" s="48" t="s">
        <v>1091</v>
      </c>
      <c r="B7" s="44"/>
      <c r="C7" s="14" t="s">
        <v>24</v>
      </c>
      <c r="D7" s="15">
        <v>2.78</v>
      </c>
      <c r="E7" s="15">
        <v>550</v>
      </c>
      <c r="F7" s="17">
        <f t="shared" ref="F7" si="0">D7*E7</f>
        <v>1529</v>
      </c>
    </row>
    <row r="8" spans="1:7" ht="17.25" customHeight="1" x14ac:dyDescent="0.3">
      <c r="A8" s="48" t="s">
        <v>1088</v>
      </c>
      <c r="B8" s="44"/>
      <c r="C8" s="14" t="s">
        <v>51</v>
      </c>
      <c r="D8" s="15">
        <v>2.78</v>
      </c>
      <c r="E8" s="15">
        <v>835</v>
      </c>
      <c r="F8" s="17">
        <f t="shared" ref="F8:F9" si="1">E8*D8</f>
        <v>2321.2999999999997</v>
      </c>
    </row>
    <row r="9" spans="1:7" ht="17.25" customHeight="1" x14ac:dyDescent="0.3">
      <c r="A9" s="48" t="s">
        <v>52</v>
      </c>
      <c r="B9" s="44"/>
      <c r="C9" s="14" t="s">
        <v>53</v>
      </c>
      <c r="D9" s="15">
        <v>3.67</v>
      </c>
      <c r="E9" s="15">
        <v>214</v>
      </c>
      <c r="F9" s="17">
        <f t="shared" si="1"/>
        <v>785.38</v>
      </c>
    </row>
    <row r="10" spans="1:7" ht="17.25" customHeight="1" x14ac:dyDescent="0.3">
      <c r="A10" s="48" t="s">
        <v>54</v>
      </c>
      <c r="B10" s="44"/>
      <c r="C10" s="14" t="s">
        <v>55</v>
      </c>
      <c r="D10" s="15">
        <v>10</v>
      </c>
      <c r="E10" s="15">
        <v>565</v>
      </c>
      <c r="F10" s="17">
        <f>E10*D10</f>
        <v>5650</v>
      </c>
    </row>
    <row r="11" spans="1:7" ht="17.25" customHeight="1" x14ac:dyDescent="0.3">
      <c r="A11" s="60" t="s">
        <v>56</v>
      </c>
      <c r="B11" s="51"/>
      <c r="C11" s="51"/>
      <c r="D11" s="51"/>
      <c r="E11" s="44"/>
      <c r="F11" s="18">
        <f>F8+F9+F10+F7</f>
        <v>10285.68</v>
      </c>
    </row>
    <row r="12" spans="1:7" ht="17.25" customHeight="1" x14ac:dyDescent="0.3">
      <c r="A12" s="58" t="s">
        <v>1144</v>
      </c>
      <c r="B12" s="51"/>
      <c r="C12" s="51"/>
      <c r="D12" s="51"/>
      <c r="E12" s="44"/>
      <c r="F12" s="20">
        <f>F11</f>
        <v>10285.68</v>
      </c>
    </row>
    <row r="13" spans="1:7" ht="17.25" customHeight="1" x14ac:dyDescent="0.3">
      <c r="A13" s="59" t="s">
        <v>57</v>
      </c>
      <c r="B13" s="39"/>
      <c r="C13" s="39"/>
      <c r="D13" s="39"/>
      <c r="E13" s="39"/>
      <c r="F13" s="39"/>
      <c r="G13" s="39"/>
    </row>
    <row r="14" spans="1:7" ht="10.5" customHeight="1" x14ac:dyDescent="0.25">
      <c r="A14" s="21"/>
    </row>
    <row r="15" spans="1:7" ht="11.25" customHeight="1" x14ac:dyDescent="0.3">
      <c r="A15" s="22" t="s">
        <v>58</v>
      </c>
    </row>
    <row r="16" spans="1:7" ht="10.5" customHeight="1" x14ac:dyDescent="0.25">
      <c r="A16" s="21"/>
    </row>
    <row r="17" spans="1:1" ht="11.25" customHeight="1" x14ac:dyDescent="0.3">
      <c r="A17" s="22" t="s">
        <v>59</v>
      </c>
    </row>
    <row r="18" spans="1:1" ht="15.75" customHeight="1" x14ac:dyDescent="0.3"/>
    <row r="19" spans="1:1" ht="15.75" customHeight="1" x14ac:dyDescent="0.3"/>
    <row r="20" spans="1:1" ht="15.75" customHeight="1" x14ac:dyDescent="0.3"/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3">
    <mergeCell ref="A13:G13"/>
    <mergeCell ref="A9:B9"/>
    <mergeCell ref="A10:B10"/>
    <mergeCell ref="A11:E11"/>
    <mergeCell ref="A6:B6"/>
    <mergeCell ref="A7:B7"/>
    <mergeCell ref="A8:B8"/>
    <mergeCell ref="A12:E12"/>
    <mergeCell ref="A1:F1"/>
    <mergeCell ref="A2:B3"/>
    <mergeCell ref="A4:B4"/>
    <mergeCell ref="C4:F4"/>
    <mergeCell ref="A5:B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A6" workbookViewId="0">
      <selection activeCell="C15" sqref="C15"/>
    </sheetView>
  </sheetViews>
  <sheetFormatPr defaultColWidth="14.44140625" defaultRowHeight="15" customHeight="1" x14ac:dyDescent="0.3"/>
  <cols>
    <col min="1" max="1" width="129.6640625" customWidth="1"/>
    <col min="2" max="2" width="18.33203125" customWidth="1"/>
    <col min="3" max="3" width="18.6640625" customWidth="1"/>
    <col min="4" max="5" width="18.33203125" customWidth="1"/>
    <col min="6" max="6" width="3.109375" customWidth="1"/>
    <col min="7" max="11" width="8.6640625" customWidth="1"/>
  </cols>
  <sheetData>
    <row r="1" spans="1:6" ht="18.75" customHeight="1" x14ac:dyDescent="0.3">
      <c r="A1" s="63" t="s">
        <v>60</v>
      </c>
      <c r="B1" s="39"/>
      <c r="C1" s="39"/>
      <c r="D1" s="39"/>
      <c r="E1" s="39"/>
      <c r="F1" s="39"/>
    </row>
    <row r="2" spans="1:6" ht="21" customHeight="1" x14ac:dyDescent="0.3">
      <c r="A2" s="50" t="s">
        <v>61</v>
      </c>
      <c r="B2" s="51"/>
      <c r="C2" s="51"/>
      <c r="D2" s="51"/>
      <c r="E2" s="44"/>
    </row>
    <row r="3" spans="1:6" ht="21" customHeight="1" x14ac:dyDescent="0.3">
      <c r="A3" s="64" t="s">
        <v>62</v>
      </c>
      <c r="B3" s="6" t="s">
        <v>63</v>
      </c>
      <c r="C3" s="6" t="s">
        <v>64</v>
      </c>
      <c r="D3" s="6" t="s">
        <v>65</v>
      </c>
      <c r="E3" s="7" t="s">
        <v>66</v>
      </c>
    </row>
    <row r="4" spans="1:6" ht="21" customHeight="1" x14ac:dyDescent="0.3">
      <c r="A4" s="65"/>
      <c r="B4" s="8">
        <v>2.86</v>
      </c>
      <c r="C4" s="8">
        <v>2.73</v>
      </c>
      <c r="D4" s="8">
        <v>2.5</v>
      </c>
      <c r="E4" s="8">
        <v>4.4800000000000004</v>
      </c>
    </row>
    <row r="5" spans="1:6" ht="14.25" customHeight="1" x14ac:dyDescent="0.3">
      <c r="A5" s="23" t="s">
        <v>67</v>
      </c>
      <c r="B5" s="57">
        <v>123833.19</v>
      </c>
      <c r="C5" s="51"/>
      <c r="D5" s="51"/>
      <c r="E5" s="44"/>
    </row>
    <row r="6" spans="1:6" ht="15" customHeight="1" x14ac:dyDescent="0.25">
      <c r="A6" s="9"/>
      <c r="B6" s="9"/>
      <c r="C6" s="9"/>
      <c r="D6" s="9"/>
      <c r="E6" s="9"/>
    </row>
    <row r="7" spans="1:6" ht="17.25" customHeight="1" x14ac:dyDescent="0.3">
      <c r="A7" s="11" t="s">
        <v>68</v>
      </c>
      <c r="B7" s="10" t="s">
        <v>69</v>
      </c>
      <c r="C7" s="11" t="s">
        <v>70</v>
      </c>
      <c r="D7" s="11" t="s">
        <v>71</v>
      </c>
      <c r="E7" s="12" t="s">
        <v>72</v>
      </c>
    </row>
    <row r="8" spans="1:6" ht="17.25" customHeight="1" x14ac:dyDescent="0.25">
      <c r="A8" s="24" t="s">
        <v>73</v>
      </c>
      <c r="B8" s="13"/>
      <c r="C8" s="13"/>
      <c r="D8" s="13"/>
      <c r="E8" s="13"/>
    </row>
    <row r="9" spans="1:6" ht="17.25" customHeight="1" x14ac:dyDescent="0.3">
      <c r="A9" s="14" t="s">
        <v>1088</v>
      </c>
      <c r="B9" s="14" t="s">
        <v>74</v>
      </c>
      <c r="C9" s="15">
        <v>4.5</v>
      </c>
      <c r="D9" s="15">
        <v>835</v>
      </c>
      <c r="E9" s="19">
        <f t="shared" ref="E9:E24" si="0">D9*C9</f>
        <v>3757.5</v>
      </c>
    </row>
    <row r="10" spans="1:6" ht="17.25" customHeight="1" x14ac:dyDescent="0.3">
      <c r="A10" s="14" t="s">
        <v>75</v>
      </c>
      <c r="B10" s="14" t="s">
        <v>76</v>
      </c>
      <c r="C10" s="15">
        <v>10.4</v>
      </c>
      <c r="D10" s="15">
        <v>214</v>
      </c>
      <c r="E10" s="19">
        <f t="shared" si="0"/>
        <v>2225.6</v>
      </c>
    </row>
    <row r="11" spans="1:6" ht="17.25" customHeight="1" x14ac:dyDescent="0.25">
      <c r="A11" s="24" t="s">
        <v>77</v>
      </c>
      <c r="B11" s="13"/>
      <c r="C11" s="13"/>
      <c r="D11" s="13"/>
      <c r="E11" s="19"/>
    </row>
    <row r="12" spans="1:6" ht="17.25" customHeight="1" x14ac:dyDescent="0.3">
      <c r="A12" s="14" t="s">
        <v>1093</v>
      </c>
      <c r="B12" s="14" t="s">
        <v>1089</v>
      </c>
      <c r="C12" s="15">
        <f>1.5*2.7</f>
        <v>4.0500000000000007</v>
      </c>
      <c r="D12" s="16">
        <v>3350</v>
      </c>
      <c r="E12" s="19">
        <f t="shared" si="0"/>
        <v>13567.500000000002</v>
      </c>
    </row>
    <row r="13" spans="1:6" ht="17.25" customHeight="1" x14ac:dyDescent="0.3">
      <c r="A13" s="14" t="s">
        <v>1145</v>
      </c>
      <c r="B13" s="14" t="s">
        <v>1089</v>
      </c>
      <c r="C13" s="15">
        <f>C12</f>
        <v>4.0500000000000007</v>
      </c>
      <c r="D13" s="15">
        <v>395</v>
      </c>
      <c r="E13" s="19">
        <f t="shared" si="0"/>
        <v>1599.7500000000002</v>
      </c>
    </row>
    <row r="14" spans="1:6" ht="17.25" customHeight="1" x14ac:dyDescent="0.3">
      <c r="A14" s="14" t="s">
        <v>78</v>
      </c>
      <c r="B14" s="14" t="s">
        <v>79</v>
      </c>
      <c r="C14" s="15">
        <v>2.7</v>
      </c>
      <c r="D14" s="15">
        <v>485</v>
      </c>
      <c r="E14" s="19">
        <f>D14*C14</f>
        <v>1309.5</v>
      </c>
    </row>
    <row r="15" spans="1:6" s="37" customFormat="1" ht="17.25" customHeight="1" x14ac:dyDescent="0.3">
      <c r="A15" s="14" t="s">
        <v>1146</v>
      </c>
      <c r="B15" s="14" t="s">
        <v>1089</v>
      </c>
      <c r="C15" s="15">
        <f>2.6*4</f>
        <v>10.4</v>
      </c>
      <c r="D15" s="15">
        <v>3250</v>
      </c>
      <c r="E15" s="19">
        <f t="shared" ref="E15:E17" si="1">D15*C15</f>
        <v>33800</v>
      </c>
    </row>
    <row r="16" spans="1:6" s="37" customFormat="1" ht="17.25" customHeight="1" x14ac:dyDescent="0.3">
      <c r="A16" s="14" t="s">
        <v>1148</v>
      </c>
      <c r="B16" s="14" t="s">
        <v>1089</v>
      </c>
      <c r="C16" s="15">
        <f>C15</f>
        <v>10.4</v>
      </c>
      <c r="D16" s="15">
        <v>385</v>
      </c>
      <c r="E16" s="19">
        <f t="shared" si="1"/>
        <v>4004</v>
      </c>
    </row>
    <row r="17" spans="1:6" s="37" customFormat="1" ht="17.25" customHeight="1" x14ac:dyDescent="0.3">
      <c r="A17" s="14" t="s">
        <v>1147</v>
      </c>
      <c r="B17" s="14" t="s">
        <v>1089</v>
      </c>
      <c r="C17" s="15">
        <v>15.6</v>
      </c>
      <c r="D17" s="15">
        <v>1284</v>
      </c>
      <c r="E17" s="19">
        <f t="shared" si="1"/>
        <v>20030.399999999998</v>
      </c>
    </row>
    <row r="18" spans="1:6" ht="17.25" customHeight="1" x14ac:dyDescent="0.3">
      <c r="A18" s="14" t="s">
        <v>80</v>
      </c>
      <c r="B18" s="14" t="s">
        <v>81</v>
      </c>
      <c r="C18" s="15">
        <v>2</v>
      </c>
      <c r="D18" s="15">
        <v>565</v>
      </c>
      <c r="E18" s="19">
        <f t="shared" si="0"/>
        <v>1130</v>
      </c>
    </row>
    <row r="19" spans="1:6" s="36" customFormat="1" ht="17.25" customHeight="1" x14ac:dyDescent="0.3">
      <c r="A19" s="14" t="s">
        <v>1090</v>
      </c>
      <c r="B19" s="14" t="s">
        <v>24</v>
      </c>
      <c r="C19" s="15">
        <v>12</v>
      </c>
      <c r="D19" s="15">
        <v>1125</v>
      </c>
      <c r="E19" s="19">
        <f t="shared" si="0"/>
        <v>13500</v>
      </c>
    </row>
    <row r="20" spans="1:6" ht="17.25" customHeight="1" x14ac:dyDescent="0.25">
      <c r="A20" s="24" t="s">
        <v>82</v>
      </c>
      <c r="B20" s="13"/>
      <c r="C20" s="13"/>
      <c r="D20" s="13"/>
      <c r="E20" s="19"/>
    </row>
    <row r="21" spans="1:6" ht="17.25" customHeight="1" x14ac:dyDescent="0.3">
      <c r="A21" s="14" t="s">
        <v>83</v>
      </c>
      <c r="B21" s="14" t="s">
        <v>84</v>
      </c>
      <c r="C21" s="15">
        <v>4.63</v>
      </c>
      <c r="D21" s="15">
        <v>300</v>
      </c>
      <c r="E21" s="19">
        <f t="shared" si="0"/>
        <v>1389</v>
      </c>
    </row>
    <row r="22" spans="1:6" ht="17.25" customHeight="1" x14ac:dyDescent="0.25">
      <c r="A22" s="24" t="s">
        <v>1094</v>
      </c>
      <c r="B22" s="13"/>
      <c r="C22" s="13"/>
      <c r="D22" s="13"/>
      <c r="E22" s="19"/>
    </row>
    <row r="23" spans="1:6" s="37" customFormat="1" ht="17.25" customHeight="1" x14ac:dyDescent="0.3">
      <c r="A23" s="14" t="s">
        <v>1095</v>
      </c>
      <c r="B23" s="14" t="s">
        <v>1096</v>
      </c>
      <c r="C23" s="15">
        <v>8.2899999999999991</v>
      </c>
      <c r="D23" s="15">
        <v>550</v>
      </c>
      <c r="E23" s="19">
        <f t="shared" ref="E23" si="2">D23*C23</f>
        <v>4559.4999999999991</v>
      </c>
    </row>
    <row r="24" spans="1:6" ht="17.25" customHeight="1" x14ac:dyDescent="0.3">
      <c r="A24" s="14" t="s">
        <v>85</v>
      </c>
      <c r="B24" s="14" t="s">
        <v>86</v>
      </c>
      <c r="C24" s="15">
        <v>2.86</v>
      </c>
      <c r="D24" s="15">
        <v>385</v>
      </c>
      <c r="E24" s="19">
        <f t="shared" si="0"/>
        <v>1101.0999999999999</v>
      </c>
    </row>
    <row r="25" spans="1:6" ht="17.25" customHeight="1" x14ac:dyDescent="0.3">
      <c r="A25" s="60" t="s">
        <v>87</v>
      </c>
      <c r="B25" s="51"/>
      <c r="C25" s="51"/>
      <c r="D25" s="44"/>
      <c r="E25" s="18">
        <f>SUM(E9:E24)</f>
        <v>101973.85</v>
      </c>
    </row>
    <row r="26" spans="1:6" ht="17.25" customHeight="1" x14ac:dyDescent="0.3">
      <c r="A26" s="58" t="s">
        <v>1092</v>
      </c>
      <c r="B26" s="51"/>
      <c r="C26" s="51"/>
      <c r="D26" s="44"/>
      <c r="E26" s="20">
        <f>E25</f>
        <v>101973.85</v>
      </c>
    </row>
    <row r="27" spans="1:6" ht="17.25" customHeight="1" x14ac:dyDescent="0.3">
      <c r="A27" s="59" t="s">
        <v>88</v>
      </c>
      <c r="B27" s="39"/>
      <c r="C27" s="39"/>
      <c r="D27" s="39"/>
      <c r="E27" s="39"/>
      <c r="F27" s="39"/>
    </row>
    <row r="28" spans="1:6" ht="11.25" customHeight="1" x14ac:dyDescent="0.3">
      <c r="A28" s="62" t="s">
        <v>89</v>
      </c>
      <c r="B28" s="39"/>
      <c r="C28" s="39"/>
      <c r="D28" s="39"/>
      <c r="E28" s="39"/>
      <c r="F28" s="39"/>
    </row>
    <row r="29" spans="1:6" ht="0.75" customHeight="1" x14ac:dyDescent="0.3"/>
    <row r="30" spans="1:6" ht="0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8">
    <mergeCell ref="A27:F27"/>
    <mergeCell ref="A28:F28"/>
    <mergeCell ref="A25:D25"/>
    <mergeCell ref="A1:F1"/>
    <mergeCell ref="A2:E2"/>
    <mergeCell ref="A3:A4"/>
    <mergeCell ref="B5:E5"/>
    <mergeCell ref="A26:D2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selection activeCell="A20" sqref="A20:F20"/>
    </sheetView>
  </sheetViews>
  <sheetFormatPr defaultColWidth="14.44140625" defaultRowHeight="15" customHeight="1" x14ac:dyDescent="0.3"/>
  <cols>
    <col min="1" max="1" width="129.6640625" customWidth="1"/>
    <col min="2" max="2" width="18.33203125" customWidth="1"/>
    <col min="3" max="3" width="18.6640625" customWidth="1"/>
    <col min="4" max="5" width="18.33203125" customWidth="1"/>
    <col min="6" max="6" width="3.109375" customWidth="1"/>
    <col min="7" max="11" width="8.6640625" customWidth="1"/>
  </cols>
  <sheetData>
    <row r="1" spans="1:6" ht="18.75" customHeight="1" x14ac:dyDescent="0.3">
      <c r="A1" s="63" t="s">
        <v>90</v>
      </c>
      <c r="B1" s="39"/>
      <c r="C1" s="39"/>
      <c r="D1" s="39"/>
      <c r="E1" s="39"/>
      <c r="F1" s="39"/>
    </row>
    <row r="2" spans="1:6" ht="21" customHeight="1" x14ac:dyDescent="0.3">
      <c r="A2" s="50" t="s">
        <v>91</v>
      </c>
      <c r="B2" s="51"/>
      <c r="C2" s="51"/>
      <c r="D2" s="51"/>
      <c r="E2" s="44"/>
    </row>
    <row r="3" spans="1:6" ht="21" customHeight="1" x14ac:dyDescent="0.3">
      <c r="A3" s="64" t="s">
        <v>92</v>
      </c>
      <c r="B3" s="6" t="s">
        <v>93</v>
      </c>
      <c r="C3" s="6" t="s">
        <v>94</v>
      </c>
      <c r="D3" s="6" t="s">
        <v>95</v>
      </c>
      <c r="E3" s="7" t="s">
        <v>96</v>
      </c>
    </row>
    <row r="4" spans="1:6" ht="21" customHeight="1" x14ac:dyDescent="0.3">
      <c r="A4" s="65"/>
      <c r="B4" s="8">
        <v>4.04</v>
      </c>
      <c r="C4" s="8">
        <v>4.1900000000000004</v>
      </c>
      <c r="D4" s="8">
        <v>2.5</v>
      </c>
      <c r="E4" s="8">
        <v>5.62</v>
      </c>
    </row>
    <row r="5" spans="1:6" ht="14.25" customHeight="1" x14ac:dyDescent="0.3">
      <c r="A5" s="23" t="s">
        <v>97</v>
      </c>
      <c r="B5" s="57">
        <v>153984.54999999999</v>
      </c>
      <c r="C5" s="51"/>
      <c r="D5" s="51"/>
      <c r="E5" s="44"/>
    </row>
    <row r="6" spans="1:6" ht="15" customHeight="1" x14ac:dyDescent="0.25">
      <c r="A6" s="9"/>
      <c r="B6" s="9"/>
      <c r="C6" s="9"/>
      <c r="D6" s="9"/>
      <c r="E6" s="9"/>
    </row>
    <row r="7" spans="1:6" ht="17.25" customHeight="1" x14ac:dyDescent="0.3">
      <c r="A7" s="11" t="s">
        <v>98</v>
      </c>
      <c r="B7" s="10" t="s">
        <v>99</v>
      </c>
      <c r="C7" s="11" t="s">
        <v>100</v>
      </c>
      <c r="D7" s="11" t="s">
        <v>101</v>
      </c>
      <c r="E7" s="12" t="s">
        <v>102</v>
      </c>
    </row>
    <row r="8" spans="1:6" ht="17.25" customHeight="1" x14ac:dyDescent="0.25">
      <c r="A8" s="24" t="s">
        <v>103</v>
      </c>
      <c r="B8" s="13"/>
      <c r="C8" s="13"/>
      <c r="D8" s="13"/>
      <c r="E8" s="13"/>
    </row>
    <row r="9" spans="1:6" ht="17.25" customHeight="1" x14ac:dyDescent="0.3">
      <c r="A9" s="14" t="s">
        <v>1088</v>
      </c>
      <c r="B9" s="14" t="s">
        <v>104</v>
      </c>
      <c r="C9" s="15">
        <v>16.899999999999999</v>
      </c>
      <c r="D9" s="15">
        <v>835</v>
      </c>
      <c r="E9" s="17">
        <f t="shared" ref="E9:E17" si="0">D9*C9</f>
        <v>14111.499999999998</v>
      </c>
    </row>
    <row r="10" spans="1:6" ht="17.25" customHeight="1" x14ac:dyDescent="0.3">
      <c r="A10" s="14" t="s">
        <v>105</v>
      </c>
      <c r="B10" s="14" t="s">
        <v>106</v>
      </c>
      <c r="C10" s="15">
        <v>8.23</v>
      </c>
      <c r="D10" s="15">
        <v>214</v>
      </c>
      <c r="E10" s="17">
        <f t="shared" si="0"/>
        <v>1761.22</v>
      </c>
    </row>
    <row r="11" spans="1:6" ht="17.25" customHeight="1" x14ac:dyDescent="0.25">
      <c r="A11" s="24" t="s">
        <v>107</v>
      </c>
      <c r="B11" s="13"/>
      <c r="C11" s="13"/>
      <c r="D11" s="13"/>
      <c r="E11" s="17"/>
    </row>
    <row r="12" spans="1:6" ht="17.25" customHeight="1" x14ac:dyDescent="0.3">
      <c r="A12" s="14" t="s">
        <v>108</v>
      </c>
      <c r="B12" s="14" t="s">
        <v>109</v>
      </c>
      <c r="C12" s="15">
        <v>35.51</v>
      </c>
      <c r="D12" s="15">
        <v>565</v>
      </c>
      <c r="E12" s="17">
        <f t="shared" si="0"/>
        <v>20063.149999999998</v>
      </c>
    </row>
    <row r="13" spans="1:6" ht="17.25" customHeight="1" x14ac:dyDescent="0.25">
      <c r="A13" s="24" t="s">
        <v>110</v>
      </c>
      <c r="B13" s="13"/>
      <c r="C13" s="13"/>
      <c r="D13" s="13"/>
      <c r="E13" s="17"/>
    </row>
    <row r="14" spans="1:6" ht="17.25" customHeight="1" x14ac:dyDescent="0.3">
      <c r="A14" s="14" t="s">
        <v>111</v>
      </c>
      <c r="B14" s="14" t="s">
        <v>112</v>
      </c>
      <c r="C14" s="15">
        <v>13.26</v>
      </c>
      <c r="D14" s="15">
        <v>300</v>
      </c>
      <c r="E14" s="17">
        <f t="shared" si="0"/>
        <v>3978</v>
      </c>
    </row>
    <row r="15" spans="1:6" ht="17.25" customHeight="1" x14ac:dyDescent="0.25">
      <c r="A15" s="24" t="s">
        <v>1094</v>
      </c>
      <c r="B15" s="13"/>
      <c r="C15" s="13"/>
      <c r="D15" s="13"/>
      <c r="E15" s="17"/>
    </row>
    <row r="16" spans="1:6" s="37" customFormat="1" ht="17.25" customHeight="1" x14ac:dyDescent="0.3">
      <c r="A16" s="14" t="s">
        <v>1095</v>
      </c>
      <c r="B16" s="14" t="s">
        <v>1096</v>
      </c>
      <c r="C16" s="15">
        <v>16.899999999999999</v>
      </c>
      <c r="D16" s="15">
        <v>550</v>
      </c>
      <c r="E16" s="19">
        <f t="shared" ref="E16" si="1">D16*C16</f>
        <v>9295</v>
      </c>
    </row>
    <row r="17" spans="1:6" ht="17.25" customHeight="1" x14ac:dyDescent="0.3">
      <c r="A17" s="14" t="s">
        <v>113</v>
      </c>
      <c r="B17" s="14" t="s">
        <v>114</v>
      </c>
      <c r="C17" s="15">
        <v>4.04</v>
      </c>
      <c r="D17" s="15">
        <v>385</v>
      </c>
      <c r="E17" s="17">
        <f t="shared" si="0"/>
        <v>1555.4</v>
      </c>
    </row>
    <row r="18" spans="1:6" ht="19.5" customHeight="1" x14ac:dyDescent="0.3">
      <c r="A18" s="60" t="s">
        <v>115</v>
      </c>
      <c r="B18" s="51"/>
      <c r="C18" s="51"/>
      <c r="D18" s="44"/>
      <c r="E18" s="18">
        <f>SUM(E9:E17)</f>
        <v>50764.27</v>
      </c>
    </row>
    <row r="19" spans="1:6" ht="19.5" customHeight="1" x14ac:dyDescent="0.3">
      <c r="A19" s="66" t="s">
        <v>1092</v>
      </c>
      <c r="B19" s="51"/>
      <c r="C19" s="51"/>
      <c r="D19" s="44"/>
      <c r="E19" s="20">
        <f>E18</f>
        <v>50764.27</v>
      </c>
    </row>
    <row r="20" spans="1:6" ht="17.25" customHeight="1" x14ac:dyDescent="0.3">
      <c r="A20" s="59" t="s">
        <v>116</v>
      </c>
      <c r="B20" s="39"/>
      <c r="C20" s="39"/>
      <c r="D20" s="39"/>
      <c r="E20" s="39"/>
      <c r="F20" s="39"/>
    </row>
    <row r="21" spans="1:6" ht="11.25" customHeight="1" x14ac:dyDescent="0.3">
      <c r="A21" s="62" t="s">
        <v>117</v>
      </c>
      <c r="B21" s="39"/>
      <c r="C21" s="39"/>
      <c r="D21" s="39"/>
      <c r="E21" s="39"/>
      <c r="F21" s="39"/>
    </row>
    <row r="22" spans="1:6" ht="0.75" customHeight="1" x14ac:dyDescent="0.3"/>
    <row r="23" spans="1:6" ht="0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8">
    <mergeCell ref="A20:F20"/>
    <mergeCell ref="A21:F21"/>
    <mergeCell ref="A18:D18"/>
    <mergeCell ref="A1:F1"/>
    <mergeCell ref="A2:E2"/>
    <mergeCell ref="A3:A4"/>
    <mergeCell ref="B5:E5"/>
    <mergeCell ref="A19:D1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selection activeCell="A20" sqref="A20:F20"/>
    </sheetView>
  </sheetViews>
  <sheetFormatPr defaultColWidth="14.44140625" defaultRowHeight="15" customHeight="1" x14ac:dyDescent="0.3"/>
  <cols>
    <col min="1" max="1" width="129.6640625" customWidth="1"/>
    <col min="2" max="2" width="18.33203125" customWidth="1"/>
    <col min="3" max="3" width="18.6640625" customWidth="1"/>
    <col min="4" max="5" width="18.33203125" customWidth="1"/>
    <col min="6" max="6" width="3.109375" customWidth="1"/>
    <col min="7" max="11" width="8.6640625" customWidth="1"/>
  </cols>
  <sheetData>
    <row r="1" spans="1:6" ht="18.75" customHeight="1" x14ac:dyDescent="0.3">
      <c r="A1" s="63" t="s">
        <v>118</v>
      </c>
      <c r="B1" s="39"/>
      <c r="C1" s="39"/>
      <c r="D1" s="39"/>
      <c r="E1" s="39"/>
      <c r="F1" s="39"/>
    </row>
    <row r="2" spans="1:6" ht="21" customHeight="1" x14ac:dyDescent="0.3">
      <c r="A2" s="50" t="s">
        <v>119</v>
      </c>
      <c r="B2" s="51"/>
      <c r="C2" s="51"/>
      <c r="D2" s="51"/>
      <c r="E2" s="44"/>
    </row>
    <row r="3" spans="1:6" ht="21" customHeight="1" x14ac:dyDescent="0.3">
      <c r="A3" s="64" t="s">
        <v>120</v>
      </c>
      <c r="B3" s="6" t="s">
        <v>121</v>
      </c>
      <c r="C3" s="6" t="s">
        <v>122</v>
      </c>
      <c r="D3" s="6" t="s">
        <v>123</v>
      </c>
      <c r="E3" s="7" t="s">
        <v>124</v>
      </c>
    </row>
    <row r="4" spans="1:6" ht="21" customHeight="1" x14ac:dyDescent="0.3">
      <c r="A4" s="65"/>
      <c r="B4" s="8">
        <v>2.84</v>
      </c>
      <c r="C4" s="8">
        <v>4.62</v>
      </c>
      <c r="D4" s="8">
        <v>2.5</v>
      </c>
      <c r="E4" s="8">
        <v>5.03</v>
      </c>
    </row>
    <row r="5" spans="1:6" ht="14.25" customHeight="1" x14ac:dyDescent="0.3">
      <c r="A5" s="23" t="s">
        <v>125</v>
      </c>
      <c r="B5" s="57">
        <v>131813.39000000001</v>
      </c>
      <c r="C5" s="51"/>
      <c r="D5" s="51"/>
      <c r="E5" s="44"/>
    </row>
    <row r="6" spans="1:6" ht="17.25" customHeight="1" x14ac:dyDescent="0.3">
      <c r="A6" s="11" t="s">
        <v>126</v>
      </c>
      <c r="B6" s="10" t="s">
        <v>127</v>
      </c>
      <c r="C6" s="11" t="s">
        <v>128</v>
      </c>
      <c r="D6" s="11" t="s">
        <v>129</v>
      </c>
      <c r="E6" s="12" t="s">
        <v>130</v>
      </c>
    </row>
    <row r="7" spans="1:6" ht="17.25" customHeight="1" x14ac:dyDescent="0.25">
      <c r="A7" s="24" t="s">
        <v>131</v>
      </c>
      <c r="B7" s="13"/>
      <c r="C7" s="13"/>
      <c r="D7" s="13"/>
      <c r="E7" s="13"/>
    </row>
    <row r="8" spans="1:6" ht="17.25" customHeight="1" x14ac:dyDescent="0.3">
      <c r="A8" s="14" t="s">
        <v>1088</v>
      </c>
      <c r="B8" s="14" t="s">
        <v>132</v>
      </c>
      <c r="C8" s="15">
        <v>13.12</v>
      </c>
      <c r="D8" s="15">
        <v>835</v>
      </c>
      <c r="E8" s="17">
        <f t="shared" ref="E8:E17" si="0">D8*C8</f>
        <v>10955.199999999999</v>
      </c>
    </row>
    <row r="9" spans="1:6" ht="17.25" customHeight="1" x14ac:dyDescent="0.3">
      <c r="A9" s="14" t="s">
        <v>133</v>
      </c>
      <c r="B9" s="14" t="s">
        <v>134</v>
      </c>
      <c r="C9" s="15">
        <v>7.46</v>
      </c>
      <c r="D9" s="15">
        <v>214</v>
      </c>
      <c r="E9" s="17">
        <f t="shared" si="0"/>
        <v>1596.44</v>
      </c>
    </row>
    <row r="10" spans="1:6" ht="17.25" customHeight="1" x14ac:dyDescent="0.25">
      <c r="A10" s="24" t="s">
        <v>135</v>
      </c>
      <c r="B10" s="13"/>
      <c r="C10" s="13"/>
      <c r="D10" s="13"/>
      <c r="E10" s="17"/>
    </row>
    <row r="11" spans="1:6" ht="17.25" customHeight="1" x14ac:dyDescent="0.3">
      <c r="A11" s="14" t="s">
        <v>136</v>
      </c>
      <c r="B11" s="14" t="s">
        <v>137</v>
      </c>
      <c r="C11" s="15">
        <f>32.27-8.5</f>
        <v>23.770000000000003</v>
      </c>
      <c r="D11" s="15">
        <v>565</v>
      </c>
      <c r="E11" s="17">
        <f t="shared" si="0"/>
        <v>13430.050000000001</v>
      </c>
    </row>
    <row r="12" spans="1:6" s="37" customFormat="1" ht="17.25" customHeight="1" x14ac:dyDescent="0.3">
      <c r="A12" s="14" t="s">
        <v>1090</v>
      </c>
      <c r="B12" s="14" t="s">
        <v>24</v>
      </c>
      <c r="C12" s="15">
        <v>8.5</v>
      </c>
      <c r="D12" s="15">
        <v>1125</v>
      </c>
      <c r="E12" s="19">
        <f t="shared" si="0"/>
        <v>9562.5</v>
      </c>
    </row>
    <row r="13" spans="1:6" ht="17.25" customHeight="1" x14ac:dyDescent="0.25">
      <c r="A13" s="24" t="s">
        <v>138</v>
      </c>
      <c r="B13" s="13"/>
      <c r="C13" s="13"/>
      <c r="D13" s="13"/>
      <c r="E13" s="17"/>
    </row>
    <row r="14" spans="1:6" ht="17.25" customHeight="1" x14ac:dyDescent="0.3">
      <c r="A14" s="14" t="s">
        <v>139</v>
      </c>
      <c r="B14" s="14" t="s">
        <v>140</v>
      </c>
      <c r="C14" s="15">
        <v>12.2</v>
      </c>
      <c r="D14" s="15">
        <v>300</v>
      </c>
      <c r="E14" s="17">
        <f t="shared" si="0"/>
        <v>3660</v>
      </c>
    </row>
    <row r="15" spans="1:6" ht="17.25" customHeight="1" x14ac:dyDescent="0.25">
      <c r="A15" s="24" t="s">
        <v>1094</v>
      </c>
      <c r="B15" s="13"/>
      <c r="C15" s="13"/>
      <c r="D15" s="13"/>
      <c r="E15" s="17"/>
    </row>
    <row r="16" spans="1:6" s="37" customFormat="1" ht="17.25" customHeight="1" x14ac:dyDescent="0.3">
      <c r="A16" s="14" t="s">
        <v>1095</v>
      </c>
      <c r="B16" s="14" t="s">
        <v>1096</v>
      </c>
      <c r="C16" s="15">
        <v>13.12</v>
      </c>
      <c r="D16" s="15">
        <v>550</v>
      </c>
      <c r="E16" s="19">
        <f t="shared" ref="E16" si="1">D16*C16</f>
        <v>7216</v>
      </c>
    </row>
    <row r="17" spans="1:6" ht="17.25" customHeight="1" x14ac:dyDescent="0.3">
      <c r="A17" s="14" t="s">
        <v>141</v>
      </c>
      <c r="B17" s="14" t="s">
        <v>142</v>
      </c>
      <c r="C17" s="15">
        <v>2.84</v>
      </c>
      <c r="D17" s="15">
        <v>385</v>
      </c>
      <c r="E17" s="17">
        <f t="shared" si="0"/>
        <v>1093.3999999999999</v>
      </c>
    </row>
    <row r="18" spans="1:6" ht="19.5" customHeight="1" x14ac:dyDescent="0.3">
      <c r="A18" s="60" t="s">
        <v>143</v>
      </c>
      <c r="B18" s="51"/>
      <c r="C18" s="51"/>
      <c r="D18" s="44"/>
      <c r="E18" s="18">
        <f>SUM(E8:E17)</f>
        <v>47513.590000000004</v>
      </c>
    </row>
    <row r="19" spans="1:6" ht="19.5" customHeight="1" x14ac:dyDescent="0.3">
      <c r="A19" s="66" t="s">
        <v>144</v>
      </c>
      <c r="B19" s="51"/>
      <c r="C19" s="51"/>
      <c r="D19" s="44"/>
      <c r="E19" s="20">
        <f>E18</f>
        <v>47513.590000000004</v>
      </c>
    </row>
    <row r="20" spans="1:6" ht="17.25" customHeight="1" x14ac:dyDescent="0.3">
      <c r="A20" s="59" t="s">
        <v>145</v>
      </c>
      <c r="B20" s="39"/>
      <c r="C20" s="39"/>
      <c r="D20" s="39"/>
      <c r="E20" s="39"/>
      <c r="F20" s="39"/>
    </row>
    <row r="21" spans="1:6" ht="11.25" customHeight="1" x14ac:dyDescent="0.3">
      <c r="A21" s="62" t="s">
        <v>146</v>
      </c>
      <c r="B21" s="39"/>
      <c r="C21" s="39"/>
      <c r="D21" s="39"/>
      <c r="E21" s="39"/>
      <c r="F21" s="39"/>
    </row>
    <row r="22" spans="1:6" ht="0.75" customHeight="1" x14ac:dyDescent="0.3"/>
    <row r="23" spans="1:6" ht="0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8">
    <mergeCell ref="A20:F20"/>
    <mergeCell ref="A21:F21"/>
    <mergeCell ref="A18:D18"/>
    <mergeCell ref="A1:F1"/>
    <mergeCell ref="A2:E2"/>
    <mergeCell ref="A3:A4"/>
    <mergeCell ref="B5:E5"/>
    <mergeCell ref="A19:D19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opLeftCell="A17" workbookViewId="0">
      <selection activeCell="F40" sqref="F40"/>
    </sheetView>
  </sheetViews>
  <sheetFormatPr defaultColWidth="14.44140625" defaultRowHeight="15" customHeight="1" x14ac:dyDescent="0.3"/>
  <cols>
    <col min="1" max="1" width="17.6640625" style="78" customWidth="1"/>
    <col min="2" max="2" width="99" style="78" customWidth="1"/>
    <col min="3" max="3" width="16.44140625" style="78" customWidth="1"/>
    <col min="4" max="4" width="16.6640625" style="78" customWidth="1"/>
    <col min="5" max="5" width="16.44140625" style="78" customWidth="1"/>
    <col min="6" max="6" width="16.6640625" style="78" customWidth="1"/>
    <col min="7" max="7" width="13.88671875" style="78" customWidth="1"/>
    <col min="8" max="11" width="7" style="78" customWidth="1"/>
    <col min="12" max="16384" width="14.44140625" style="78"/>
  </cols>
  <sheetData>
    <row r="1" spans="1:11" ht="21" customHeight="1" x14ac:dyDescent="0.3">
      <c r="A1" s="50" t="s">
        <v>1097</v>
      </c>
      <c r="B1" s="74"/>
      <c r="C1" s="74"/>
      <c r="D1" s="74"/>
      <c r="E1" s="74"/>
      <c r="F1" s="75"/>
      <c r="G1" s="76"/>
      <c r="H1" s="77"/>
      <c r="I1" s="77"/>
      <c r="J1" s="77"/>
      <c r="K1" s="77"/>
    </row>
    <row r="2" spans="1:11" ht="21" customHeight="1" x14ac:dyDescent="0.3">
      <c r="A2" s="79" t="s">
        <v>1098</v>
      </c>
      <c r="B2" s="80"/>
      <c r="C2" s="6" t="s">
        <v>1099</v>
      </c>
      <c r="D2" s="6" t="s">
        <v>1100</v>
      </c>
      <c r="E2" s="6" t="s">
        <v>1101</v>
      </c>
      <c r="F2" s="7" t="s">
        <v>1102</v>
      </c>
      <c r="G2" s="76"/>
      <c r="H2" s="77"/>
      <c r="I2" s="77"/>
      <c r="J2" s="77"/>
      <c r="K2" s="77"/>
    </row>
    <row r="3" spans="1:11" ht="21" customHeight="1" x14ac:dyDescent="0.3">
      <c r="A3" s="81"/>
      <c r="B3" s="82"/>
      <c r="C3" s="8">
        <v>0</v>
      </c>
      <c r="D3" s="8">
        <v>0</v>
      </c>
      <c r="E3" s="8">
        <v>2.5</v>
      </c>
      <c r="F3" s="8">
        <v>0</v>
      </c>
      <c r="G3" s="76"/>
      <c r="H3" s="77"/>
      <c r="I3" s="77"/>
      <c r="J3" s="77"/>
      <c r="K3" s="77"/>
    </row>
    <row r="4" spans="1:11" ht="14.25" customHeight="1" x14ac:dyDescent="0.3">
      <c r="A4" s="83" t="s">
        <v>1103</v>
      </c>
      <c r="B4" s="75"/>
      <c r="C4" s="57">
        <v>135489.62</v>
      </c>
      <c r="D4" s="74"/>
      <c r="E4" s="74"/>
      <c r="F4" s="75"/>
      <c r="G4" s="76"/>
      <c r="H4" s="77"/>
      <c r="I4" s="77"/>
      <c r="J4" s="77"/>
      <c r="K4" s="77"/>
    </row>
    <row r="5" spans="1:11" ht="13.8" x14ac:dyDescent="0.3">
      <c r="A5" s="61"/>
      <c r="B5" s="75"/>
      <c r="C5" s="9"/>
      <c r="D5" s="9"/>
      <c r="E5" s="9"/>
      <c r="F5" s="9"/>
      <c r="G5" s="76"/>
      <c r="H5" s="77"/>
      <c r="I5" s="77"/>
      <c r="J5" s="77"/>
      <c r="K5" s="77"/>
    </row>
    <row r="6" spans="1:11" ht="17.25" customHeight="1" x14ac:dyDescent="0.3">
      <c r="A6" s="49" t="s">
        <v>1104</v>
      </c>
      <c r="B6" s="75"/>
      <c r="C6" s="10" t="s">
        <v>1105</v>
      </c>
      <c r="D6" s="11" t="s">
        <v>1106</v>
      </c>
      <c r="E6" s="11" t="s">
        <v>1107</v>
      </c>
      <c r="F6" s="12" t="s">
        <v>1108</v>
      </c>
      <c r="G6" s="76"/>
      <c r="H6" s="77"/>
      <c r="I6" s="77"/>
      <c r="J6" s="77"/>
      <c r="K6" s="77"/>
    </row>
    <row r="7" spans="1:11" ht="17.25" customHeight="1" x14ac:dyDescent="0.3">
      <c r="A7" s="48" t="s">
        <v>1109</v>
      </c>
      <c r="B7" s="75"/>
      <c r="C7" s="14" t="s">
        <v>1110</v>
      </c>
      <c r="D7" s="15">
        <v>37</v>
      </c>
      <c r="E7" s="15">
        <v>425</v>
      </c>
      <c r="F7" s="17">
        <v>15725</v>
      </c>
      <c r="G7" s="76"/>
      <c r="H7" s="77"/>
      <c r="I7" s="77"/>
      <c r="J7" s="77"/>
      <c r="K7" s="77"/>
    </row>
    <row r="8" spans="1:11" ht="17.25" customHeight="1" x14ac:dyDescent="0.3">
      <c r="A8" s="48" t="s">
        <v>1111</v>
      </c>
      <c r="B8" s="75"/>
      <c r="C8" s="14" t="s">
        <v>1110</v>
      </c>
      <c r="D8" s="15">
        <v>20</v>
      </c>
      <c r="E8" s="15">
        <v>585</v>
      </c>
      <c r="F8" s="17">
        <v>11700</v>
      </c>
      <c r="G8" s="76"/>
      <c r="H8" s="77"/>
      <c r="I8" s="77"/>
      <c r="J8" s="77"/>
      <c r="K8" s="77"/>
    </row>
    <row r="9" spans="1:11" ht="17.25" customHeight="1" x14ac:dyDescent="0.3">
      <c r="A9" s="48" t="s">
        <v>1112</v>
      </c>
      <c r="B9" s="75"/>
      <c r="C9" s="14" t="s">
        <v>1110</v>
      </c>
      <c r="D9" s="15">
        <v>37</v>
      </c>
      <c r="E9" s="15">
        <v>95</v>
      </c>
      <c r="F9" s="17">
        <v>3515</v>
      </c>
      <c r="G9" s="76"/>
      <c r="H9" s="77"/>
      <c r="I9" s="77"/>
      <c r="J9" s="77"/>
      <c r="K9" s="77"/>
    </row>
    <row r="10" spans="1:11" ht="17.25" customHeight="1" x14ac:dyDescent="0.3">
      <c r="A10" s="48" t="s">
        <v>1113</v>
      </c>
      <c r="B10" s="75"/>
      <c r="C10" s="14" t="s">
        <v>1114</v>
      </c>
      <c r="D10" s="15">
        <v>30</v>
      </c>
      <c r="E10" s="15">
        <v>575</v>
      </c>
      <c r="F10" s="17">
        <v>17250</v>
      </c>
      <c r="G10" s="76"/>
      <c r="H10" s="77"/>
      <c r="I10" s="77"/>
      <c r="J10" s="77"/>
      <c r="K10" s="77"/>
    </row>
    <row r="11" spans="1:11" ht="17.25" customHeight="1" x14ac:dyDescent="0.3">
      <c r="A11" s="48" t="s">
        <v>1115</v>
      </c>
      <c r="B11" s="75"/>
      <c r="C11" s="14" t="s">
        <v>1114</v>
      </c>
      <c r="D11" s="15">
        <v>18</v>
      </c>
      <c r="E11" s="15">
        <v>695</v>
      </c>
      <c r="F11" s="17">
        <v>12510</v>
      </c>
      <c r="G11" s="76"/>
      <c r="H11" s="77"/>
      <c r="I11" s="77"/>
      <c r="J11" s="77"/>
      <c r="K11" s="77"/>
    </row>
    <row r="12" spans="1:11" ht="17.25" customHeight="1" x14ac:dyDescent="0.3">
      <c r="A12" s="48" t="s">
        <v>1116</v>
      </c>
      <c r="B12" s="75"/>
      <c r="C12" s="14" t="s">
        <v>1114</v>
      </c>
      <c r="D12" s="15">
        <v>12</v>
      </c>
      <c r="E12" s="15">
        <v>855</v>
      </c>
      <c r="F12" s="17">
        <v>10260</v>
      </c>
      <c r="G12" s="76"/>
      <c r="H12" s="77"/>
      <c r="I12" s="77"/>
      <c r="J12" s="77"/>
      <c r="K12" s="77"/>
    </row>
    <row r="13" spans="1:11" ht="17.25" customHeight="1" x14ac:dyDescent="0.3">
      <c r="A13" s="48" t="s">
        <v>1117</v>
      </c>
      <c r="B13" s="75"/>
      <c r="C13" s="14" t="s">
        <v>1110</v>
      </c>
      <c r="D13" s="15">
        <v>75</v>
      </c>
      <c r="E13" s="15">
        <v>92.3</v>
      </c>
      <c r="F13" s="17">
        <v>6922.5</v>
      </c>
      <c r="G13" s="76"/>
      <c r="H13" s="77"/>
      <c r="I13" s="77"/>
      <c r="J13" s="77"/>
      <c r="K13" s="77"/>
    </row>
    <row r="14" spans="1:11" ht="17.25" customHeight="1" x14ac:dyDescent="0.3">
      <c r="A14" s="48" t="s">
        <v>1118</v>
      </c>
      <c r="B14" s="75"/>
      <c r="C14" s="14" t="s">
        <v>1110</v>
      </c>
      <c r="D14" s="15">
        <v>185</v>
      </c>
      <c r="E14" s="15">
        <v>213</v>
      </c>
      <c r="F14" s="17">
        <v>39405</v>
      </c>
      <c r="G14" s="76"/>
      <c r="H14" s="77"/>
      <c r="I14" s="77"/>
      <c r="J14" s="77"/>
      <c r="K14" s="77"/>
    </row>
    <row r="15" spans="1:11" ht="17.25" customHeight="1" x14ac:dyDescent="0.3">
      <c r="A15" s="48" t="s">
        <v>1119</v>
      </c>
      <c r="B15" s="75"/>
      <c r="C15" s="14" t="s">
        <v>1114</v>
      </c>
      <c r="D15" s="15">
        <v>10</v>
      </c>
      <c r="E15" s="15">
        <v>850</v>
      </c>
      <c r="F15" s="17">
        <v>8500</v>
      </c>
      <c r="G15" s="76"/>
      <c r="H15" s="77"/>
      <c r="I15" s="77"/>
      <c r="J15" s="77"/>
      <c r="K15" s="77"/>
    </row>
    <row r="16" spans="1:11" ht="17.25" customHeight="1" x14ac:dyDescent="0.3">
      <c r="A16" s="48" t="s">
        <v>1120</v>
      </c>
      <c r="B16" s="75"/>
      <c r="C16" s="14" t="s">
        <v>1114</v>
      </c>
      <c r="D16" s="15">
        <v>3</v>
      </c>
      <c r="E16" s="15">
        <v>950</v>
      </c>
      <c r="F16" s="17">
        <v>2850</v>
      </c>
      <c r="G16" s="76"/>
      <c r="H16" s="77"/>
      <c r="I16" s="77"/>
      <c r="J16" s="77"/>
      <c r="K16" s="77"/>
    </row>
    <row r="17" spans="1:11" ht="17.25" customHeight="1" x14ac:dyDescent="0.3">
      <c r="A17" s="48" t="s">
        <v>1121</v>
      </c>
      <c r="B17" s="75"/>
      <c r="C17" s="14" t="s">
        <v>1114</v>
      </c>
      <c r="D17" s="15">
        <v>1</v>
      </c>
      <c r="E17" s="16">
        <v>1050</v>
      </c>
      <c r="F17" s="17">
        <v>1050</v>
      </c>
      <c r="G17" s="76"/>
      <c r="H17" s="77"/>
      <c r="I17" s="77"/>
      <c r="J17" s="77"/>
      <c r="K17" s="77"/>
    </row>
    <row r="18" spans="1:11" ht="17.25" customHeight="1" x14ac:dyDescent="0.3">
      <c r="A18" s="48" t="s">
        <v>1122</v>
      </c>
      <c r="B18" s="75"/>
      <c r="C18" s="14" t="s">
        <v>1114</v>
      </c>
      <c r="D18" s="15">
        <v>1</v>
      </c>
      <c r="E18" s="16">
        <v>1469.7</v>
      </c>
      <c r="F18" s="17">
        <v>1469.7</v>
      </c>
      <c r="G18" s="76"/>
      <c r="H18" s="77"/>
      <c r="I18" s="77"/>
      <c r="J18" s="77"/>
      <c r="K18" s="77"/>
    </row>
    <row r="19" spans="1:11" ht="17.25" customHeight="1" x14ac:dyDescent="0.3">
      <c r="A19" s="48" t="s">
        <v>1123</v>
      </c>
      <c r="B19" s="75"/>
      <c r="C19" s="14" t="s">
        <v>1114</v>
      </c>
      <c r="D19" s="15">
        <v>1</v>
      </c>
      <c r="E19" s="16">
        <v>2205.2600000000002</v>
      </c>
      <c r="F19" s="17">
        <v>2205.2600000000002</v>
      </c>
      <c r="G19" s="76"/>
      <c r="H19" s="77"/>
      <c r="I19" s="77"/>
      <c r="J19" s="77"/>
      <c r="K19" s="77"/>
    </row>
    <row r="20" spans="1:11" ht="17.25" customHeight="1" x14ac:dyDescent="0.3">
      <c r="A20" s="48" t="s">
        <v>1124</v>
      </c>
      <c r="B20" s="75"/>
      <c r="C20" s="14" t="s">
        <v>1114</v>
      </c>
      <c r="D20" s="15">
        <v>1</v>
      </c>
      <c r="E20" s="16">
        <v>2127.16</v>
      </c>
      <c r="F20" s="17">
        <v>2127.16</v>
      </c>
      <c r="G20" s="76"/>
      <c r="H20" s="77"/>
      <c r="I20" s="77"/>
      <c r="J20" s="77"/>
      <c r="K20" s="77"/>
    </row>
    <row r="21" spans="1:11" ht="17.25" customHeight="1" x14ac:dyDescent="0.3">
      <c r="A21" s="84" t="s">
        <v>1125</v>
      </c>
      <c r="B21" s="75"/>
      <c r="C21" s="85"/>
      <c r="D21" s="86"/>
      <c r="E21" s="86"/>
      <c r="F21" s="87">
        <f>SUM(F7:F20)</f>
        <v>135489.62000000002</v>
      </c>
      <c r="G21" s="76"/>
      <c r="H21" s="77"/>
      <c r="I21" s="77"/>
      <c r="J21" s="77"/>
      <c r="K21" s="77"/>
    </row>
    <row r="22" spans="1:11" ht="17.25" customHeight="1" x14ac:dyDescent="0.3">
      <c r="A22" s="11"/>
      <c r="B22" s="88"/>
      <c r="C22" s="10"/>
      <c r="D22" s="11"/>
      <c r="E22" s="11"/>
      <c r="F22" s="12"/>
      <c r="G22" s="76"/>
      <c r="H22" s="77"/>
      <c r="I22" s="77"/>
      <c r="J22" s="77"/>
      <c r="K22" s="77"/>
    </row>
    <row r="23" spans="1:11" ht="17.25" customHeight="1" x14ac:dyDescent="0.3">
      <c r="A23" s="89" t="s">
        <v>1109</v>
      </c>
      <c r="B23" s="75"/>
      <c r="C23" s="72" t="s">
        <v>1126</v>
      </c>
      <c r="D23" s="73">
        <v>4</v>
      </c>
      <c r="E23" s="73">
        <v>425</v>
      </c>
      <c r="F23" s="90">
        <f t="shared" ref="F23:F38" si="0">E23*D23</f>
        <v>1700</v>
      </c>
      <c r="G23" s="76"/>
      <c r="H23" s="77"/>
      <c r="I23" s="77"/>
      <c r="J23" s="77"/>
      <c r="K23" s="77"/>
    </row>
    <row r="24" spans="1:11" ht="17.25" customHeight="1" x14ac:dyDescent="0.3">
      <c r="A24" s="89" t="s">
        <v>1111</v>
      </c>
      <c r="B24" s="75"/>
      <c r="C24" s="72" t="s">
        <v>1126</v>
      </c>
      <c r="D24" s="73">
        <v>36</v>
      </c>
      <c r="E24" s="73">
        <v>585</v>
      </c>
      <c r="F24" s="90">
        <f t="shared" si="0"/>
        <v>21060</v>
      </c>
      <c r="G24" s="76"/>
      <c r="H24" s="77"/>
      <c r="I24" s="77"/>
      <c r="J24" s="77"/>
      <c r="K24" s="77"/>
    </row>
    <row r="25" spans="1:11" ht="17.25" customHeight="1" x14ac:dyDescent="0.3">
      <c r="A25" s="89" t="s">
        <v>1127</v>
      </c>
      <c r="B25" s="75"/>
      <c r="C25" s="72" t="s">
        <v>1126</v>
      </c>
      <c r="D25" s="73">
        <v>8</v>
      </c>
      <c r="E25" s="73">
        <v>885</v>
      </c>
      <c r="F25" s="90">
        <f t="shared" si="0"/>
        <v>7080</v>
      </c>
      <c r="G25" s="76"/>
      <c r="H25" s="77"/>
      <c r="I25" s="77"/>
      <c r="J25" s="77"/>
      <c r="K25" s="77"/>
    </row>
    <row r="26" spans="1:11" ht="17.25" customHeight="1" x14ac:dyDescent="0.3">
      <c r="A26" s="89" t="s">
        <v>1128</v>
      </c>
      <c r="B26" s="75"/>
      <c r="C26" s="72" t="s">
        <v>1126</v>
      </c>
      <c r="D26" s="73">
        <v>40</v>
      </c>
      <c r="E26" s="73">
        <v>95</v>
      </c>
      <c r="F26" s="90">
        <f t="shared" si="0"/>
        <v>3800</v>
      </c>
      <c r="G26" s="76"/>
      <c r="H26" s="77"/>
      <c r="I26" s="77"/>
      <c r="J26" s="77"/>
      <c r="K26" s="77"/>
    </row>
    <row r="27" spans="1:11" ht="17.25" customHeight="1" x14ac:dyDescent="0.3">
      <c r="A27" s="89" t="s">
        <v>1113</v>
      </c>
      <c r="B27" s="75"/>
      <c r="C27" s="72" t="s">
        <v>1129</v>
      </c>
      <c r="D27" s="73">
        <v>54</v>
      </c>
      <c r="E27" s="73">
        <v>575</v>
      </c>
      <c r="F27" s="90">
        <f t="shared" si="0"/>
        <v>31050</v>
      </c>
      <c r="G27" s="76"/>
      <c r="H27" s="77"/>
      <c r="I27" s="77"/>
      <c r="J27" s="77"/>
      <c r="K27" s="77"/>
    </row>
    <row r="28" spans="1:11" ht="17.25" customHeight="1" x14ac:dyDescent="0.3">
      <c r="A28" s="89" t="s">
        <v>1115</v>
      </c>
      <c r="B28" s="75"/>
      <c r="C28" s="72" t="s">
        <v>1129</v>
      </c>
      <c r="D28" s="73">
        <v>3</v>
      </c>
      <c r="E28" s="73">
        <v>695</v>
      </c>
      <c r="F28" s="90">
        <f t="shared" si="0"/>
        <v>2085</v>
      </c>
      <c r="G28" s="76"/>
      <c r="H28" s="77"/>
      <c r="I28" s="77"/>
      <c r="J28" s="77"/>
      <c r="K28" s="77"/>
    </row>
    <row r="29" spans="1:11" ht="17.25" customHeight="1" x14ac:dyDescent="0.3">
      <c r="A29" s="89" t="s">
        <v>1130</v>
      </c>
      <c r="B29" s="75"/>
      <c r="C29" s="72" t="s">
        <v>1129</v>
      </c>
      <c r="D29" s="73">
        <v>51</v>
      </c>
      <c r="E29" s="73">
        <v>855</v>
      </c>
      <c r="F29" s="90">
        <f t="shared" si="0"/>
        <v>43605</v>
      </c>
      <c r="G29" s="76"/>
      <c r="H29" s="77"/>
      <c r="I29" s="77"/>
      <c r="J29" s="77"/>
      <c r="K29" s="77"/>
    </row>
    <row r="30" spans="1:11" ht="17.25" customHeight="1" x14ac:dyDescent="0.3">
      <c r="A30" s="89" t="s">
        <v>1131</v>
      </c>
      <c r="B30" s="75"/>
      <c r="C30" s="72" t="s">
        <v>1126</v>
      </c>
      <c r="D30" s="73">
        <v>80</v>
      </c>
      <c r="E30" s="73">
        <v>92.3</v>
      </c>
      <c r="F30" s="90">
        <f t="shared" si="0"/>
        <v>7384</v>
      </c>
      <c r="G30" s="76"/>
      <c r="H30" s="77"/>
      <c r="I30" s="77"/>
      <c r="J30" s="77"/>
      <c r="K30" s="77"/>
    </row>
    <row r="31" spans="1:11" ht="17.25" customHeight="1" x14ac:dyDescent="0.3">
      <c r="A31" s="89" t="s">
        <v>1118</v>
      </c>
      <c r="B31" s="75"/>
      <c r="C31" s="72" t="s">
        <v>1126</v>
      </c>
      <c r="D31" s="73">
        <v>160</v>
      </c>
      <c r="E31" s="73">
        <v>213</v>
      </c>
      <c r="F31" s="90">
        <f t="shared" si="0"/>
        <v>34080</v>
      </c>
      <c r="G31" s="76"/>
      <c r="H31" s="77"/>
      <c r="I31" s="77"/>
      <c r="J31" s="77"/>
      <c r="K31" s="77"/>
    </row>
    <row r="32" spans="1:11" ht="17.25" customHeight="1" x14ac:dyDescent="0.3">
      <c r="A32" s="89" t="s">
        <v>1119</v>
      </c>
      <c r="B32" s="75"/>
      <c r="C32" s="72" t="s">
        <v>1129</v>
      </c>
      <c r="D32" s="73">
        <v>12</v>
      </c>
      <c r="E32" s="73">
        <v>850</v>
      </c>
      <c r="F32" s="90">
        <f t="shared" si="0"/>
        <v>10200</v>
      </c>
      <c r="G32" s="76"/>
      <c r="H32" s="77"/>
      <c r="I32" s="77"/>
      <c r="J32" s="77"/>
      <c r="K32" s="77"/>
    </row>
    <row r="33" spans="1:11" ht="17.25" customHeight="1" x14ac:dyDescent="0.3">
      <c r="A33" s="89" t="s">
        <v>1120</v>
      </c>
      <c r="B33" s="75"/>
      <c r="C33" s="72" t="s">
        <v>1129</v>
      </c>
      <c r="D33" s="73">
        <v>3</v>
      </c>
      <c r="E33" s="73">
        <v>950</v>
      </c>
      <c r="F33" s="90">
        <f t="shared" si="0"/>
        <v>2850</v>
      </c>
      <c r="G33" s="76"/>
      <c r="H33" s="77"/>
      <c r="I33" s="77"/>
      <c r="J33" s="77"/>
      <c r="K33" s="77"/>
    </row>
    <row r="34" spans="1:11" ht="17.25" customHeight="1" x14ac:dyDescent="0.3">
      <c r="A34" s="89" t="s">
        <v>1122</v>
      </c>
      <c r="B34" s="75"/>
      <c r="C34" s="72" t="s">
        <v>1129</v>
      </c>
      <c r="D34" s="73">
        <v>1</v>
      </c>
      <c r="E34" s="91">
        <v>1469.7</v>
      </c>
      <c r="F34" s="90">
        <f t="shared" si="0"/>
        <v>1469.7</v>
      </c>
      <c r="G34" s="76"/>
      <c r="H34" s="77"/>
      <c r="I34" s="77"/>
      <c r="J34" s="77"/>
      <c r="K34" s="77"/>
    </row>
    <row r="35" spans="1:11" ht="17.25" customHeight="1" x14ac:dyDescent="0.3">
      <c r="A35" s="89" t="s">
        <v>1132</v>
      </c>
      <c r="B35" s="75"/>
      <c r="C35" s="72" t="s">
        <v>1129</v>
      </c>
      <c r="D35" s="73">
        <v>1</v>
      </c>
      <c r="E35" s="91">
        <v>5700</v>
      </c>
      <c r="F35" s="90">
        <f t="shared" si="0"/>
        <v>5700</v>
      </c>
      <c r="G35" s="76"/>
      <c r="H35" s="77"/>
      <c r="I35" s="77"/>
      <c r="J35" s="77"/>
      <c r="K35" s="77"/>
    </row>
    <row r="36" spans="1:11" ht="17.25" customHeight="1" x14ac:dyDescent="0.3">
      <c r="A36" s="89" t="s">
        <v>1133</v>
      </c>
      <c r="B36" s="75"/>
      <c r="C36" s="72" t="s">
        <v>1129</v>
      </c>
      <c r="D36" s="73">
        <v>1</v>
      </c>
      <c r="E36" s="91">
        <v>8500</v>
      </c>
      <c r="F36" s="90">
        <f t="shared" si="0"/>
        <v>8500</v>
      </c>
      <c r="G36" s="76"/>
      <c r="H36" s="77"/>
      <c r="I36" s="77"/>
      <c r="J36" s="77"/>
      <c r="K36" s="77"/>
    </row>
    <row r="37" spans="1:11" ht="17.25" customHeight="1" x14ac:dyDescent="0.3">
      <c r="A37" s="89" t="s">
        <v>1134</v>
      </c>
      <c r="B37" s="75"/>
      <c r="C37" s="72" t="s">
        <v>1129</v>
      </c>
      <c r="D37" s="73">
        <v>4</v>
      </c>
      <c r="E37" s="91">
        <v>750</v>
      </c>
      <c r="F37" s="90">
        <f t="shared" si="0"/>
        <v>3000</v>
      </c>
      <c r="G37" s="76"/>
      <c r="H37" s="77"/>
      <c r="I37" s="77"/>
      <c r="J37" s="77"/>
      <c r="K37" s="77"/>
    </row>
    <row r="38" spans="1:11" ht="17.25" customHeight="1" x14ac:dyDescent="0.3">
      <c r="A38" s="89" t="s">
        <v>1135</v>
      </c>
      <c r="B38" s="75"/>
      <c r="C38" s="72" t="s">
        <v>1129</v>
      </c>
      <c r="D38" s="73">
        <v>3</v>
      </c>
      <c r="E38" s="91">
        <v>1350</v>
      </c>
      <c r="F38" s="90">
        <f t="shared" si="0"/>
        <v>4050</v>
      </c>
      <c r="G38" s="76"/>
      <c r="H38" s="77"/>
      <c r="I38" s="77"/>
      <c r="J38" s="77"/>
      <c r="K38" s="77"/>
    </row>
    <row r="39" spans="1:11" ht="17.25" customHeight="1" x14ac:dyDescent="0.3">
      <c r="A39" s="60" t="s">
        <v>1136</v>
      </c>
      <c r="B39" s="74"/>
      <c r="C39" s="74"/>
      <c r="D39" s="74"/>
      <c r="E39" s="75"/>
      <c r="F39" s="18">
        <f>SUM(F23:F38)</f>
        <v>187613.7</v>
      </c>
      <c r="G39" s="76"/>
      <c r="H39" s="77"/>
      <c r="I39" s="77"/>
      <c r="J39" s="77"/>
      <c r="K39" s="77"/>
    </row>
    <row r="40" spans="1:11" ht="17.25" customHeight="1" x14ac:dyDescent="0.3">
      <c r="A40" s="92" t="s">
        <v>1137</v>
      </c>
      <c r="B40" s="74"/>
      <c r="C40" s="74"/>
      <c r="D40" s="74"/>
      <c r="E40" s="75"/>
      <c r="F40" s="20">
        <f>F39-129384</f>
        <v>58229.700000000012</v>
      </c>
      <c r="G40" s="76"/>
      <c r="H40" s="77"/>
      <c r="I40" s="77"/>
      <c r="J40" s="77"/>
      <c r="K40" s="77"/>
    </row>
    <row r="41" spans="1:11" ht="10.5" customHeight="1" x14ac:dyDescent="0.3">
      <c r="A41" s="93"/>
      <c r="B41" s="76"/>
      <c r="C41" s="76"/>
      <c r="D41" s="76"/>
      <c r="E41" s="76"/>
      <c r="F41" s="76"/>
      <c r="G41" s="76"/>
      <c r="H41" s="77"/>
      <c r="I41" s="77"/>
      <c r="J41" s="77"/>
      <c r="K41" s="77"/>
    </row>
    <row r="42" spans="1:11" ht="11.25" customHeight="1" x14ac:dyDescent="0.3">
      <c r="A42" s="22" t="s">
        <v>1138</v>
      </c>
      <c r="B42" s="76"/>
      <c r="C42" s="76"/>
      <c r="D42" s="76"/>
      <c r="E42" s="76"/>
      <c r="F42" s="76"/>
      <c r="G42" s="76"/>
      <c r="H42" s="77"/>
      <c r="I42" s="77"/>
      <c r="J42" s="77"/>
      <c r="K42" s="77"/>
    </row>
    <row r="43" spans="1:11" ht="10.5" customHeight="1" x14ac:dyDescent="0.3">
      <c r="A43" s="21"/>
      <c r="B43" s="76"/>
      <c r="C43" s="76"/>
      <c r="D43" s="76"/>
      <c r="E43" s="76"/>
      <c r="F43" s="76"/>
      <c r="G43" s="76"/>
      <c r="H43" s="77"/>
      <c r="I43" s="77"/>
      <c r="J43" s="77"/>
      <c r="K43" s="77"/>
    </row>
    <row r="44" spans="1:11" ht="12.75" customHeight="1" x14ac:dyDescent="0.3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1:11" ht="12.75" customHeight="1" x14ac:dyDescent="0.3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</row>
    <row r="46" spans="1:11" ht="12.75" customHeight="1" x14ac:dyDescent="0.3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</row>
    <row r="47" spans="1:11" ht="12.75" customHeight="1" x14ac:dyDescent="0.3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</row>
    <row r="48" spans="1:11" ht="12.75" customHeight="1" x14ac:dyDescent="0.3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</row>
    <row r="49" spans="1:11" ht="12.75" customHeight="1" x14ac:dyDescent="0.3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</row>
    <row r="50" spans="1:11" ht="12.75" customHeight="1" x14ac:dyDescent="0.3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</row>
    <row r="51" spans="1:11" ht="12.75" customHeight="1" x14ac:dyDescent="0.3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</row>
    <row r="52" spans="1:11" ht="12.75" customHeight="1" x14ac:dyDescent="0.3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</row>
    <row r="53" spans="1:11" ht="12.75" customHeight="1" x14ac:dyDescent="0.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</row>
    <row r="54" spans="1:11" ht="12.75" customHeight="1" x14ac:dyDescent="0.3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</row>
    <row r="55" spans="1:11" ht="12.75" customHeight="1" x14ac:dyDescent="0.3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</row>
    <row r="56" spans="1:11" ht="12.75" customHeight="1" x14ac:dyDescent="0.3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</row>
    <row r="57" spans="1:11" ht="12.75" customHeight="1" x14ac:dyDescent="0.3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</row>
    <row r="58" spans="1:11" ht="12.75" customHeight="1" x14ac:dyDescent="0.3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</row>
    <row r="59" spans="1:11" ht="12.75" customHeight="1" x14ac:dyDescent="0.3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</row>
    <row r="60" spans="1:11" ht="12.75" customHeight="1" x14ac:dyDescent="0.3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</row>
    <row r="61" spans="1:11" ht="12.75" customHeight="1" x14ac:dyDescent="0.3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</row>
    <row r="62" spans="1:11" ht="12.75" customHeight="1" x14ac:dyDescent="0.3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</row>
    <row r="63" spans="1:11" ht="12.75" customHeight="1" x14ac:dyDescent="0.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</row>
    <row r="64" spans="1:11" ht="12.75" customHeight="1" x14ac:dyDescent="0.3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</row>
    <row r="65" spans="1:11" ht="12.75" customHeight="1" x14ac:dyDescent="0.3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</row>
    <row r="66" spans="1:11" ht="12.75" customHeight="1" x14ac:dyDescent="0.3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</row>
    <row r="67" spans="1:11" ht="12.75" customHeight="1" x14ac:dyDescent="0.3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</row>
    <row r="68" spans="1:11" ht="12.75" customHeight="1" x14ac:dyDescent="0.3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</row>
    <row r="69" spans="1:11" ht="12.75" customHeight="1" x14ac:dyDescent="0.3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</row>
    <row r="70" spans="1:11" ht="12.75" customHeight="1" x14ac:dyDescent="0.3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</row>
    <row r="71" spans="1:11" ht="12.75" customHeight="1" x14ac:dyDescent="0.3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</row>
    <row r="72" spans="1:11" ht="12.75" customHeight="1" x14ac:dyDescent="0.3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</row>
    <row r="73" spans="1:11" ht="12.75" customHeight="1" x14ac:dyDescent="0.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</row>
    <row r="74" spans="1:11" ht="12.75" customHeight="1" x14ac:dyDescent="0.3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</row>
    <row r="75" spans="1:11" ht="12.75" customHeight="1" x14ac:dyDescent="0.3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</row>
    <row r="76" spans="1:11" ht="12.75" customHeight="1" x14ac:dyDescent="0.3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</row>
    <row r="77" spans="1:11" ht="12.75" customHeight="1" x14ac:dyDescent="0.3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</row>
    <row r="78" spans="1:11" ht="12.75" customHeight="1" x14ac:dyDescent="0.3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</row>
    <row r="79" spans="1:11" ht="12.75" customHeight="1" x14ac:dyDescent="0.3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</row>
    <row r="80" spans="1:11" ht="12.75" customHeight="1" x14ac:dyDescent="0.3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</row>
    <row r="81" spans="1:11" ht="12.75" customHeight="1" x14ac:dyDescent="0.3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</row>
    <row r="82" spans="1:11" ht="12.75" customHeight="1" x14ac:dyDescent="0.3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</row>
    <row r="83" spans="1:11" ht="12.75" customHeight="1" x14ac:dyDescent="0.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</row>
    <row r="84" spans="1:11" ht="12.75" customHeight="1" x14ac:dyDescent="0.3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</row>
    <row r="85" spans="1:11" ht="12.75" customHeight="1" x14ac:dyDescent="0.3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</row>
    <row r="86" spans="1:11" ht="12.75" customHeight="1" x14ac:dyDescent="0.3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</row>
    <row r="87" spans="1:11" ht="12.75" customHeight="1" x14ac:dyDescent="0.3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</row>
    <row r="88" spans="1:11" ht="12.75" customHeight="1" x14ac:dyDescent="0.3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</row>
    <row r="89" spans="1:11" ht="12.75" customHeight="1" x14ac:dyDescent="0.3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</row>
    <row r="90" spans="1:11" ht="12.75" customHeight="1" x14ac:dyDescent="0.3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</row>
    <row r="91" spans="1:11" ht="12.75" customHeight="1" x14ac:dyDescent="0.3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</row>
    <row r="92" spans="1:11" ht="12.75" customHeight="1" x14ac:dyDescent="0.3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</row>
    <row r="93" spans="1:11" ht="12.75" customHeight="1" x14ac:dyDescent="0.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</row>
    <row r="94" spans="1:11" ht="12.75" customHeight="1" x14ac:dyDescent="0.3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</row>
    <row r="95" spans="1:11" ht="12.75" customHeight="1" x14ac:dyDescent="0.3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</row>
    <row r="96" spans="1:11" ht="12.75" customHeight="1" x14ac:dyDescent="0.3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</row>
    <row r="97" spans="1:11" ht="12.75" customHeight="1" x14ac:dyDescent="0.3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</row>
    <row r="98" spans="1:11" ht="12.75" customHeight="1" x14ac:dyDescent="0.3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</row>
    <row r="99" spans="1:11" ht="12.75" customHeight="1" x14ac:dyDescent="0.3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</row>
    <row r="100" spans="1:11" ht="12.75" customHeight="1" x14ac:dyDescent="0.3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</row>
    <row r="101" spans="1:11" ht="12.75" customHeight="1" x14ac:dyDescent="0.3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</row>
    <row r="102" spans="1:11" ht="12.75" customHeight="1" x14ac:dyDescent="0.3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</row>
    <row r="103" spans="1:11" ht="12.75" customHeight="1" x14ac:dyDescent="0.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</row>
    <row r="104" spans="1:11" ht="12.75" customHeight="1" x14ac:dyDescent="0.3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</row>
    <row r="105" spans="1:11" ht="12.75" customHeight="1" x14ac:dyDescent="0.3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</row>
    <row r="106" spans="1:11" ht="12.75" customHeight="1" x14ac:dyDescent="0.3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</row>
    <row r="107" spans="1:11" ht="12.75" customHeight="1" x14ac:dyDescent="0.3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</row>
    <row r="108" spans="1:11" ht="12.75" customHeight="1" x14ac:dyDescent="0.3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</row>
    <row r="109" spans="1:11" ht="12.75" customHeight="1" x14ac:dyDescent="0.3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</row>
    <row r="110" spans="1:11" ht="12.75" customHeight="1" x14ac:dyDescent="0.3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</row>
    <row r="111" spans="1:11" ht="12.75" customHeight="1" x14ac:dyDescent="0.3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</row>
    <row r="112" spans="1:11" ht="12.75" customHeight="1" x14ac:dyDescent="0.3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</row>
    <row r="113" spans="1:11" ht="12.75" customHeight="1" x14ac:dyDescent="0.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</row>
    <row r="114" spans="1:11" ht="12.75" customHeight="1" x14ac:dyDescent="0.3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</row>
    <row r="115" spans="1:11" ht="12.75" customHeight="1" x14ac:dyDescent="0.3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</row>
  </sheetData>
  <mergeCells count="39">
    <mergeCell ref="A38:B38"/>
    <mergeCell ref="A39:E39"/>
    <mergeCell ref="A40:E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9:B19"/>
    <mergeCell ref="A20:B20"/>
    <mergeCell ref="A21:B21"/>
    <mergeCell ref="A23:B23"/>
    <mergeCell ref="A24:B24"/>
    <mergeCell ref="A25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A4:B4"/>
    <mergeCell ref="C4:F4"/>
    <mergeCell ref="A5:B5"/>
    <mergeCell ref="A6:B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0"/>
  <sheetViews>
    <sheetView topLeftCell="A255" workbookViewId="0">
      <selection activeCell="A284" sqref="A284"/>
    </sheetView>
  </sheetViews>
  <sheetFormatPr defaultColWidth="14.44140625" defaultRowHeight="15" customHeight="1" x14ac:dyDescent="0.3"/>
  <cols>
    <col min="1" max="1" width="60" customWidth="1"/>
    <col min="2" max="2" width="7.33203125" customWidth="1"/>
    <col min="3" max="3" width="7.5546875" customWidth="1"/>
    <col min="4" max="11" width="8.6640625" customWidth="1"/>
  </cols>
  <sheetData>
    <row r="1" spans="1:3" ht="99.75" customHeight="1" x14ac:dyDescent="0.3">
      <c r="A1" s="56"/>
      <c r="B1" s="51"/>
      <c r="C1" s="44"/>
    </row>
    <row r="2" spans="1:3" ht="20.25" customHeight="1" x14ac:dyDescent="0.3">
      <c r="A2" s="47" t="s">
        <v>147</v>
      </c>
      <c r="B2" s="51"/>
      <c r="C2" s="44"/>
    </row>
    <row r="3" spans="1:3" ht="30.75" customHeight="1" x14ac:dyDescent="0.3">
      <c r="A3" s="67" t="s">
        <v>148</v>
      </c>
      <c r="B3" s="51"/>
      <c r="C3" s="44"/>
    </row>
    <row r="4" spans="1:3" ht="17.25" customHeight="1" x14ac:dyDescent="0.3">
      <c r="A4" s="68" t="s">
        <v>149</v>
      </c>
      <c r="B4" s="51"/>
      <c r="C4" s="44"/>
    </row>
    <row r="5" spans="1:3" ht="14.25" customHeight="1" x14ac:dyDescent="0.25">
      <c r="A5" s="25" t="s">
        <v>150</v>
      </c>
      <c r="B5" s="26" t="s">
        <v>151</v>
      </c>
      <c r="C5" s="13"/>
    </row>
    <row r="6" spans="1:3" ht="14.25" customHeight="1" x14ac:dyDescent="0.25">
      <c r="A6" s="27" t="s">
        <v>152</v>
      </c>
      <c r="B6" s="28"/>
      <c r="C6" s="28"/>
    </row>
    <row r="7" spans="1:3" ht="14.25" customHeight="1" x14ac:dyDescent="0.3">
      <c r="A7" s="29" t="s">
        <v>153</v>
      </c>
      <c r="B7" s="30">
        <v>85</v>
      </c>
      <c r="C7" s="31" t="s">
        <v>154</v>
      </c>
    </row>
    <row r="8" spans="1:3" ht="14.25" customHeight="1" x14ac:dyDescent="0.3">
      <c r="A8" s="29" t="s">
        <v>155</v>
      </c>
      <c r="B8" s="30">
        <v>150</v>
      </c>
      <c r="C8" s="31" t="s">
        <v>156</v>
      </c>
    </row>
    <row r="9" spans="1:3" ht="14.25" customHeight="1" x14ac:dyDescent="0.3">
      <c r="A9" s="29" t="s">
        <v>157</v>
      </c>
      <c r="B9" s="30">
        <v>278</v>
      </c>
      <c r="C9" s="31" t="s">
        <v>158</v>
      </c>
    </row>
    <row r="10" spans="1:3" ht="14.25" customHeight="1" x14ac:dyDescent="0.3">
      <c r="A10" s="29" t="s">
        <v>159</v>
      </c>
      <c r="B10" s="30">
        <v>350</v>
      </c>
      <c r="C10" s="31" t="s">
        <v>160</v>
      </c>
    </row>
    <row r="11" spans="1:3" ht="14.25" customHeight="1" x14ac:dyDescent="0.3">
      <c r="A11" s="29" t="s">
        <v>161</v>
      </c>
      <c r="B11" s="30">
        <v>115</v>
      </c>
      <c r="C11" s="31" t="s">
        <v>162</v>
      </c>
    </row>
    <row r="12" spans="1:3" ht="14.25" customHeight="1" x14ac:dyDescent="0.3">
      <c r="A12" s="29" t="s">
        <v>163</v>
      </c>
      <c r="B12" s="30">
        <v>98</v>
      </c>
      <c r="C12" s="31" t="s">
        <v>164</v>
      </c>
    </row>
    <row r="13" spans="1:3" ht="101.25" customHeight="1" x14ac:dyDescent="0.3">
      <c r="A13" s="23" t="s">
        <v>165</v>
      </c>
      <c r="B13" s="32">
        <v>1750</v>
      </c>
      <c r="C13" s="33" t="s">
        <v>166</v>
      </c>
    </row>
    <row r="14" spans="1:3" ht="88.5" customHeight="1" x14ac:dyDescent="0.3">
      <c r="A14" s="23" t="s">
        <v>167</v>
      </c>
      <c r="B14" s="32">
        <v>2550</v>
      </c>
      <c r="C14" s="33" t="s">
        <v>168</v>
      </c>
    </row>
    <row r="15" spans="1:3" ht="14.25" customHeight="1" x14ac:dyDescent="0.3">
      <c r="A15" s="29" t="s">
        <v>169</v>
      </c>
      <c r="B15" s="30">
        <v>350</v>
      </c>
      <c r="C15" s="31" t="s">
        <v>170</v>
      </c>
    </row>
    <row r="16" spans="1:3" ht="14.25" customHeight="1" x14ac:dyDescent="0.3">
      <c r="A16" s="29" t="s">
        <v>171</v>
      </c>
      <c r="B16" s="30">
        <v>300</v>
      </c>
      <c r="C16" s="31" t="s">
        <v>172</v>
      </c>
    </row>
    <row r="17" spans="1:3" ht="14.25" customHeight="1" x14ac:dyDescent="0.3">
      <c r="A17" s="29" t="s">
        <v>173</v>
      </c>
      <c r="B17" s="30">
        <v>155</v>
      </c>
      <c r="C17" s="31" t="s">
        <v>174</v>
      </c>
    </row>
    <row r="18" spans="1:3" ht="14.25" customHeight="1" x14ac:dyDescent="0.3">
      <c r="A18" s="29" t="s">
        <v>175</v>
      </c>
      <c r="B18" s="30">
        <v>155</v>
      </c>
      <c r="C18" s="31" t="s">
        <v>176</v>
      </c>
    </row>
    <row r="19" spans="1:3" ht="14.25" customHeight="1" x14ac:dyDescent="0.3">
      <c r="A19" s="29" t="s">
        <v>177</v>
      </c>
      <c r="B19" s="30">
        <v>320</v>
      </c>
      <c r="C19" s="31" t="s">
        <v>178</v>
      </c>
    </row>
    <row r="20" spans="1:3" ht="14.25" customHeight="1" x14ac:dyDescent="0.3">
      <c r="A20" s="29" t="s">
        <v>179</v>
      </c>
      <c r="B20" s="30">
        <v>70</v>
      </c>
      <c r="C20" s="31" t="s">
        <v>180</v>
      </c>
    </row>
    <row r="21" spans="1:3" ht="14.25" customHeight="1" x14ac:dyDescent="0.3">
      <c r="A21" s="29" t="s">
        <v>181</v>
      </c>
      <c r="B21" s="30">
        <v>400</v>
      </c>
      <c r="C21" s="31" t="s">
        <v>182</v>
      </c>
    </row>
    <row r="22" spans="1:3" ht="14.25" customHeight="1" x14ac:dyDescent="0.3">
      <c r="A22" s="29" t="s">
        <v>183</v>
      </c>
      <c r="B22" s="30">
        <v>550</v>
      </c>
      <c r="C22" s="31" t="s">
        <v>184</v>
      </c>
    </row>
    <row r="23" spans="1:3" ht="14.25" customHeight="1" x14ac:dyDescent="0.3">
      <c r="A23" s="29" t="s">
        <v>185</v>
      </c>
      <c r="B23" s="30">
        <v>250</v>
      </c>
      <c r="C23" s="31" t="s">
        <v>186</v>
      </c>
    </row>
    <row r="24" spans="1:3" ht="14.25" customHeight="1" x14ac:dyDescent="0.3">
      <c r="A24" s="29" t="s">
        <v>187</v>
      </c>
      <c r="B24" s="30">
        <v>613</v>
      </c>
      <c r="C24" s="31" t="s">
        <v>188</v>
      </c>
    </row>
    <row r="25" spans="1:3" ht="14.25" customHeight="1" x14ac:dyDescent="0.3">
      <c r="A25" s="29" t="s">
        <v>189</v>
      </c>
      <c r="B25" s="30">
        <v>107</v>
      </c>
      <c r="C25" s="31" t="s">
        <v>190</v>
      </c>
    </row>
    <row r="26" spans="1:3" ht="14.25" customHeight="1" x14ac:dyDescent="0.3">
      <c r="A26" s="29" t="s">
        <v>191</v>
      </c>
      <c r="B26" s="30">
        <v>498</v>
      </c>
      <c r="C26" s="31" t="s">
        <v>192</v>
      </c>
    </row>
    <row r="27" spans="1:3" ht="14.25" customHeight="1" x14ac:dyDescent="0.3">
      <c r="A27" s="29" t="s">
        <v>193</v>
      </c>
      <c r="B27" s="30">
        <v>320</v>
      </c>
      <c r="C27" s="31" t="s">
        <v>194</v>
      </c>
    </row>
    <row r="28" spans="1:3" ht="14.25" customHeight="1" x14ac:dyDescent="0.3">
      <c r="A28" s="29" t="s">
        <v>195</v>
      </c>
      <c r="B28" s="34">
        <v>1701</v>
      </c>
      <c r="C28" s="31" t="s">
        <v>196</v>
      </c>
    </row>
    <row r="29" spans="1:3" ht="14.25" customHeight="1" x14ac:dyDescent="0.3">
      <c r="A29" s="29" t="s">
        <v>197</v>
      </c>
      <c r="B29" s="34">
        <v>3852</v>
      </c>
      <c r="C29" s="31" t="s">
        <v>198</v>
      </c>
    </row>
    <row r="30" spans="1:3" ht="14.25" customHeight="1" x14ac:dyDescent="0.3">
      <c r="A30" s="29" t="s">
        <v>199</v>
      </c>
      <c r="B30" s="34">
        <v>1130</v>
      </c>
      <c r="C30" s="31" t="s">
        <v>200</v>
      </c>
    </row>
    <row r="31" spans="1:3" ht="14.25" customHeight="1" x14ac:dyDescent="0.3">
      <c r="A31" s="29" t="s">
        <v>201</v>
      </c>
      <c r="B31" s="30">
        <v>65</v>
      </c>
      <c r="C31" s="31" t="s">
        <v>202</v>
      </c>
    </row>
    <row r="32" spans="1:3" ht="14.25" customHeight="1" x14ac:dyDescent="0.3">
      <c r="A32" s="29" t="s">
        <v>203</v>
      </c>
      <c r="B32" s="30">
        <v>220</v>
      </c>
      <c r="C32" s="31" t="s">
        <v>204</v>
      </c>
    </row>
    <row r="33" spans="1:3" ht="14.25" customHeight="1" x14ac:dyDescent="0.3">
      <c r="A33" s="29" t="s">
        <v>205</v>
      </c>
      <c r="B33" s="30">
        <v>200</v>
      </c>
      <c r="C33" s="31" t="s">
        <v>206</v>
      </c>
    </row>
    <row r="34" spans="1:3" ht="14.25" customHeight="1" x14ac:dyDescent="0.3">
      <c r="A34" s="29" t="s">
        <v>207</v>
      </c>
      <c r="B34" s="30">
        <v>196</v>
      </c>
      <c r="C34" s="31" t="s">
        <v>208</v>
      </c>
    </row>
    <row r="35" spans="1:3" ht="14.25" customHeight="1" x14ac:dyDescent="0.3">
      <c r="A35" s="29" t="s">
        <v>209</v>
      </c>
      <c r="B35" s="30">
        <v>196</v>
      </c>
      <c r="C35" s="31" t="s">
        <v>210</v>
      </c>
    </row>
    <row r="36" spans="1:3" ht="14.25" customHeight="1" x14ac:dyDescent="0.3">
      <c r="A36" s="29" t="s">
        <v>211</v>
      </c>
      <c r="B36" s="30">
        <v>483</v>
      </c>
      <c r="C36" s="31" t="s">
        <v>212</v>
      </c>
    </row>
    <row r="37" spans="1:3" ht="14.25" customHeight="1" x14ac:dyDescent="0.3">
      <c r="A37" s="29" t="s">
        <v>213</v>
      </c>
      <c r="B37" s="30">
        <v>196</v>
      </c>
      <c r="C37" s="31" t="s">
        <v>214</v>
      </c>
    </row>
    <row r="38" spans="1:3" ht="14.25" customHeight="1" x14ac:dyDescent="0.3">
      <c r="A38" s="29" t="s">
        <v>215</v>
      </c>
      <c r="B38" s="30">
        <v>196</v>
      </c>
      <c r="C38" s="31" t="s">
        <v>216</v>
      </c>
    </row>
    <row r="39" spans="1:3" ht="14.25" customHeight="1" x14ac:dyDescent="0.3">
      <c r="A39" s="29" t="s">
        <v>217</v>
      </c>
      <c r="B39" s="30">
        <v>195</v>
      </c>
      <c r="C39" s="31" t="s">
        <v>218</v>
      </c>
    </row>
    <row r="40" spans="1:3" ht="14.25" customHeight="1" x14ac:dyDescent="0.3">
      <c r="A40" s="29" t="s">
        <v>219</v>
      </c>
      <c r="B40" s="30">
        <v>278</v>
      </c>
      <c r="C40" s="31" t="s">
        <v>220</v>
      </c>
    </row>
    <row r="41" spans="1:3" ht="14.25" customHeight="1" x14ac:dyDescent="0.3">
      <c r="A41" s="29" t="s">
        <v>221</v>
      </c>
      <c r="B41" s="30">
        <v>156</v>
      </c>
      <c r="C41" s="31" t="s">
        <v>222</v>
      </c>
    </row>
    <row r="42" spans="1:3" ht="14.25" customHeight="1" x14ac:dyDescent="0.3">
      <c r="A42" s="29" t="s">
        <v>223</v>
      </c>
      <c r="B42" s="30">
        <v>320</v>
      </c>
      <c r="C42" s="31" t="s">
        <v>224</v>
      </c>
    </row>
    <row r="43" spans="1:3" ht="14.25" customHeight="1" x14ac:dyDescent="0.3">
      <c r="A43" s="29" t="s">
        <v>225</v>
      </c>
      <c r="B43" s="30">
        <v>300</v>
      </c>
      <c r="C43" s="31" t="s">
        <v>226</v>
      </c>
    </row>
    <row r="44" spans="1:3" ht="14.25" customHeight="1" x14ac:dyDescent="0.3">
      <c r="A44" s="29" t="s">
        <v>227</v>
      </c>
      <c r="B44" s="30">
        <v>278</v>
      </c>
      <c r="C44" s="31" t="s">
        <v>228</v>
      </c>
    </row>
    <row r="45" spans="1:3" ht="14.25" customHeight="1" x14ac:dyDescent="0.3">
      <c r="A45" s="29" t="s">
        <v>229</v>
      </c>
      <c r="B45" s="30">
        <v>320</v>
      </c>
      <c r="C45" s="31" t="s">
        <v>230</v>
      </c>
    </row>
    <row r="46" spans="1:3" ht="14.25" customHeight="1" x14ac:dyDescent="0.3">
      <c r="A46" s="29" t="s">
        <v>231</v>
      </c>
      <c r="B46" s="30">
        <v>320</v>
      </c>
      <c r="C46" s="31" t="s">
        <v>232</v>
      </c>
    </row>
    <row r="47" spans="1:3" ht="14.25" customHeight="1" x14ac:dyDescent="0.3">
      <c r="A47" s="29" t="s">
        <v>233</v>
      </c>
      <c r="B47" s="30">
        <v>98</v>
      </c>
      <c r="C47" s="31" t="s">
        <v>234</v>
      </c>
    </row>
    <row r="48" spans="1:3" ht="14.25" customHeight="1" x14ac:dyDescent="0.3">
      <c r="A48" s="29" t="s">
        <v>235</v>
      </c>
      <c r="B48" s="30">
        <v>156</v>
      </c>
      <c r="C48" s="31" t="s">
        <v>236</v>
      </c>
    </row>
    <row r="49" spans="1:3" ht="14.25" customHeight="1" x14ac:dyDescent="0.3">
      <c r="A49" s="29" t="s">
        <v>237</v>
      </c>
      <c r="B49" s="30">
        <v>809</v>
      </c>
      <c r="C49" s="31" t="s">
        <v>238</v>
      </c>
    </row>
    <row r="50" spans="1:3" ht="14.25" customHeight="1" x14ac:dyDescent="0.3">
      <c r="A50" s="29" t="s">
        <v>239</v>
      </c>
      <c r="B50" s="30">
        <v>973</v>
      </c>
      <c r="C50" s="31" t="s">
        <v>240</v>
      </c>
    </row>
    <row r="51" spans="1:3" ht="14.25" customHeight="1" x14ac:dyDescent="0.3">
      <c r="A51" s="29" t="s">
        <v>241</v>
      </c>
      <c r="B51" s="34">
        <v>1136</v>
      </c>
      <c r="C51" s="31" t="s">
        <v>242</v>
      </c>
    </row>
    <row r="52" spans="1:3" ht="14.25" customHeight="1" x14ac:dyDescent="0.3">
      <c r="A52" s="29" t="s">
        <v>243</v>
      </c>
      <c r="B52" s="34">
        <v>1299</v>
      </c>
      <c r="C52" s="31" t="s">
        <v>244</v>
      </c>
    </row>
    <row r="53" spans="1:3" ht="14.25" customHeight="1" x14ac:dyDescent="0.3">
      <c r="A53" s="29" t="s">
        <v>245</v>
      </c>
      <c r="B53" s="30">
        <v>809</v>
      </c>
      <c r="C53" s="31" t="s">
        <v>246</v>
      </c>
    </row>
    <row r="54" spans="1:3" ht="14.25" customHeight="1" x14ac:dyDescent="0.3">
      <c r="A54" s="29" t="s">
        <v>247</v>
      </c>
      <c r="B54" s="30">
        <v>483</v>
      </c>
      <c r="C54" s="31" t="s">
        <v>248</v>
      </c>
    </row>
    <row r="55" spans="1:3" ht="14.25" customHeight="1" x14ac:dyDescent="0.3">
      <c r="A55" s="29" t="s">
        <v>249</v>
      </c>
      <c r="B55" s="34">
        <v>4851</v>
      </c>
      <c r="C55" s="31" t="s">
        <v>250</v>
      </c>
    </row>
    <row r="56" spans="1:3" ht="14.25" customHeight="1" x14ac:dyDescent="0.3">
      <c r="A56" s="29" t="s">
        <v>251</v>
      </c>
      <c r="B56" s="30">
        <v>320</v>
      </c>
      <c r="C56" s="31" t="s">
        <v>252</v>
      </c>
    </row>
    <row r="57" spans="1:3" ht="14.25" customHeight="1" x14ac:dyDescent="0.3">
      <c r="A57" s="29" t="s">
        <v>253</v>
      </c>
      <c r="B57" s="30">
        <v>131</v>
      </c>
      <c r="C57" s="31" t="s">
        <v>254</v>
      </c>
    </row>
    <row r="58" spans="1:3" ht="14.25" customHeight="1" x14ac:dyDescent="0.3">
      <c r="A58" s="29" t="s">
        <v>255</v>
      </c>
      <c r="B58" s="30">
        <v>196</v>
      </c>
      <c r="C58" s="31" t="s">
        <v>256</v>
      </c>
    </row>
    <row r="59" spans="1:3" ht="14.25" customHeight="1" x14ac:dyDescent="0.3">
      <c r="A59" s="29" t="s">
        <v>257</v>
      </c>
      <c r="B59" s="30">
        <v>131</v>
      </c>
      <c r="C59" s="31" t="s">
        <v>258</v>
      </c>
    </row>
    <row r="60" spans="1:3" ht="14.25" customHeight="1" x14ac:dyDescent="0.3">
      <c r="A60" s="29" t="s">
        <v>259</v>
      </c>
      <c r="B60" s="30">
        <v>196</v>
      </c>
      <c r="C60" s="31" t="s">
        <v>260</v>
      </c>
    </row>
    <row r="61" spans="1:3" ht="14.25" customHeight="1" x14ac:dyDescent="0.3">
      <c r="A61" s="29" t="s">
        <v>261</v>
      </c>
      <c r="B61" s="30">
        <v>41</v>
      </c>
      <c r="C61" s="31" t="s">
        <v>262</v>
      </c>
    </row>
    <row r="62" spans="1:3" ht="14.25" customHeight="1" x14ac:dyDescent="0.3">
      <c r="A62" s="29" t="s">
        <v>263</v>
      </c>
      <c r="B62" s="30">
        <v>82</v>
      </c>
      <c r="C62" s="31" t="s">
        <v>264</v>
      </c>
    </row>
    <row r="63" spans="1:3" ht="14.25" customHeight="1" x14ac:dyDescent="0.3">
      <c r="A63" s="29" t="s">
        <v>265</v>
      </c>
      <c r="B63" s="30">
        <v>41</v>
      </c>
      <c r="C63" s="31" t="s">
        <v>266</v>
      </c>
    </row>
    <row r="64" spans="1:3" ht="14.25" customHeight="1" x14ac:dyDescent="0.3">
      <c r="A64" s="29" t="s">
        <v>267</v>
      </c>
      <c r="B64" s="30">
        <v>105</v>
      </c>
      <c r="C64" s="31" t="s">
        <v>268</v>
      </c>
    </row>
    <row r="65" spans="1:3" ht="14.25" customHeight="1" x14ac:dyDescent="0.3">
      <c r="A65" s="29" t="s">
        <v>269</v>
      </c>
      <c r="B65" s="30">
        <v>237</v>
      </c>
      <c r="C65" s="31" t="s">
        <v>270</v>
      </c>
    </row>
    <row r="66" spans="1:3" ht="14.25" customHeight="1" x14ac:dyDescent="0.3">
      <c r="A66" s="29" t="s">
        <v>271</v>
      </c>
      <c r="B66" s="30">
        <v>196</v>
      </c>
      <c r="C66" s="31" t="s">
        <v>272</v>
      </c>
    </row>
    <row r="67" spans="1:3" ht="14.25" customHeight="1" x14ac:dyDescent="0.3">
      <c r="A67" s="29" t="s">
        <v>273</v>
      </c>
      <c r="B67" s="30">
        <v>148</v>
      </c>
      <c r="C67" s="31" t="s">
        <v>274</v>
      </c>
    </row>
    <row r="68" spans="1:3" ht="14.25" customHeight="1" x14ac:dyDescent="0.3">
      <c r="A68" s="29" t="s">
        <v>275</v>
      </c>
      <c r="B68" s="30">
        <v>131</v>
      </c>
      <c r="C68" s="31" t="s">
        <v>276</v>
      </c>
    </row>
    <row r="69" spans="1:3" ht="28.5" customHeight="1" x14ac:dyDescent="0.3">
      <c r="A69" s="23" t="s">
        <v>277</v>
      </c>
      <c r="B69" s="30">
        <v>82</v>
      </c>
      <c r="C69" s="31" t="s">
        <v>278</v>
      </c>
    </row>
    <row r="70" spans="1:3" ht="14.25" customHeight="1" x14ac:dyDescent="0.3">
      <c r="A70" s="29" t="s">
        <v>279</v>
      </c>
      <c r="B70" s="30">
        <v>98</v>
      </c>
      <c r="C70" s="31" t="s">
        <v>280</v>
      </c>
    </row>
    <row r="71" spans="1:3" ht="14.25" customHeight="1" x14ac:dyDescent="0.3">
      <c r="A71" s="29" t="s">
        <v>281</v>
      </c>
      <c r="B71" s="30">
        <v>156</v>
      </c>
      <c r="C71" s="31" t="s">
        <v>282</v>
      </c>
    </row>
    <row r="72" spans="1:3" ht="14.25" customHeight="1" x14ac:dyDescent="0.3">
      <c r="A72" s="29" t="s">
        <v>283</v>
      </c>
      <c r="B72" s="30">
        <v>359</v>
      </c>
      <c r="C72" s="31" t="s">
        <v>284</v>
      </c>
    </row>
    <row r="73" spans="1:3" ht="14.25" customHeight="1" x14ac:dyDescent="0.3">
      <c r="A73" s="29" t="s">
        <v>285</v>
      </c>
      <c r="B73" s="30">
        <v>261</v>
      </c>
      <c r="C73" s="31" t="s">
        <v>286</v>
      </c>
    </row>
    <row r="74" spans="1:3" ht="14.25" customHeight="1" x14ac:dyDescent="0.3">
      <c r="A74" s="29" t="s">
        <v>287</v>
      </c>
      <c r="B74" s="30">
        <v>195</v>
      </c>
      <c r="C74" s="31" t="s">
        <v>288</v>
      </c>
    </row>
    <row r="75" spans="1:3" ht="14.25" customHeight="1" x14ac:dyDescent="0.3">
      <c r="A75" s="29" t="s">
        <v>289</v>
      </c>
      <c r="B75" s="30">
        <v>261</v>
      </c>
      <c r="C75" s="31" t="s">
        <v>290</v>
      </c>
    </row>
    <row r="76" spans="1:3" ht="14.25" customHeight="1" x14ac:dyDescent="0.3">
      <c r="A76" s="29" t="s">
        <v>291</v>
      </c>
      <c r="B76" s="30">
        <v>213</v>
      </c>
      <c r="C76" s="31" t="s">
        <v>292</v>
      </c>
    </row>
    <row r="77" spans="1:3" ht="14.25" customHeight="1" x14ac:dyDescent="0.3">
      <c r="A77" s="29" t="s">
        <v>293</v>
      </c>
      <c r="B77" s="30">
        <v>483</v>
      </c>
      <c r="C77" s="31" t="s">
        <v>294</v>
      </c>
    </row>
    <row r="78" spans="1:3" ht="14.25" customHeight="1" x14ac:dyDescent="0.3">
      <c r="A78" s="29" t="s">
        <v>295</v>
      </c>
      <c r="B78" s="30">
        <v>564</v>
      </c>
      <c r="C78" s="31" t="s">
        <v>296</v>
      </c>
    </row>
    <row r="79" spans="1:3" ht="14.25" customHeight="1" x14ac:dyDescent="0.3">
      <c r="A79" s="29" t="s">
        <v>297</v>
      </c>
      <c r="B79" s="30">
        <v>200</v>
      </c>
      <c r="C79" s="31" t="s">
        <v>298</v>
      </c>
    </row>
    <row r="80" spans="1:3" ht="14.25" customHeight="1" x14ac:dyDescent="0.3">
      <c r="A80" s="29" t="s">
        <v>299</v>
      </c>
      <c r="B80" s="30">
        <v>229</v>
      </c>
      <c r="C80" s="31" t="s">
        <v>300</v>
      </c>
    </row>
    <row r="81" spans="1:3" ht="14.25" customHeight="1" x14ac:dyDescent="0.3">
      <c r="A81" s="29" t="s">
        <v>301</v>
      </c>
      <c r="B81" s="30">
        <v>82</v>
      </c>
      <c r="C81" s="31" t="s">
        <v>302</v>
      </c>
    </row>
    <row r="82" spans="1:3" ht="14.25" customHeight="1" x14ac:dyDescent="0.3">
      <c r="A82" s="29" t="s">
        <v>303</v>
      </c>
      <c r="B82" s="30">
        <v>400</v>
      </c>
      <c r="C82" s="31" t="s">
        <v>304</v>
      </c>
    </row>
    <row r="83" spans="1:3" ht="14.25" customHeight="1" x14ac:dyDescent="0.3">
      <c r="A83" s="29" t="s">
        <v>305</v>
      </c>
      <c r="B83" s="30">
        <v>564</v>
      </c>
      <c r="C83" s="31" t="s">
        <v>306</v>
      </c>
    </row>
    <row r="84" spans="1:3" ht="14.25" customHeight="1" x14ac:dyDescent="0.3">
      <c r="A84" s="29" t="s">
        <v>307</v>
      </c>
      <c r="B84" s="30">
        <v>320</v>
      </c>
      <c r="C84" s="31" t="s">
        <v>308</v>
      </c>
    </row>
    <row r="85" spans="1:3" ht="14.25" customHeight="1" x14ac:dyDescent="0.3">
      <c r="A85" s="29" t="s">
        <v>309</v>
      </c>
      <c r="B85" s="30">
        <v>98</v>
      </c>
      <c r="C85" s="31" t="s">
        <v>310</v>
      </c>
    </row>
    <row r="86" spans="1:3" ht="14.25" customHeight="1" x14ac:dyDescent="0.3">
      <c r="A86" s="29" t="s">
        <v>311</v>
      </c>
      <c r="B86" s="30">
        <v>613</v>
      </c>
      <c r="C86" s="31" t="s">
        <v>312</v>
      </c>
    </row>
    <row r="87" spans="1:3" ht="14.25" customHeight="1" x14ac:dyDescent="0.3">
      <c r="A87" s="29" t="s">
        <v>313</v>
      </c>
      <c r="B87" s="30">
        <v>646</v>
      </c>
      <c r="C87" s="31" t="s">
        <v>314</v>
      </c>
    </row>
    <row r="88" spans="1:3" ht="14.25" customHeight="1" x14ac:dyDescent="0.3">
      <c r="A88" s="29" t="s">
        <v>315</v>
      </c>
      <c r="B88" s="30">
        <v>376</v>
      </c>
      <c r="C88" s="31" t="s">
        <v>316</v>
      </c>
    </row>
    <row r="89" spans="1:3" ht="14.25" customHeight="1" x14ac:dyDescent="0.3">
      <c r="A89" s="29" t="s">
        <v>317</v>
      </c>
      <c r="B89" s="30">
        <v>809</v>
      </c>
      <c r="C89" s="31" t="s">
        <v>318</v>
      </c>
    </row>
    <row r="90" spans="1:3" ht="14.25" customHeight="1" x14ac:dyDescent="0.3">
      <c r="A90" s="29" t="s">
        <v>319</v>
      </c>
      <c r="B90" s="30">
        <v>940</v>
      </c>
      <c r="C90" s="31" t="s">
        <v>320</v>
      </c>
    </row>
    <row r="91" spans="1:3" ht="14.25" customHeight="1" x14ac:dyDescent="0.3">
      <c r="A91" s="29" t="s">
        <v>321</v>
      </c>
      <c r="B91" s="30">
        <v>237</v>
      </c>
      <c r="C91" s="31" t="s">
        <v>322</v>
      </c>
    </row>
    <row r="92" spans="1:3" ht="14.25" customHeight="1" x14ac:dyDescent="0.3">
      <c r="A92" s="29" t="s">
        <v>323</v>
      </c>
      <c r="B92" s="30">
        <v>311</v>
      </c>
      <c r="C92" s="31" t="s">
        <v>324</v>
      </c>
    </row>
    <row r="93" spans="1:3" ht="14.25" customHeight="1" x14ac:dyDescent="0.3">
      <c r="A93" s="29" t="s">
        <v>325</v>
      </c>
      <c r="B93" s="34">
        <v>1617</v>
      </c>
      <c r="C93" s="31" t="s">
        <v>326</v>
      </c>
    </row>
    <row r="94" spans="1:3" ht="14.25" customHeight="1" x14ac:dyDescent="0.3">
      <c r="A94" s="29" t="s">
        <v>327</v>
      </c>
      <c r="B94" s="30">
        <v>320</v>
      </c>
      <c r="C94" s="31" t="s">
        <v>328</v>
      </c>
    </row>
    <row r="95" spans="1:3" ht="14.25" customHeight="1" x14ac:dyDescent="0.3">
      <c r="A95" s="29" t="s">
        <v>329</v>
      </c>
      <c r="B95" s="30">
        <v>229</v>
      </c>
      <c r="C95" s="31" t="s">
        <v>330</v>
      </c>
    </row>
    <row r="96" spans="1:3" ht="14.25" customHeight="1" x14ac:dyDescent="0.3">
      <c r="A96" s="29" t="s">
        <v>331</v>
      </c>
      <c r="B96" s="30">
        <v>98</v>
      </c>
      <c r="C96" s="31" t="s">
        <v>332</v>
      </c>
    </row>
    <row r="97" spans="1:3" ht="14.25" customHeight="1" x14ac:dyDescent="0.3">
      <c r="A97" s="29" t="s">
        <v>333</v>
      </c>
      <c r="B97" s="30">
        <v>450</v>
      </c>
      <c r="C97" s="31" t="s">
        <v>334</v>
      </c>
    </row>
    <row r="98" spans="1:3" ht="14.25" customHeight="1" x14ac:dyDescent="0.3">
      <c r="A98" s="29" t="s">
        <v>335</v>
      </c>
      <c r="B98" s="30">
        <v>800</v>
      </c>
      <c r="C98" s="31" t="s">
        <v>336</v>
      </c>
    </row>
    <row r="99" spans="1:3" ht="14.25" customHeight="1" x14ac:dyDescent="0.3">
      <c r="A99" s="29" t="s">
        <v>337</v>
      </c>
      <c r="B99" s="30">
        <v>400</v>
      </c>
      <c r="C99" s="31" t="s">
        <v>338</v>
      </c>
    </row>
    <row r="100" spans="1:3" ht="14.25" customHeight="1" x14ac:dyDescent="0.3">
      <c r="A100" s="29" t="s">
        <v>339</v>
      </c>
      <c r="B100" s="30">
        <v>973</v>
      </c>
      <c r="C100" s="31" t="s">
        <v>340</v>
      </c>
    </row>
    <row r="101" spans="1:3" ht="14.25" customHeight="1" x14ac:dyDescent="0.3">
      <c r="A101" s="29" t="s">
        <v>341</v>
      </c>
      <c r="B101" s="34">
        <v>3980</v>
      </c>
      <c r="C101" s="31" t="s">
        <v>342</v>
      </c>
    </row>
    <row r="102" spans="1:3" ht="14.25" customHeight="1" x14ac:dyDescent="0.3">
      <c r="A102" s="29" t="s">
        <v>343</v>
      </c>
      <c r="B102" s="34">
        <v>1127</v>
      </c>
      <c r="C102" s="31" t="s">
        <v>344</v>
      </c>
    </row>
    <row r="103" spans="1:3" ht="14.25" customHeight="1" x14ac:dyDescent="0.3">
      <c r="A103" s="29" t="s">
        <v>345</v>
      </c>
      <c r="B103" s="34">
        <v>2980</v>
      </c>
      <c r="C103" s="31" t="s">
        <v>346</v>
      </c>
    </row>
    <row r="104" spans="1:3" ht="14.25" customHeight="1" x14ac:dyDescent="0.3">
      <c r="A104" s="29" t="s">
        <v>347</v>
      </c>
      <c r="B104" s="30">
        <v>564</v>
      </c>
      <c r="C104" s="31" t="s">
        <v>348</v>
      </c>
    </row>
    <row r="105" spans="1:3" ht="14.25" customHeight="1" x14ac:dyDescent="0.3">
      <c r="A105" s="29" t="s">
        <v>349</v>
      </c>
      <c r="B105" s="30">
        <v>646</v>
      </c>
      <c r="C105" s="31" t="s">
        <v>350</v>
      </c>
    </row>
    <row r="106" spans="1:3" ht="14.25" customHeight="1" x14ac:dyDescent="0.3">
      <c r="A106" s="29" t="s">
        <v>351</v>
      </c>
      <c r="B106" s="30">
        <v>809</v>
      </c>
      <c r="C106" s="31" t="s">
        <v>352</v>
      </c>
    </row>
    <row r="107" spans="1:3" ht="14.25" customHeight="1" x14ac:dyDescent="0.3">
      <c r="A107" s="29" t="s">
        <v>353</v>
      </c>
      <c r="B107" s="30">
        <v>809</v>
      </c>
      <c r="C107" s="31" t="s">
        <v>354</v>
      </c>
    </row>
    <row r="108" spans="1:3" ht="14.25" customHeight="1" x14ac:dyDescent="0.3">
      <c r="A108" s="29" t="s">
        <v>355</v>
      </c>
      <c r="B108" s="30">
        <v>646</v>
      </c>
      <c r="C108" s="31" t="s">
        <v>356</v>
      </c>
    </row>
    <row r="109" spans="1:3" ht="14.25" customHeight="1" x14ac:dyDescent="0.3">
      <c r="A109" s="29" t="s">
        <v>357</v>
      </c>
      <c r="B109" s="34">
        <v>1054</v>
      </c>
      <c r="C109" s="31" t="s">
        <v>358</v>
      </c>
    </row>
    <row r="110" spans="1:3" ht="14.25" customHeight="1" x14ac:dyDescent="0.3">
      <c r="A110" s="29" t="s">
        <v>359</v>
      </c>
      <c r="B110" s="30">
        <v>850</v>
      </c>
      <c r="C110" s="31" t="s">
        <v>360</v>
      </c>
    </row>
    <row r="111" spans="1:3" ht="14.25" customHeight="1" x14ac:dyDescent="0.3">
      <c r="A111" s="29" t="s">
        <v>361</v>
      </c>
      <c r="B111" s="30">
        <v>156</v>
      </c>
      <c r="C111" s="31" t="s">
        <v>362</v>
      </c>
    </row>
    <row r="112" spans="1:3" ht="14.25" customHeight="1" x14ac:dyDescent="0.3">
      <c r="A112" s="29" t="s">
        <v>363</v>
      </c>
      <c r="B112" s="30">
        <v>98</v>
      </c>
      <c r="C112" s="31" t="s">
        <v>364</v>
      </c>
    </row>
    <row r="113" spans="1:3" ht="14.25" customHeight="1" x14ac:dyDescent="0.3">
      <c r="A113" s="29" t="s">
        <v>365</v>
      </c>
      <c r="B113" s="30">
        <v>237</v>
      </c>
      <c r="C113" s="31" t="s">
        <v>366</v>
      </c>
    </row>
    <row r="114" spans="1:3" ht="14.25" customHeight="1" x14ac:dyDescent="0.3">
      <c r="A114" s="29" t="s">
        <v>367</v>
      </c>
      <c r="B114" s="30">
        <v>376</v>
      </c>
      <c r="C114" s="31" t="s">
        <v>368</v>
      </c>
    </row>
    <row r="115" spans="1:3" ht="14.25" customHeight="1" x14ac:dyDescent="0.3">
      <c r="A115" s="29" t="s">
        <v>369</v>
      </c>
      <c r="B115" s="30">
        <v>932</v>
      </c>
      <c r="C115" s="31" t="s">
        <v>370</v>
      </c>
    </row>
    <row r="116" spans="1:3" ht="14.25" customHeight="1" x14ac:dyDescent="0.3">
      <c r="A116" s="29" t="s">
        <v>371</v>
      </c>
      <c r="B116" s="34">
        <v>1127</v>
      </c>
      <c r="C116" s="31" t="s">
        <v>372</v>
      </c>
    </row>
    <row r="117" spans="1:3" ht="14.25" customHeight="1" x14ac:dyDescent="0.3">
      <c r="A117" s="29" t="s">
        <v>373</v>
      </c>
      <c r="B117" s="30">
        <v>139</v>
      </c>
      <c r="C117" s="31" t="s">
        <v>374</v>
      </c>
    </row>
    <row r="118" spans="1:3" ht="14.25" customHeight="1" x14ac:dyDescent="0.3">
      <c r="A118" s="29" t="s">
        <v>375</v>
      </c>
      <c r="B118" s="30">
        <v>156</v>
      </c>
      <c r="C118" s="31" t="s">
        <v>376</v>
      </c>
    </row>
    <row r="119" spans="1:3" ht="14.25" customHeight="1" x14ac:dyDescent="0.3">
      <c r="A119" s="29" t="s">
        <v>377</v>
      </c>
      <c r="B119" s="30">
        <v>320</v>
      </c>
      <c r="C119" s="31" t="s">
        <v>378</v>
      </c>
    </row>
    <row r="120" spans="1:3" ht="14.25" customHeight="1" x14ac:dyDescent="0.3">
      <c r="A120" s="29" t="s">
        <v>379</v>
      </c>
      <c r="B120" s="30">
        <v>973</v>
      </c>
      <c r="C120" s="31" t="s">
        <v>380</v>
      </c>
    </row>
    <row r="121" spans="1:3" ht="14.25" customHeight="1" x14ac:dyDescent="0.3">
      <c r="A121" s="29" t="s">
        <v>381</v>
      </c>
      <c r="B121" s="30">
        <v>33</v>
      </c>
      <c r="C121" s="31" t="s">
        <v>382</v>
      </c>
    </row>
    <row r="122" spans="1:3" ht="14.25" customHeight="1" x14ac:dyDescent="0.3">
      <c r="A122" s="29" t="s">
        <v>383</v>
      </c>
      <c r="B122" s="30">
        <v>156</v>
      </c>
      <c r="C122" s="31" t="s">
        <v>384</v>
      </c>
    </row>
    <row r="123" spans="1:3" ht="14.25" customHeight="1" x14ac:dyDescent="0.3">
      <c r="A123" s="29" t="s">
        <v>385</v>
      </c>
      <c r="B123" s="30">
        <v>572</v>
      </c>
      <c r="C123" s="31" t="s">
        <v>386</v>
      </c>
    </row>
    <row r="124" spans="1:3" ht="14.25" customHeight="1" x14ac:dyDescent="0.3">
      <c r="A124" s="29" t="s">
        <v>387</v>
      </c>
      <c r="B124" s="34">
        <v>3749</v>
      </c>
      <c r="C124" s="31" t="s">
        <v>388</v>
      </c>
    </row>
    <row r="125" spans="1:3" ht="14.25" customHeight="1" x14ac:dyDescent="0.3">
      <c r="A125" s="29" t="s">
        <v>389</v>
      </c>
      <c r="B125" s="34">
        <v>4851</v>
      </c>
      <c r="C125" s="31" t="s">
        <v>390</v>
      </c>
    </row>
    <row r="126" spans="1:3" ht="14.25" customHeight="1" x14ac:dyDescent="0.3">
      <c r="A126" s="29" t="s">
        <v>391</v>
      </c>
      <c r="B126" s="34">
        <v>4043</v>
      </c>
      <c r="C126" s="31" t="s">
        <v>392</v>
      </c>
    </row>
    <row r="127" spans="1:3" ht="14.25" customHeight="1" x14ac:dyDescent="0.25">
      <c r="A127" s="27" t="s">
        <v>393</v>
      </c>
      <c r="B127" s="28"/>
      <c r="C127" s="28"/>
    </row>
    <row r="128" spans="1:3" ht="14.25" customHeight="1" x14ac:dyDescent="0.3">
      <c r="A128" s="29" t="s">
        <v>394</v>
      </c>
      <c r="B128" s="30">
        <v>90</v>
      </c>
      <c r="C128" s="31" t="s">
        <v>395</v>
      </c>
    </row>
    <row r="129" spans="1:3" ht="14.25" customHeight="1" x14ac:dyDescent="0.3">
      <c r="A129" s="29" t="s">
        <v>396</v>
      </c>
      <c r="B129" s="30">
        <v>109</v>
      </c>
      <c r="C129" s="31" t="s">
        <v>397</v>
      </c>
    </row>
    <row r="130" spans="1:3" ht="14.25" customHeight="1" x14ac:dyDescent="0.3">
      <c r="A130" s="29" t="s">
        <v>398</v>
      </c>
      <c r="B130" s="30">
        <v>549</v>
      </c>
      <c r="C130" s="31" t="s">
        <v>399</v>
      </c>
    </row>
    <row r="131" spans="1:3" ht="14.25" customHeight="1" x14ac:dyDescent="0.3">
      <c r="A131" s="29" t="s">
        <v>400</v>
      </c>
      <c r="B131" s="30">
        <v>649</v>
      </c>
      <c r="C131" s="31" t="s">
        <v>401</v>
      </c>
    </row>
    <row r="132" spans="1:3" ht="14.25" customHeight="1" x14ac:dyDescent="0.3">
      <c r="A132" s="29" t="s">
        <v>402</v>
      </c>
      <c r="B132" s="30">
        <v>849</v>
      </c>
      <c r="C132" s="31" t="s">
        <v>403</v>
      </c>
    </row>
    <row r="133" spans="1:3" ht="14.25" customHeight="1" x14ac:dyDescent="0.3">
      <c r="A133" s="29" t="s">
        <v>404</v>
      </c>
      <c r="B133" s="30">
        <v>949</v>
      </c>
      <c r="C133" s="31" t="s">
        <v>405</v>
      </c>
    </row>
    <row r="134" spans="1:3" ht="14.25" customHeight="1" x14ac:dyDescent="0.3">
      <c r="A134" s="29" t="s">
        <v>406</v>
      </c>
      <c r="B134" s="34">
        <v>1049</v>
      </c>
      <c r="C134" s="31" t="s">
        <v>407</v>
      </c>
    </row>
    <row r="135" spans="1:3" ht="14.25" customHeight="1" x14ac:dyDescent="0.3">
      <c r="A135" s="29" t="s">
        <v>408</v>
      </c>
      <c r="B135" s="30">
        <v>259</v>
      </c>
      <c r="C135" s="31" t="s">
        <v>409</v>
      </c>
    </row>
    <row r="136" spans="1:3" ht="14.25" customHeight="1" x14ac:dyDescent="0.3">
      <c r="A136" s="29" t="s">
        <v>410</v>
      </c>
      <c r="B136" s="30">
        <v>250</v>
      </c>
      <c r="C136" s="31" t="s">
        <v>411</v>
      </c>
    </row>
    <row r="137" spans="1:3" ht="14.25" customHeight="1" x14ac:dyDescent="0.3">
      <c r="A137" s="29" t="s">
        <v>412</v>
      </c>
      <c r="B137" s="30">
        <v>239</v>
      </c>
      <c r="C137" s="31" t="s">
        <v>413</v>
      </c>
    </row>
    <row r="138" spans="1:3" ht="14.25" customHeight="1" x14ac:dyDescent="0.3">
      <c r="A138" s="29" t="s">
        <v>414</v>
      </c>
      <c r="B138" s="30">
        <v>195</v>
      </c>
      <c r="C138" s="31" t="s">
        <v>415</v>
      </c>
    </row>
    <row r="139" spans="1:3" ht="14.25" customHeight="1" x14ac:dyDescent="0.3">
      <c r="A139" s="29" t="s">
        <v>416</v>
      </c>
      <c r="B139" s="30">
        <v>285</v>
      </c>
      <c r="C139" s="31" t="s">
        <v>417</v>
      </c>
    </row>
    <row r="140" spans="1:3" ht="14.25" customHeight="1" x14ac:dyDescent="0.3">
      <c r="A140" s="29" t="s">
        <v>418</v>
      </c>
      <c r="B140" s="30">
        <v>99</v>
      </c>
      <c r="C140" s="31" t="s">
        <v>419</v>
      </c>
    </row>
    <row r="141" spans="1:3" ht="14.25" customHeight="1" x14ac:dyDescent="0.3">
      <c r="A141" s="29" t="s">
        <v>420</v>
      </c>
      <c r="B141" s="30">
        <v>475</v>
      </c>
      <c r="C141" s="31" t="s">
        <v>421</v>
      </c>
    </row>
    <row r="142" spans="1:3" ht="14.25" customHeight="1" x14ac:dyDescent="0.3">
      <c r="A142" s="29" t="s">
        <v>422</v>
      </c>
      <c r="B142" s="30">
        <v>439</v>
      </c>
      <c r="C142" s="31" t="s">
        <v>423</v>
      </c>
    </row>
    <row r="143" spans="1:3" ht="14.25" customHeight="1" x14ac:dyDescent="0.3">
      <c r="A143" s="29" t="s">
        <v>424</v>
      </c>
      <c r="B143" s="34">
        <v>1850</v>
      </c>
      <c r="C143" s="31" t="s">
        <v>425</v>
      </c>
    </row>
    <row r="144" spans="1:3" ht="14.25" customHeight="1" x14ac:dyDescent="0.3">
      <c r="A144" s="29" t="s">
        <v>426</v>
      </c>
      <c r="B144" s="30">
        <v>345</v>
      </c>
      <c r="C144" s="31" t="s">
        <v>427</v>
      </c>
    </row>
    <row r="145" spans="1:3" ht="14.25" customHeight="1" x14ac:dyDescent="0.3">
      <c r="A145" s="29" t="s">
        <v>428</v>
      </c>
      <c r="B145" s="30">
        <v>259</v>
      </c>
      <c r="C145" s="31" t="s">
        <v>429</v>
      </c>
    </row>
    <row r="146" spans="1:3" ht="14.25" customHeight="1" x14ac:dyDescent="0.3">
      <c r="A146" s="29" t="s">
        <v>430</v>
      </c>
      <c r="B146" s="30">
        <v>485</v>
      </c>
      <c r="C146" s="31" t="s">
        <v>431</v>
      </c>
    </row>
    <row r="147" spans="1:3" ht="14.25" customHeight="1" x14ac:dyDescent="0.3">
      <c r="A147" s="29" t="s">
        <v>432</v>
      </c>
      <c r="B147" s="30">
        <v>450</v>
      </c>
      <c r="C147" s="31" t="s">
        <v>433</v>
      </c>
    </row>
    <row r="148" spans="1:3" ht="14.25" customHeight="1" x14ac:dyDescent="0.3">
      <c r="A148" s="29" t="s">
        <v>434</v>
      </c>
      <c r="B148" s="30">
        <v>385</v>
      </c>
      <c r="C148" s="31" t="s">
        <v>435</v>
      </c>
    </row>
    <row r="149" spans="1:3" ht="14.25" customHeight="1" x14ac:dyDescent="0.3">
      <c r="A149" s="29" t="s">
        <v>436</v>
      </c>
      <c r="B149" s="30">
        <v>290</v>
      </c>
      <c r="C149" s="31" t="s">
        <v>437</v>
      </c>
    </row>
    <row r="150" spans="1:3" ht="14.25" customHeight="1" x14ac:dyDescent="0.3">
      <c r="A150" s="29" t="s">
        <v>438</v>
      </c>
      <c r="B150" s="30">
        <v>450</v>
      </c>
      <c r="C150" s="31" t="s">
        <v>439</v>
      </c>
    </row>
    <row r="151" spans="1:3" ht="14.25" customHeight="1" x14ac:dyDescent="0.25">
      <c r="A151" s="27" t="s">
        <v>440</v>
      </c>
      <c r="B151" s="28"/>
      <c r="C151" s="28"/>
    </row>
    <row r="152" spans="1:3" ht="14.25" customHeight="1" x14ac:dyDescent="0.3">
      <c r="A152" s="29" t="s">
        <v>441</v>
      </c>
      <c r="B152" s="30">
        <v>119</v>
      </c>
      <c r="C152" s="31" t="s">
        <v>442</v>
      </c>
    </row>
    <row r="153" spans="1:3" ht="28.5" customHeight="1" x14ac:dyDescent="0.3">
      <c r="A153" s="29" t="s">
        <v>443</v>
      </c>
      <c r="B153" s="30">
        <v>850</v>
      </c>
      <c r="C153" s="31" t="s">
        <v>444</v>
      </c>
    </row>
    <row r="154" spans="1:3" ht="28.5" customHeight="1" x14ac:dyDescent="0.3">
      <c r="A154" s="29" t="s">
        <v>445</v>
      </c>
      <c r="B154" s="34">
        <v>1150</v>
      </c>
      <c r="C154" s="31" t="s">
        <v>446</v>
      </c>
    </row>
    <row r="155" spans="1:3" ht="28.5" customHeight="1" x14ac:dyDescent="0.3">
      <c r="A155" s="29" t="s">
        <v>447</v>
      </c>
      <c r="B155" s="30">
        <v>595</v>
      </c>
      <c r="C155" s="31" t="s">
        <v>448</v>
      </c>
    </row>
    <row r="156" spans="1:3" ht="28.5" customHeight="1" x14ac:dyDescent="0.3">
      <c r="A156" s="29" t="s">
        <v>449</v>
      </c>
      <c r="B156" s="30">
        <v>695</v>
      </c>
      <c r="C156" s="31" t="s">
        <v>450</v>
      </c>
    </row>
    <row r="157" spans="1:3" ht="28.5" customHeight="1" x14ac:dyDescent="0.3">
      <c r="A157" s="29" t="s">
        <v>451</v>
      </c>
      <c r="B157" s="30">
        <v>899</v>
      </c>
      <c r="C157" s="31" t="s">
        <v>452</v>
      </c>
    </row>
    <row r="158" spans="1:3" ht="28.5" customHeight="1" x14ac:dyDescent="0.3">
      <c r="A158" s="29" t="s">
        <v>453</v>
      </c>
      <c r="B158" s="30">
        <v>750</v>
      </c>
      <c r="C158" s="31" t="s">
        <v>454</v>
      </c>
    </row>
    <row r="159" spans="1:3" ht="28.5" customHeight="1" x14ac:dyDescent="0.3">
      <c r="A159" s="29" t="s">
        <v>455</v>
      </c>
      <c r="B159" s="30">
        <v>620</v>
      </c>
      <c r="C159" s="31" t="s">
        <v>456</v>
      </c>
    </row>
    <row r="160" spans="1:3" ht="16.5" customHeight="1" x14ac:dyDescent="0.3">
      <c r="A160" s="29" t="s">
        <v>457</v>
      </c>
      <c r="B160" s="30">
        <v>255</v>
      </c>
      <c r="C160" s="31" t="s">
        <v>458</v>
      </c>
    </row>
    <row r="161" spans="1:3" ht="28.5" customHeight="1" x14ac:dyDescent="0.3">
      <c r="A161" s="23" t="s">
        <v>459</v>
      </c>
      <c r="B161" s="34">
        <v>2850</v>
      </c>
      <c r="C161" s="31" t="s">
        <v>460</v>
      </c>
    </row>
    <row r="162" spans="1:3" ht="14.25" customHeight="1" x14ac:dyDescent="0.3">
      <c r="A162" s="29" t="s">
        <v>461</v>
      </c>
      <c r="B162" s="30">
        <v>90</v>
      </c>
      <c r="C162" s="31" t="s">
        <v>462</v>
      </c>
    </row>
    <row r="163" spans="1:3" ht="28.5" customHeight="1" x14ac:dyDescent="0.3">
      <c r="A163" s="23" t="s">
        <v>463</v>
      </c>
      <c r="B163" s="30">
        <v>495</v>
      </c>
      <c r="C163" s="31" t="s">
        <v>464</v>
      </c>
    </row>
    <row r="164" spans="1:3" ht="28.5" customHeight="1" x14ac:dyDescent="0.3">
      <c r="A164" s="23" t="s">
        <v>465</v>
      </c>
      <c r="B164" s="30">
        <v>655</v>
      </c>
      <c r="C164" s="31" t="s">
        <v>466</v>
      </c>
    </row>
    <row r="165" spans="1:3" ht="28.5" customHeight="1" x14ac:dyDescent="0.3">
      <c r="A165" s="23" t="s">
        <v>467</v>
      </c>
      <c r="B165" s="30">
        <v>400</v>
      </c>
      <c r="C165" s="31" t="s">
        <v>468</v>
      </c>
    </row>
    <row r="166" spans="1:3" ht="28.5" customHeight="1" x14ac:dyDescent="0.3">
      <c r="A166" s="23" t="s">
        <v>469</v>
      </c>
      <c r="B166" s="30">
        <v>790</v>
      </c>
      <c r="C166" s="31" t="s">
        <v>470</v>
      </c>
    </row>
    <row r="167" spans="1:3" ht="14.25" customHeight="1" x14ac:dyDescent="0.3">
      <c r="A167" s="29" t="s">
        <v>471</v>
      </c>
      <c r="B167" s="30">
        <v>195</v>
      </c>
      <c r="C167" s="31" t="s">
        <v>472</v>
      </c>
    </row>
    <row r="168" spans="1:3" ht="14.25" customHeight="1" x14ac:dyDescent="0.3">
      <c r="A168" s="29" t="s">
        <v>473</v>
      </c>
      <c r="B168" s="30">
        <v>150</v>
      </c>
      <c r="C168" s="31" t="s">
        <v>474</v>
      </c>
    </row>
    <row r="169" spans="1:3" ht="14.25" customHeight="1" x14ac:dyDescent="0.3">
      <c r="A169" s="29" t="s">
        <v>475</v>
      </c>
      <c r="B169" s="30">
        <v>150</v>
      </c>
      <c r="C169" s="31" t="s">
        <v>476</v>
      </c>
    </row>
    <row r="170" spans="1:3" ht="14.25" customHeight="1" x14ac:dyDescent="0.3">
      <c r="A170" s="29" t="s">
        <v>477</v>
      </c>
      <c r="B170" s="30">
        <v>195</v>
      </c>
      <c r="C170" s="31" t="s">
        <v>478</v>
      </c>
    </row>
    <row r="171" spans="1:3" ht="14.25" customHeight="1" x14ac:dyDescent="0.3">
      <c r="A171" s="29" t="s">
        <v>479</v>
      </c>
      <c r="B171" s="34">
        <v>1485</v>
      </c>
      <c r="C171" s="31" t="s">
        <v>480</v>
      </c>
    </row>
    <row r="172" spans="1:3" ht="14.25" customHeight="1" x14ac:dyDescent="0.3">
      <c r="A172" s="29" t="s">
        <v>481</v>
      </c>
      <c r="B172" s="34">
        <v>1539</v>
      </c>
      <c r="C172" s="31" t="s">
        <v>482</v>
      </c>
    </row>
    <row r="173" spans="1:3" ht="14.25" customHeight="1" x14ac:dyDescent="0.3">
      <c r="A173" s="29" t="s">
        <v>483</v>
      </c>
      <c r="B173" s="34">
        <v>1078</v>
      </c>
      <c r="C173" s="31" t="s">
        <v>484</v>
      </c>
    </row>
    <row r="174" spans="1:3" ht="14.25" customHeight="1" x14ac:dyDescent="0.3">
      <c r="A174" s="29" t="s">
        <v>485</v>
      </c>
      <c r="B174" s="34">
        <v>1135</v>
      </c>
      <c r="C174" s="31" t="s">
        <v>486</v>
      </c>
    </row>
    <row r="175" spans="1:3" ht="14.25" customHeight="1" x14ac:dyDescent="0.3">
      <c r="A175" s="29" t="s">
        <v>487</v>
      </c>
      <c r="B175" s="34">
        <v>1206</v>
      </c>
      <c r="C175" s="31" t="s">
        <v>488</v>
      </c>
    </row>
    <row r="176" spans="1:3" ht="14.25" customHeight="1" x14ac:dyDescent="0.3">
      <c r="A176" s="29" t="s">
        <v>489</v>
      </c>
      <c r="B176" s="34">
        <v>1350</v>
      </c>
      <c r="C176" s="31" t="s">
        <v>490</v>
      </c>
    </row>
    <row r="177" spans="1:3" ht="14.25" customHeight="1" x14ac:dyDescent="0.3">
      <c r="A177" s="29" t="s">
        <v>491</v>
      </c>
      <c r="B177" s="34">
        <v>1750</v>
      </c>
      <c r="C177" s="31" t="s">
        <v>492</v>
      </c>
    </row>
    <row r="178" spans="1:3" ht="14.25" customHeight="1" x14ac:dyDescent="0.3">
      <c r="A178" s="29" t="s">
        <v>493</v>
      </c>
      <c r="B178" s="30">
        <v>175</v>
      </c>
      <c r="C178" s="31" t="s">
        <v>494</v>
      </c>
    </row>
    <row r="179" spans="1:3" ht="14.25" customHeight="1" x14ac:dyDescent="0.3">
      <c r="A179" s="29" t="s">
        <v>495</v>
      </c>
      <c r="B179" s="30">
        <v>350</v>
      </c>
      <c r="C179" s="31" t="s">
        <v>496</v>
      </c>
    </row>
    <row r="180" spans="1:3" ht="14.25" customHeight="1" x14ac:dyDescent="0.3">
      <c r="A180" s="29" t="s">
        <v>497</v>
      </c>
      <c r="B180" s="30">
        <v>459</v>
      </c>
      <c r="C180" s="31" t="s">
        <v>498</v>
      </c>
    </row>
    <row r="181" spans="1:3" ht="14.25" customHeight="1" x14ac:dyDescent="0.3">
      <c r="A181" s="29" t="s">
        <v>499</v>
      </c>
      <c r="B181" s="34">
        <v>1435</v>
      </c>
      <c r="C181" s="31" t="s">
        <v>500</v>
      </c>
    </row>
    <row r="182" spans="1:3" ht="14.25" customHeight="1" x14ac:dyDescent="0.3">
      <c r="A182" s="29" t="s">
        <v>501</v>
      </c>
      <c r="B182" s="34">
        <v>1735</v>
      </c>
      <c r="C182" s="31" t="s">
        <v>502</v>
      </c>
    </row>
    <row r="183" spans="1:3" ht="14.25" customHeight="1" x14ac:dyDescent="0.3">
      <c r="A183" s="29" t="s">
        <v>503</v>
      </c>
      <c r="B183" s="34">
        <v>1095</v>
      </c>
      <c r="C183" s="31" t="s">
        <v>504</v>
      </c>
    </row>
    <row r="184" spans="1:3" ht="28.5" customHeight="1" x14ac:dyDescent="0.3">
      <c r="A184" s="23" t="s">
        <v>505</v>
      </c>
      <c r="B184" s="34">
        <v>1455</v>
      </c>
      <c r="C184" s="31" t="s">
        <v>506</v>
      </c>
    </row>
    <row r="185" spans="1:3" ht="28.5" customHeight="1" x14ac:dyDescent="0.3">
      <c r="A185" s="23" t="s">
        <v>507</v>
      </c>
      <c r="B185" s="34">
        <v>1655</v>
      </c>
      <c r="C185" s="31" t="s">
        <v>508</v>
      </c>
    </row>
    <row r="186" spans="1:3" ht="28.5" customHeight="1" x14ac:dyDescent="0.3">
      <c r="A186" s="23" t="s">
        <v>509</v>
      </c>
      <c r="B186" s="30">
        <v>185</v>
      </c>
      <c r="C186" s="31" t="s">
        <v>510</v>
      </c>
    </row>
    <row r="187" spans="1:3" ht="14.25" customHeight="1" x14ac:dyDescent="0.3">
      <c r="A187" s="29" t="s">
        <v>511</v>
      </c>
      <c r="B187" s="34">
        <v>1990</v>
      </c>
      <c r="C187" s="31" t="s">
        <v>512</v>
      </c>
    </row>
    <row r="188" spans="1:3" ht="14.25" customHeight="1" x14ac:dyDescent="0.3">
      <c r="A188" s="29" t="s">
        <v>513</v>
      </c>
      <c r="B188" s="34">
        <v>2950</v>
      </c>
      <c r="C188" s="31" t="s">
        <v>514</v>
      </c>
    </row>
    <row r="189" spans="1:3" ht="14.25" customHeight="1" x14ac:dyDescent="0.3">
      <c r="A189" s="29" t="s">
        <v>515</v>
      </c>
      <c r="B189" s="34">
        <v>2850</v>
      </c>
      <c r="C189" s="31" t="s">
        <v>516</v>
      </c>
    </row>
    <row r="190" spans="1:3" ht="14.25" customHeight="1" x14ac:dyDescent="0.3">
      <c r="A190" s="29" t="s">
        <v>517</v>
      </c>
      <c r="B190" s="30">
        <v>385</v>
      </c>
      <c r="C190" s="31" t="s">
        <v>518</v>
      </c>
    </row>
    <row r="191" spans="1:3" ht="14.25" customHeight="1" x14ac:dyDescent="0.3">
      <c r="A191" s="29" t="s">
        <v>519</v>
      </c>
      <c r="B191" s="30">
        <v>269</v>
      </c>
      <c r="C191" s="31" t="s">
        <v>520</v>
      </c>
    </row>
    <row r="192" spans="1:3" ht="14.25" customHeight="1" x14ac:dyDescent="0.3">
      <c r="A192" s="29" t="s">
        <v>521</v>
      </c>
      <c r="B192" s="30">
        <v>585</v>
      </c>
      <c r="C192" s="31" t="s">
        <v>522</v>
      </c>
    </row>
    <row r="193" spans="1:3" ht="14.25" customHeight="1" x14ac:dyDescent="0.25">
      <c r="A193" s="27" t="s">
        <v>523</v>
      </c>
      <c r="B193" s="28"/>
      <c r="C193" s="28"/>
    </row>
    <row r="194" spans="1:3" ht="14.25" customHeight="1" x14ac:dyDescent="0.3">
      <c r="A194" s="29" t="s">
        <v>524</v>
      </c>
      <c r="B194" s="30">
        <v>80</v>
      </c>
      <c r="C194" s="31" t="s">
        <v>525</v>
      </c>
    </row>
    <row r="195" spans="1:3" ht="14.25" customHeight="1" x14ac:dyDescent="0.3">
      <c r="A195" s="29" t="s">
        <v>526</v>
      </c>
      <c r="B195" s="30">
        <v>750</v>
      </c>
      <c r="C195" s="31" t="s">
        <v>527</v>
      </c>
    </row>
    <row r="196" spans="1:3" ht="14.25" customHeight="1" x14ac:dyDescent="0.3">
      <c r="A196" s="29" t="s">
        <v>528</v>
      </c>
      <c r="B196" s="30">
        <v>850</v>
      </c>
      <c r="C196" s="31" t="s">
        <v>529</v>
      </c>
    </row>
    <row r="197" spans="1:3" ht="14.25" customHeight="1" x14ac:dyDescent="0.3">
      <c r="A197" s="29" t="s">
        <v>530</v>
      </c>
      <c r="B197" s="30">
        <v>950</v>
      </c>
      <c r="C197" s="31" t="s">
        <v>531</v>
      </c>
    </row>
    <row r="198" spans="1:3" ht="14.25" customHeight="1" x14ac:dyDescent="0.3">
      <c r="A198" s="29" t="s">
        <v>532</v>
      </c>
      <c r="B198" s="30">
        <v>750</v>
      </c>
      <c r="C198" s="31" t="s">
        <v>533</v>
      </c>
    </row>
    <row r="199" spans="1:3" ht="14.25" customHeight="1" x14ac:dyDescent="0.3">
      <c r="A199" s="29" t="s">
        <v>534</v>
      </c>
      <c r="B199" s="30">
        <v>195</v>
      </c>
      <c r="C199" s="31" t="s">
        <v>535</v>
      </c>
    </row>
    <row r="200" spans="1:3" ht="14.25" customHeight="1" x14ac:dyDescent="0.3">
      <c r="A200" s="29" t="s">
        <v>536</v>
      </c>
      <c r="B200" s="30">
        <v>185</v>
      </c>
      <c r="C200" s="31" t="s">
        <v>537</v>
      </c>
    </row>
    <row r="201" spans="1:3" ht="14.25" customHeight="1" x14ac:dyDescent="0.3">
      <c r="A201" s="29" t="s">
        <v>538</v>
      </c>
      <c r="B201" s="30">
        <v>825</v>
      </c>
      <c r="C201" s="31" t="s">
        <v>539</v>
      </c>
    </row>
    <row r="202" spans="1:3" ht="14.25" customHeight="1" x14ac:dyDescent="0.3">
      <c r="A202" s="29" t="s">
        <v>540</v>
      </c>
      <c r="B202" s="30">
        <v>250</v>
      </c>
      <c r="C202" s="31" t="s">
        <v>541</v>
      </c>
    </row>
    <row r="203" spans="1:3" ht="14.25" customHeight="1" x14ac:dyDescent="0.25">
      <c r="A203" s="27" t="s">
        <v>542</v>
      </c>
      <c r="B203" s="28"/>
      <c r="C203" s="28"/>
    </row>
    <row r="204" spans="1:3" ht="14.25" customHeight="1" x14ac:dyDescent="0.3">
      <c r="A204" s="29" t="s">
        <v>543</v>
      </c>
      <c r="B204" s="30">
        <v>129</v>
      </c>
      <c r="C204" s="31" t="s">
        <v>544</v>
      </c>
    </row>
    <row r="205" spans="1:3" ht="14.25" customHeight="1" x14ac:dyDescent="0.3">
      <c r="A205" s="29" t="s">
        <v>545</v>
      </c>
      <c r="B205" s="30">
        <v>850</v>
      </c>
      <c r="C205" s="31" t="s">
        <v>546</v>
      </c>
    </row>
    <row r="206" spans="1:3" ht="14.25" customHeight="1" x14ac:dyDescent="0.3">
      <c r="A206" s="29" t="s">
        <v>547</v>
      </c>
      <c r="B206" s="34">
        <v>1050</v>
      </c>
      <c r="C206" s="31" t="s">
        <v>548</v>
      </c>
    </row>
    <row r="207" spans="1:3" ht="27.75" customHeight="1" x14ac:dyDescent="0.3">
      <c r="A207" s="29" t="s">
        <v>549</v>
      </c>
      <c r="B207" s="30">
        <v>850</v>
      </c>
      <c r="C207" s="31" t="s">
        <v>550</v>
      </c>
    </row>
    <row r="208" spans="1:3" ht="28.5" customHeight="1" x14ac:dyDescent="0.3">
      <c r="A208" s="23" t="s">
        <v>551</v>
      </c>
      <c r="B208" s="34">
        <v>2950</v>
      </c>
      <c r="C208" s="31" t="s">
        <v>552</v>
      </c>
    </row>
    <row r="209" spans="1:3" ht="14.25" customHeight="1" x14ac:dyDescent="0.3">
      <c r="A209" s="29" t="s">
        <v>553</v>
      </c>
      <c r="B209" s="30">
        <v>229</v>
      </c>
      <c r="C209" s="31" t="s">
        <v>554</v>
      </c>
    </row>
    <row r="210" spans="1:3" ht="14.25" customHeight="1" x14ac:dyDescent="0.3">
      <c r="A210" s="29" t="s">
        <v>555</v>
      </c>
      <c r="B210" s="30">
        <v>156</v>
      </c>
      <c r="C210" s="31" t="s">
        <v>556</v>
      </c>
    </row>
    <row r="211" spans="1:3" ht="14.25" customHeight="1" x14ac:dyDescent="0.3">
      <c r="A211" s="29" t="s">
        <v>557</v>
      </c>
      <c r="B211" s="30">
        <v>454</v>
      </c>
      <c r="C211" s="31" t="s">
        <v>558</v>
      </c>
    </row>
    <row r="212" spans="1:3" ht="14.25" customHeight="1" x14ac:dyDescent="0.3">
      <c r="A212" s="29" t="s">
        <v>559</v>
      </c>
      <c r="B212" s="30">
        <v>119</v>
      </c>
      <c r="C212" s="31" t="s">
        <v>560</v>
      </c>
    </row>
    <row r="213" spans="1:3" ht="14.25" customHeight="1" x14ac:dyDescent="0.3">
      <c r="A213" s="29" t="s">
        <v>561</v>
      </c>
      <c r="B213" s="30">
        <v>285</v>
      </c>
      <c r="C213" s="31" t="s">
        <v>562</v>
      </c>
    </row>
    <row r="214" spans="1:3" ht="14.25" customHeight="1" x14ac:dyDescent="0.3">
      <c r="A214" s="29" t="s">
        <v>563</v>
      </c>
      <c r="B214" s="30">
        <v>225</v>
      </c>
      <c r="C214" s="31" t="s">
        <v>564</v>
      </c>
    </row>
    <row r="215" spans="1:3" ht="14.25" customHeight="1" x14ac:dyDescent="0.3">
      <c r="A215" s="29" t="s">
        <v>565</v>
      </c>
      <c r="B215" s="30">
        <v>595</v>
      </c>
      <c r="C215" s="31" t="s">
        <v>566</v>
      </c>
    </row>
    <row r="216" spans="1:3" ht="28.5" customHeight="1" x14ac:dyDescent="0.3">
      <c r="A216" s="23" t="s">
        <v>567</v>
      </c>
      <c r="B216" s="30">
        <v>750</v>
      </c>
      <c r="C216" s="31" t="s">
        <v>568</v>
      </c>
    </row>
    <row r="217" spans="1:3" ht="28.5" customHeight="1" x14ac:dyDescent="0.3">
      <c r="A217" s="23" t="s">
        <v>569</v>
      </c>
      <c r="B217" s="34">
        <v>1150</v>
      </c>
      <c r="C217" s="31" t="s">
        <v>570</v>
      </c>
    </row>
    <row r="218" spans="1:3" ht="14.25" customHeight="1" x14ac:dyDescent="0.3">
      <c r="A218" s="29" t="s">
        <v>571</v>
      </c>
      <c r="B218" s="30">
        <v>250</v>
      </c>
      <c r="C218" s="31" t="s">
        <v>572</v>
      </c>
    </row>
    <row r="219" spans="1:3" ht="14.25" customHeight="1" x14ac:dyDescent="0.3">
      <c r="A219" s="29" t="s">
        <v>573</v>
      </c>
      <c r="B219" s="30">
        <v>700</v>
      </c>
      <c r="C219" s="31" t="s">
        <v>574</v>
      </c>
    </row>
    <row r="220" spans="1:3" ht="14.25" customHeight="1" x14ac:dyDescent="0.3">
      <c r="A220" s="29" t="s">
        <v>575</v>
      </c>
      <c r="B220" s="30">
        <v>100</v>
      </c>
      <c r="C220" s="31" t="s">
        <v>576</v>
      </c>
    </row>
    <row r="221" spans="1:3" ht="14.25" customHeight="1" x14ac:dyDescent="0.3">
      <c r="A221" s="29" t="s">
        <v>577</v>
      </c>
      <c r="B221" s="30">
        <v>279</v>
      </c>
      <c r="C221" s="31" t="s">
        <v>578</v>
      </c>
    </row>
    <row r="222" spans="1:3" ht="14.25" customHeight="1" x14ac:dyDescent="0.3">
      <c r="A222" s="29" t="s">
        <v>579</v>
      </c>
      <c r="B222" s="30">
        <v>685</v>
      </c>
      <c r="C222" s="31" t="s">
        <v>580</v>
      </c>
    </row>
    <row r="223" spans="1:3" ht="14.25" customHeight="1" x14ac:dyDescent="0.3">
      <c r="A223" s="29" t="s">
        <v>581</v>
      </c>
      <c r="B223" s="34">
        <v>2190</v>
      </c>
      <c r="C223" s="31" t="s">
        <v>582</v>
      </c>
    </row>
    <row r="224" spans="1:3" ht="14.25" customHeight="1" x14ac:dyDescent="0.3">
      <c r="A224" s="29" t="s">
        <v>583</v>
      </c>
      <c r="B224" s="34">
        <v>1850</v>
      </c>
      <c r="C224" s="31" t="s">
        <v>584</v>
      </c>
    </row>
    <row r="225" spans="1:3" ht="28.5" customHeight="1" x14ac:dyDescent="0.3">
      <c r="A225" s="23" t="s">
        <v>585</v>
      </c>
      <c r="B225" s="34">
        <v>1950</v>
      </c>
      <c r="C225" s="31" t="s">
        <v>586</v>
      </c>
    </row>
    <row r="226" spans="1:3" ht="28.5" customHeight="1" x14ac:dyDescent="0.3">
      <c r="A226" s="23" t="s">
        <v>587</v>
      </c>
      <c r="B226" s="34">
        <v>2350</v>
      </c>
      <c r="C226" s="31" t="s">
        <v>588</v>
      </c>
    </row>
    <row r="227" spans="1:3" ht="14.25" customHeight="1" x14ac:dyDescent="0.3">
      <c r="A227" s="29" t="s">
        <v>589</v>
      </c>
      <c r="B227" s="34">
        <v>2550</v>
      </c>
      <c r="C227" s="31" t="s">
        <v>590</v>
      </c>
    </row>
    <row r="228" spans="1:3" ht="14.25" customHeight="1" x14ac:dyDescent="0.25">
      <c r="A228" s="27" t="s">
        <v>591</v>
      </c>
      <c r="B228" s="28"/>
      <c r="C228" s="28"/>
    </row>
    <row r="229" spans="1:3" ht="28.5" customHeight="1" x14ac:dyDescent="0.3">
      <c r="A229" s="23" t="s">
        <v>592</v>
      </c>
      <c r="B229" s="34">
        <v>2399</v>
      </c>
      <c r="C229" s="31" t="s">
        <v>593</v>
      </c>
    </row>
    <row r="230" spans="1:3" ht="14.25" customHeight="1" x14ac:dyDescent="0.3">
      <c r="A230" s="29" t="s">
        <v>594</v>
      </c>
      <c r="B230" s="30">
        <v>485</v>
      </c>
      <c r="C230" s="31" t="s">
        <v>595</v>
      </c>
    </row>
    <row r="231" spans="1:3" ht="14.25" customHeight="1" x14ac:dyDescent="0.3">
      <c r="A231" s="29" t="s">
        <v>596</v>
      </c>
      <c r="B231" s="34">
        <v>2589</v>
      </c>
      <c r="C231" s="31" t="s">
        <v>597</v>
      </c>
    </row>
    <row r="232" spans="1:3" ht="28.5" customHeight="1" x14ac:dyDescent="0.3">
      <c r="A232" s="23" t="s">
        <v>598</v>
      </c>
      <c r="B232" s="34">
        <v>1200</v>
      </c>
      <c r="C232" s="31" t="s">
        <v>599</v>
      </c>
    </row>
    <row r="233" spans="1:3" ht="14.25" customHeight="1" x14ac:dyDescent="0.3">
      <c r="A233" s="29" t="s">
        <v>600</v>
      </c>
      <c r="B233" s="34">
        <v>2889</v>
      </c>
      <c r="C233" s="31" t="s">
        <v>601</v>
      </c>
    </row>
    <row r="234" spans="1:3" ht="14.25" customHeight="1" x14ac:dyDescent="0.3">
      <c r="A234" s="29" t="s">
        <v>602</v>
      </c>
      <c r="B234" s="30">
        <v>925</v>
      </c>
      <c r="C234" s="31" t="s">
        <v>603</v>
      </c>
    </row>
    <row r="235" spans="1:3" ht="14.25" customHeight="1" x14ac:dyDescent="0.3">
      <c r="A235" s="29" t="s">
        <v>604</v>
      </c>
      <c r="B235" s="34">
        <v>3250</v>
      </c>
      <c r="C235" s="31" t="s">
        <v>605</v>
      </c>
    </row>
    <row r="236" spans="1:3" ht="28.5" customHeight="1" x14ac:dyDescent="0.3">
      <c r="A236" s="23" t="s">
        <v>606</v>
      </c>
      <c r="B236" s="34">
        <v>2799</v>
      </c>
      <c r="C236" s="31" t="s">
        <v>607</v>
      </c>
    </row>
    <row r="237" spans="1:3" ht="14.25" customHeight="1" x14ac:dyDescent="0.3">
      <c r="A237" s="29" t="s">
        <v>608</v>
      </c>
      <c r="B237" s="34">
        <v>2950</v>
      </c>
      <c r="C237" s="31" t="s">
        <v>609</v>
      </c>
    </row>
    <row r="238" spans="1:3" ht="14.25" customHeight="1" x14ac:dyDescent="0.3">
      <c r="A238" s="29" t="s">
        <v>610</v>
      </c>
      <c r="B238" s="34">
        <v>3540</v>
      </c>
      <c r="C238" s="31" t="s">
        <v>611</v>
      </c>
    </row>
    <row r="239" spans="1:3" ht="14.25" customHeight="1" x14ac:dyDescent="0.3">
      <c r="A239" s="29" t="s">
        <v>612</v>
      </c>
      <c r="B239" s="34">
        <v>5940</v>
      </c>
      <c r="C239" s="31" t="s">
        <v>613</v>
      </c>
    </row>
    <row r="240" spans="1:3" ht="14.25" customHeight="1" x14ac:dyDescent="0.3">
      <c r="A240" s="29" t="s">
        <v>614</v>
      </c>
      <c r="B240" s="34">
        <v>3450</v>
      </c>
      <c r="C240" s="31" t="s">
        <v>615</v>
      </c>
    </row>
    <row r="241" spans="1:3" ht="14.25" customHeight="1" x14ac:dyDescent="0.3">
      <c r="A241" s="29" t="s">
        <v>616</v>
      </c>
      <c r="B241" s="34">
        <v>4950</v>
      </c>
      <c r="C241" s="31" t="s">
        <v>617</v>
      </c>
    </row>
    <row r="242" spans="1:3" ht="14.25" customHeight="1" x14ac:dyDescent="0.3">
      <c r="A242" s="29" t="s">
        <v>618</v>
      </c>
      <c r="B242" s="34">
        <v>2950</v>
      </c>
      <c r="C242" s="31" t="s">
        <v>619</v>
      </c>
    </row>
    <row r="243" spans="1:3" ht="15.75" customHeight="1" x14ac:dyDescent="0.3">
      <c r="A243" s="29" t="s">
        <v>620</v>
      </c>
      <c r="B243" s="30">
        <v>385</v>
      </c>
      <c r="C243" s="31" t="s">
        <v>621</v>
      </c>
    </row>
    <row r="244" spans="1:3" ht="13.8" customHeight="1" x14ac:dyDescent="0.3">
      <c r="A244" s="29" t="s">
        <v>622</v>
      </c>
      <c r="B244" s="34">
        <v>1185</v>
      </c>
      <c r="C244" s="31" t="s">
        <v>623</v>
      </c>
    </row>
    <row r="245" spans="1:3" ht="14.25" customHeight="1" x14ac:dyDescent="0.3">
      <c r="A245" s="29" t="s">
        <v>624</v>
      </c>
      <c r="B245" s="30">
        <v>885</v>
      </c>
      <c r="C245" s="31" t="s">
        <v>625</v>
      </c>
    </row>
    <row r="246" spans="1:3" ht="14.25" customHeight="1" x14ac:dyDescent="0.3">
      <c r="A246" s="29" t="s">
        <v>626</v>
      </c>
      <c r="B246" s="30">
        <v>545</v>
      </c>
      <c r="C246" s="31" t="s">
        <v>627</v>
      </c>
    </row>
    <row r="247" spans="1:3" ht="14.25" customHeight="1" x14ac:dyDescent="0.3">
      <c r="A247" s="29" t="s">
        <v>628</v>
      </c>
      <c r="B247" s="30">
        <v>975</v>
      </c>
      <c r="C247" s="31" t="s">
        <v>629</v>
      </c>
    </row>
    <row r="248" spans="1:3" ht="14.25" customHeight="1" x14ac:dyDescent="0.3">
      <c r="A248" s="29" t="s">
        <v>630</v>
      </c>
      <c r="B248" s="30">
        <v>682</v>
      </c>
      <c r="C248" s="31" t="s">
        <v>631</v>
      </c>
    </row>
    <row r="249" spans="1:3" ht="14.25" customHeight="1" x14ac:dyDescent="0.3">
      <c r="A249" s="29" t="s">
        <v>632</v>
      </c>
      <c r="B249" s="30">
        <v>780</v>
      </c>
      <c r="C249" s="31" t="s">
        <v>633</v>
      </c>
    </row>
    <row r="250" spans="1:3" ht="14.25" customHeight="1" x14ac:dyDescent="0.3">
      <c r="A250" s="29" t="s">
        <v>634</v>
      </c>
      <c r="B250" s="30">
        <v>835</v>
      </c>
      <c r="C250" s="31" t="s">
        <v>635</v>
      </c>
    </row>
    <row r="251" spans="1:3" ht="14.25" customHeight="1" x14ac:dyDescent="0.3">
      <c r="A251" s="29" t="s">
        <v>636</v>
      </c>
      <c r="B251" s="34">
        <v>1045</v>
      </c>
      <c r="C251" s="31" t="s">
        <v>637</v>
      </c>
    </row>
    <row r="252" spans="1:3" ht="14.25" customHeight="1" x14ac:dyDescent="0.3">
      <c r="A252" s="29" t="s">
        <v>638</v>
      </c>
      <c r="B252" s="30">
        <v>285</v>
      </c>
      <c r="C252" s="31" t="s">
        <v>639</v>
      </c>
    </row>
    <row r="253" spans="1:3" ht="14.25" customHeight="1" x14ac:dyDescent="0.3">
      <c r="A253" s="29" t="s">
        <v>640</v>
      </c>
      <c r="B253" s="30">
        <v>995</v>
      </c>
      <c r="C253" s="31" t="s">
        <v>641</v>
      </c>
    </row>
    <row r="254" spans="1:3" ht="14.25" customHeight="1" x14ac:dyDescent="0.3">
      <c r="A254" s="29" t="s">
        <v>642</v>
      </c>
      <c r="B254" s="34">
        <v>1335</v>
      </c>
      <c r="C254" s="31" t="s">
        <v>643</v>
      </c>
    </row>
    <row r="255" spans="1:3" ht="14.25" customHeight="1" x14ac:dyDescent="0.3">
      <c r="A255" s="29" t="s">
        <v>644</v>
      </c>
      <c r="B255" s="34">
        <v>2840</v>
      </c>
      <c r="C255" s="31" t="s">
        <v>645</v>
      </c>
    </row>
    <row r="256" spans="1:3" ht="14.25" customHeight="1" x14ac:dyDescent="0.3">
      <c r="A256" s="29" t="s">
        <v>646</v>
      </c>
      <c r="B256" s="34">
        <v>1100</v>
      </c>
      <c r="C256" s="31" t="s">
        <v>647</v>
      </c>
    </row>
    <row r="257" spans="1:3" ht="14.25" customHeight="1" x14ac:dyDescent="0.3">
      <c r="A257" s="29" t="s">
        <v>648</v>
      </c>
      <c r="B257" s="30">
        <v>420</v>
      </c>
      <c r="C257" s="31" t="s">
        <v>649</v>
      </c>
    </row>
    <row r="258" spans="1:3" ht="14.25" customHeight="1" x14ac:dyDescent="0.3">
      <c r="A258" s="29" t="s">
        <v>650</v>
      </c>
      <c r="B258" s="30">
        <v>490</v>
      </c>
      <c r="C258" s="31" t="s">
        <v>651</v>
      </c>
    </row>
    <row r="259" spans="1:3" ht="14.25" customHeight="1" x14ac:dyDescent="0.3">
      <c r="A259" s="29" t="s">
        <v>652</v>
      </c>
      <c r="B259" s="30">
        <v>214</v>
      </c>
      <c r="C259" s="31" t="s">
        <v>653</v>
      </c>
    </row>
    <row r="260" spans="1:3" ht="14.25" customHeight="1" x14ac:dyDescent="0.3">
      <c r="A260" s="29" t="s">
        <v>654</v>
      </c>
      <c r="B260" s="30">
        <v>620</v>
      </c>
      <c r="C260" s="31" t="s">
        <v>655</v>
      </c>
    </row>
    <row r="261" spans="1:3" ht="14.25" customHeight="1" x14ac:dyDescent="0.3">
      <c r="A261" s="29" t="s">
        <v>656</v>
      </c>
      <c r="B261" s="30">
        <v>795</v>
      </c>
      <c r="C261" s="31" t="s">
        <v>657</v>
      </c>
    </row>
    <row r="262" spans="1:3" ht="14.25" customHeight="1" x14ac:dyDescent="0.3">
      <c r="A262" s="29" t="s">
        <v>658</v>
      </c>
      <c r="B262" s="30">
        <v>750</v>
      </c>
      <c r="C262" s="31" t="s">
        <v>659</v>
      </c>
    </row>
    <row r="263" spans="1:3" ht="14.25" customHeight="1" x14ac:dyDescent="0.3">
      <c r="A263" s="29" t="s">
        <v>660</v>
      </c>
      <c r="B263" s="34">
        <v>2430</v>
      </c>
      <c r="C263" s="31" t="s">
        <v>661</v>
      </c>
    </row>
    <row r="264" spans="1:3" ht="14.25" customHeight="1" x14ac:dyDescent="0.3">
      <c r="A264" s="29" t="s">
        <v>662</v>
      </c>
      <c r="B264" s="30">
        <v>145</v>
      </c>
      <c r="C264" s="31" t="s">
        <v>663</v>
      </c>
    </row>
    <row r="265" spans="1:3" ht="14.25" customHeight="1" x14ac:dyDescent="0.25">
      <c r="A265" s="27" t="s">
        <v>664</v>
      </c>
      <c r="B265" s="28"/>
      <c r="C265" s="28"/>
    </row>
    <row r="266" spans="1:3" ht="28.5" customHeight="1" x14ac:dyDescent="0.3">
      <c r="A266" s="23" t="s">
        <v>665</v>
      </c>
      <c r="B266" s="34">
        <v>2499</v>
      </c>
      <c r="C266" s="31" t="s">
        <v>666</v>
      </c>
    </row>
    <row r="267" spans="1:3" ht="28.5" customHeight="1" x14ac:dyDescent="0.3">
      <c r="A267" s="23" t="s">
        <v>667</v>
      </c>
      <c r="B267" s="34">
        <v>2899</v>
      </c>
      <c r="C267" s="31" t="s">
        <v>668</v>
      </c>
    </row>
    <row r="268" spans="1:3" ht="14.25" customHeight="1" x14ac:dyDescent="0.3">
      <c r="A268" s="29" t="s">
        <v>669</v>
      </c>
      <c r="B268" s="34">
        <v>3050</v>
      </c>
      <c r="C268" s="31" t="s">
        <v>670</v>
      </c>
    </row>
    <row r="269" spans="1:3" ht="14.25" customHeight="1" x14ac:dyDescent="0.3">
      <c r="A269" s="29" t="s">
        <v>671</v>
      </c>
      <c r="B269" s="34">
        <v>3740</v>
      </c>
      <c r="C269" s="31" t="s">
        <v>672</v>
      </c>
    </row>
    <row r="270" spans="1:3" ht="14.25" customHeight="1" x14ac:dyDescent="0.3">
      <c r="A270" s="29" t="s">
        <v>673</v>
      </c>
      <c r="B270" s="34">
        <v>6440</v>
      </c>
      <c r="C270" s="31" t="s">
        <v>674</v>
      </c>
    </row>
    <row r="271" spans="1:3" ht="14.25" customHeight="1" x14ac:dyDescent="0.3">
      <c r="A271" s="29" t="s">
        <v>675</v>
      </c>
      <c r="B271" s="34">
        <v>2689</v>
      </c>
      <c r="C271" s="31" t="s">
        <v>676</v>
      </c>
    </row>
    <row r="272" spans="1:3" ht="28.5" customHeight="1" x14ac:dyDescent="0.3">
      <c r="A272" s="23" t="s">
        <v>677</v>
      </c>
      <c r="B272" s="34">
        <v>1300</v>
      </c>
      <c r="C272" s="31" t="s">
        <v>678</v>
      </c>
    </row>
    <row r="273" spans="1:3" ht="14.25" customHeight="1" x14ac:dyDescent="0.3">
      <c r="A273" s="29" t="s">
        <v>1093</v>
      </c>
      <c r="B273" s="34">
        <v>3350</v>
      </c>
      <c r="C273" s="31" t="s">
        <v>679</v>
      </c>
    </row>
    <row r="274" spans="1:3" ht="14.25" customHeight="1" x14ac:dyDescent="0.3">
      <c r="A274" s="29" t="s">
        <v>680</v>
      </c>
      <c r="B274" s="30">
        <v>975</v>
      </c>
      <c r="C274" s="31" t="s">
        <v>681</v>
      </c>
    </row>
    <row r="275" spans="1:3" ht="14.25" customHeight="1" x14ac:dyDescent="0.3">
      <c r="A275" s="29" t="s">
        <v>682</v>
      </c>
      <c r="B275" s="34">
        <v>4176</v>
      </c>
      <c r="C275" s="31" t="s">
        <v>683</v>
      </c>
    </row>
    <row r="276" spans="1:3" ht="14.25" customHeight="1" x14ac:dyDescent="0.3">
      <c r="A276" s="29" t="s">
        <v>684</v>
      </c>
      <c r="B276" s="34">
        <v>3850</v>
      </c>
      <c r="C276" s="31" t="s">
        <v>685</v>
      </c>
    </row>
    <row r="277" spans="1:3" ht="14.25" customHeight="1" x14ac:dyDescent="0.3">
      <c r="A277" s="29" t="s">
        <v>686</v>
      </c>
      <c r="B277" s="34">
        <v>5250</v>
      </c>
      <c r="C277" s="31" t="s">
        <v>687</v>
      </c>
    </row>
    <row r="278" spans="1:3" ht="14.25" customHeight="1" x14ac:dyDescent="0.3">
      <c r="A278" s="29" t="s">
        <v>688</v>
      </c>
      <c r="B278" s="30">
        <v>395</v>
      </c>
      <c r="C278" s="31" t="s">
        <v>689</v>
      </c>
    </row>
    <row r="279" spans="1:3" ht="14.25" customHeight="1" x14ac:dyDescent="0.3">
      <c r="A279" s="29" t="s">
        <v>690</v>
      </c>
      <c r="B279" s="34">
        <v>1285</v>
      </c>
      <c r="C279" s="31" t="s">
        <v>691</v>
      </c>
    </row>
    <row r="280" spans="1:3" ht="14.25" customHeight="1" x14ac:dyDescent="0.3">
      <c r="A280" s="29" t="s">
        <v>692</v>
      </c>
      <c r="B280" s="30">
        <v>995</v>
      </c>
      <c r="C280" s="31" t="s">
        <v>693</v>
      </c>
    </row>
    <row r="281" spans="1:3" ht="14.25" customHeight="1" x14ac:dyDescent="0.3">
      <c r="A281" s="29" t="s">
        <v>694</v>
      </c>
      <c r="B281" s="30">
        <v>485</v>
      </c>
      <c r="C281" s="31" t="s">
        <v>695</v>
      </c>
    </row>
    <row r="282" spans="1:3" ht="14.25" customHeight="1" x14ac:dyDescent="0.3">
      <c r="A282" s="29" t="s">
        <v>696</v>
      </c>
      <c r="B282" s="30">
        <v>545</v>
      </c>
      <c r="C282" s="31" t="s">
        <v>697</v>
      </c>
    </row>
    <row r="283" spans="1:3" ht="14.25" customHeight="1" x14ac:dyDescent="0.3">
      <c r="A283" s="29" t="s">
        <v>698</v>
      </c>
      <c r="B283" s="34">
        <v>2989</v>
      </c>
      <c r="C283" s="31" t="s">
        <v>699</v>
      </c>
    </row>
    <row r="284" spans="1:3" ht="14.25" customHeight="1" x14ac:dyDescent="0.3">
      <c r="A284" s="29" t="s">
        <v>700</v>
      </c>
      <c r="B284" s="34">
        <v>1395</v>
      </c>
      <c r="C284" s="31" t="s">
        <v>701</v>
      </c>
    </row>
    <row r="285" spans="1:3" ht="14.25" customHeight="1" x14ac:dyDescent="0.3">
      <c r="A285" s="29" t="s">
        <v>702</v>
      </c>
      <c r="B285" s="30">
        <v>350</v>
      </c>
      <c r="C285" s="31" t="s">
        <v>703</v>
      </c>
    </row>
    <row r="286" spans="1:3" ht="14.25" customHeight="1" x14ac:dyDescent="0.3">
      <c r="A286" s="29" t="s">
        <v>704</v>
      </c>
      <c r="B286" s="34">
        <v>2115</v>
      </c>
      <c r="C286" s="31" t="s">
        <v>705</v>
      </c>
    </row>
    <row r="287" spans="1:3" ht="14.25" customHeight="1" x14ac:dyDescent="0.3">
      <c r="A287" s="29" t="s">
        <v>706</v>
      </c>
      <c r="B287" s="34">
        <v>2455</v>
      </c>
      <c r="C287" s="31" t="s">
        <v>707</v>
      </c>
    </row>
    <row r="288" spans="1:3" ht="14.25" customHeight="1" x14ac:dyDescent="0.3">
      <c r="A288" s="29" t="s">
        <v>708</v>
      </c>
      <c r="B288" s="34">
        <v>1230</v>
      </c>
      <c r="C288" s="31" t="s">
        <v>709</v>
      </c>
    </row>
    <row r="289" spans="1:3" ht="14.25" customHeight="1" x14ac:dyDescent="0.3">
      <c r="A289" s="29" t="s">
        <v>710</v>
      </c>
      <c r="B289" s="34">
        <v>1130</v>
      </c>
      <c r="C289" s="31" t="s">
        <v>711</v>
      </c>
    </row>
    <row r="290" spans="1:3" ht="14.25" customHeight="1" x14ac:dyDescent="0.3">
      <c r="A290" s="29" t="s">
        <v>712</v>
      </c>
      <c r="B290" s="30">
        <v>725</v>
      </c>
      <c r="C290" s="31" t="s">
        <v>713</v>
      </c>
    </row>
    <row r="291" spans="1:3" ht="14.25" customHeight="1" x14ac:dyDescent="0.3">
      <c r="A291" s="29" t="s">
        <v>714</v>
      </c>
      <c r="B291" s="34">
        <v>1650</v>
      </c>
      <c r="C291" s="31" t="s">
        <v>715</v>
      </c>
    </row>
    <row r="292" spans="1:3" ht="14.25" customHeight="1" x14ac:dyDescent="0.3">
      <c r="A292" s="29" t="s">
        <v>716</v>
      </c>
      <c r="B292" s="34">
        <v>1850</v>
      </c>
      <c r="C292" s="31" t="s">
        <v>717</v>
      </c>
    </row>
    <row r="293" spans="1:3" ht="14.25" customHeight="1" x14ac:dyDescent="0.3">
      <c r="A293" s="29" t="s">
        <v>718</v>
      </c>
      <c r="B293" s="34">
        <v>2950</v>
      </c>
      <c r="C293" s="31" t="s">
        <v>719</v>
      </c>
    </row>
    <row r="294" spans="1:3" ht="14.25" customHeight="1" x14ac:dyDescent="0.3">
      <c r="A294" s="29" t="s">
        <v>720</v>
      </c>
      <c r="B294" s="30">
        <v>995</v>
      </c>
      <c r="C294" s="31" t="s">
        <v>721</v>
      </c>
    </row>
    <row r="295" spans="1:3" ht="14.25" customHeight="1" x14ac:dyDescent="0.3">
      <c r="A295" s="29" t="s">
        <v>722</v>
      </c>
      <c r="B295" s="30">
        <v>565</v>
      </c>
      <c r="C295" s="31" t="s">
        <v>723</v>
      </c>
    </row>
    <row r="296" spans="1:3" ht="14.25" customHeight="1" x14ac:dyDescent="0.3">
      <c r="A296" s="29" t="s">
        <v>724</v>
      </c>
      <c r="B296" s="30">
        <v>605</v>
      </c>
      <c r="C296" s="31" t="s">
        <v>725</v>
      </c>
    </row>
    <row r="297" spans="1:3" ht="28.5" customHeight="1" x14ac:dyDescent="0.3">
      <c r="A297" s="23" t="s">
        <v>726</v>
      </c>
      <c r="B297" s="34">
        <v>1125</v>
      </c>
      <c r="C297" s="31" t="s">
        <v>727</v>
      </c>
    </row>
    <row r="298" spans="1:3" ht="14.25" customHeight="1" x14ac:dyDescent="0.3">
      <c r="A298" s="29" t="s">
        <v>728</v>
      </c>
      <c r="B298" s="30">
        <v>605</v>
      </c>
      <c r="C298" s="31" t="s">
        <v>729</v>
      </c>
    </row>
    <row r="299" spans="1:3" ht="14.25" customHeight="1" x14ac:dyDescent="0.3">
      <c r="A299" s="29" t="s">
        <v>730</v>
      </c>
      <c r="B299" s="30">
        <v>475</v>
      </c>
      <c r="C299" s="31" t="s">
        <v>731</v>
      </c>
    </row>
    <row r="300" spans="1:3" ht="14.25" customHeight="1" x14ac:dyDescent="0.3">
      <c r="A300" s="29" t="s">
        <v>732</v>
      </c>
      <c r="B300" s="30">
        <v>175</v>
      </c>
      <c r="C300" s="31" t="s">
        <v>733</v>
      </c>
    </row>
    <row r="301" spans="1:3" ht="14.25" customHeight="1" x14ac:dyDescent="0.3">
      <c r="A301" s="29" t="s">
        <v>734</v>
      </c>
      <c r="B301" s="34">
        <v>1125</v>
      </c>
      <c r="C301" s="31" t="s">
        <v>735</v>
      </c>
    </row>
    <row r="302" spans="1:3" ht="14.25" customHeight="1" x14ac:dyDescent="0.3">
      <c r="A302" s="29" t="s">
        <v>736</v>
      </c>
      <c r="B302" s="34">
        <v>1005</v>
      </c>
      <c r="C302" s="31" t="s">
        <v>737</v>
      </c>
    </row>
    <row r="303" spans="1:3" ht="14.25" customHeight="1" x14ac:dyDescent="0.3">
      <c r="A303" s="29" t="s">
        <v>738</v>
      </c>
      <c r="B303" s="30">
        <v>150</v>
      </c>
      <c r="C303" s="31" t="s">
        <v>739</v>
      </c>
    </row>
    <row r="304" spans="1:3" ht="14.25" customHeight="1" x14ac:dyDescent="0.3">
      <c r="A304" s="29" t="s">
        <v>740</v>
      </c>
      <c r="B304" s="34">
        <v>3800</v>
      </c>
      <c r="C304" s="31" t="s">
        <v>741</v>
      </c>
    </row>
    <row r="305" spans="1:3" ht="14.25" customHeight="1" x14ac:dyDescent="0.3">
      <c r="A305" s="29" t="s">
        <v>742</v>
      </c>
      <c r="B305" s="30">
        <v>450</v>
      </c>
      <c r="C305" s="31" t="s">
        <v>743</v>
      </c>
    </row>
    <row r="306" spans="1:3" ht="14.25" customHeight="1" x14ac:dyDescent="0.3">
      <c r="A306" s="29" t="s">
        <v>744</v>
      </c>
      <c r="B306" s="30">
        <v>750</v>
      </c>
      <c r="C306" s="31" t="s">
        <v>745</v>
      </c>
    </row>
    <row r="307" spans="1:3" ht="14.25" customHeight="1" x14ac:dyDescent="0.3">
      <c r="A307" s="29" t="s">
        <v>746</v>
      </c>
      <c r="B307" s="30">
        <v>400</v>
      </c>
      <c r="C307" s="31" t="s">
        <v>747</v>
      </c>
    </row>
    <row r="308" spans="1:3" ht="14.25" customHeight="1" x14ac:dyDescent="0.3">
      <c r="A308" s="29" t="s">
        <v>748</v>
      </c>
      <c r="B308" s="34">
        <v>4800</v>
      </c>
      <c r="C308" s="31" t="s">
        <v>749</v>
      </c>
    </row>
    <row r="309" spans="1:3" ht="14.25" customHeight="1" x14ac:dyDescent="0.25">
      <c r="A309" s="27" t="s">
        <v>750</v>
      </c>
      <c r="B309" s="28"/>
      <c r="C309" s="28"/>
    </row>
    <row r="310" spans="1:3" ht="14.25" customHeight="1" x14ac:dyDescent="0.3">
      <c r="A310" s="29" t="s">
        <v>751</v>
      </c>
      <c r="B310" s="30">
        <v>300</v>
      </c>
      <c r="C310" s="31" t="s">
        <v>752</v>
      </c>
    </row>
    <row r="311" spans="1:3" ht="14.25" customHeight="1" x14ac:dyDescent="0.3">
      <c r="A311" s="29" t="s">
        <v>753</v>
      </c>
      <c r="B311" s="30">
        <v>350</v>
      </c>
      <c r="C311" s="31" t="s">
        <v>754</v>
      </c>
    </row>
    <row r="312" spans="1:3" ht="14.25" customHeight="1" x14ac:dyDescent="0.3">
      <c r="A312" s="29" t="s">
        <v>755</v>
      </c>
      <c r="B312" s="30">
        <v>185</v>
      </c>
      <c r="C312" s="31" t="s">
        <v>756</v>
      </c>
    </row>
    <row r="313" spans="1:3" ht="14.25" customHeight="1" x14ac:dyDescent="0.3">
      <c r="A313" s="29" t="s">
        <v>757</v>
      </c>
      <c r="B313" s="30">
        <v>700</v>
      </c>
      <c r="C313" s="31" t="s">
        <v>758</v>
      </c>
    </row>
    <row r="314" spans="1:3" ht="14.25" customHeight="1" x14ac:dyDescent="0.3">
      <c r="A314" s="29" t="s">
        <v>759</v>
      </c>
      <c r="B314" s="34">
        <v>1285</v>
      </c>
      <c r="C314" s="31" t="s">
        <v>760</v>
      </c>
    </row>
    <row r="315" spans="1:3" ht="14.25" customHeight="1" x14ac:dyDescent="0.3">
      <c r="A315" s="29" t="s">
        <v>761</v>
      </c>
      <c r="B315" s="34">
        <v>1395</v>
      </c>
      <c r="C315" s="31" t="s">
        <v>762</v>
      </c>
    </row>
    <row r="316" spans="1:3" ht="14.25" customHeight="1" x14ac:dyDescent="0.25">
      <c r="A316" s="27" t="s">
        <v>763</v>
      </c>
      <c r="B316" s="28"/>
      <c r="C316" s="28"/>
    </row>
    <row r="317" spans="1:3" ht="14.25" customHeight="1" x14ac:dyDescent="0.3">
      <c r="A317" s="29" t="s">
        <v>764</v>
      </c>
      <c r="B317" s="30">
        <v>550</v>
      </c>
      <c r="C317" s="31" t="s">
        <v>765</v>
      </c>
    </row>
    <row r="318" spans="1:3" ht="14.25" customHeight="1" x14ac:dyDescent="0.3">
      <c r="A318" s="29" t="s">
        <v>766</v>
      </c>
      <c r="B318" s="34">
        <v>1330</v>
      </c>
      <c r="C318" s="31" t="s">
        <v>767</v>
      </c>
    </row>
    <row r="319" spans="1:3" ht="14.25" customHeight="1" x14ac:dyDescent="0.3">
      <c r="A319" s="29" t="s">
        <v>768</v>
      </c>
      <c r="B319" s="34">
        <v>1230</v>
      </c>
      <c r="C319" s="31" t="s">
        <v>769</v>
      </c>
    </row>
    <row r="320" spans="1:3" ht="14.25" customHeight="1" x14ac:dyDescent="0.3">
      <c r="A320" s="29" t="s">
        <v>770</v>
      </c>
      <c r="B320" s="34">
        <v>1320</v>
      </c>
      <c r="C320" s="31" t="s">
        <v>771</v>
      </c>
    </row>
    <row r="321" spans="1:3" ht="14.25" customHeight="1" x14ac:dyDescent="0.3">
      <c r="A321" s="29" t="s">
        <v>772</v>
      </c>
      <c r="B321" s="34">
        <v>1220</v>
      </c>
      <c r="C321" s="31" t="s">
        <v>773</v>
      </c>
    </row>
    <row r="322" spans="1:3" ht="14.25" customHeight="1" x14ac:dyDescent="0.3">
      <c r="A322" s="29" t="s">
        <v>774</v>
      </c>
      <c r="B322" s="30">
        <v>315</v>
      </c>
      <c r="C322" s="31" t="s">
        <v>775</v>
      </c>
    </row>
    <row r="323" spans="1:3" ht="14.25" customHeight="1" x14ac:dyDescent="0.3">
      <c r="A323" s="29" t="s">
        <v>776</v>
      </c>
      <c r="B323" s="30">
        <v>825</v>
      </c>
      <c r="C323" s="31" t="s">
        <v>777</v>
      </c>
    </row>
    <row r="324" spans="1:3" ht="28.5" customHeight="1" x14ac:dyDescent="0.3">
      <c r="A324" s="23" t="s">
        <v>778</v>
      </c>
      <c r="B324" s="34">
        <v>1045</v>
      </c>
      <c r="C324" s="31" t="s">
        <v>779</v>
      </c>
    </row>
    <row r="325" spans="1:3" ht="14.25" customHeight="1" x14ac:dyDescent="0.3">
      <c r="A325" s="29" t="s">
        <v>780</v>
      </c>
      <c r="B325" s="30">
        <v>812</v>
      </c>
      <c r="C325" s="31" t="s">
        <v>781</v>
      </c>
    </row>
    <row r="326" spans="1:3" ht="14.25" customHeight="1" x14ac:dyDescent="0.3">
      <c r="A326" s="29" t="s">
        <v>782</v>
      </c>
      <c r="B326" s="30">
        <v>215</v>
      </c>
      <c r="C326" s="31" t="s">
        <v>783</v>
      </c>
    </row>
    <row r="327" spans="1:3" ht="14.25" customHeight="1" x14ac:dyDescent="0.3">
      <c r="A327" s="29" t="s">
        <v>784</v>
      </c>
      <c r="B327" s="30">
        <v>440</v>
      </c>
      <c r="C327" s="31" t="s">
        <v>785</v>
      </c>
    </row>
    <row r="328" spans="1:3" ht="14.25" customHeight="1" x14ac:dyDescent="0.3">
      <c r="A328" s="29" t="s">
        <v>786</v>
      </c>
      <c r="B328" s="34">
        <v>1010</v>
      </c>
      <c r="C328" s="31" t="s">
        <v>787</v>
      </c>
    </row>
    <row r="329" spans="1:3" ht="14.25" customHeight="1" x14ac:dyDescent="0.3">
      <c r="A329" s="29" t="s">
        <v>788</v>
      </c>
      <c r="B329" s="30">
        <v>700</v>
      </c>
      <c r="C329" s="31" t="s">
        <v>789</v>
      </c>
    </row>
    <row r="330" spans="1:3" ht="14.25" customHeight="1" x14ac:dyDescent="0.25">
      <c r="A330" s="27" t="s">
        <v>790</v>
      </c>
      <c r="B330" s="28"/>
      <c r="C330" s="28"/>
    </row>
    <row r="331" spans="1:3" ht="14.25" customHeight="1" x14ac:dyDescent="0.3">
      <c r="A331" s="29" t="s">
        <v>791</v>
      </c>
      <c r="B331" s="30">
        <v>500</v>
      </c>
      <c r="C331" s="31" t="s">
        <v>792</v>
      </c>
    </row>
    <row r="332" spans="1:3" ht="14.25" customHeight="1" x14ac:dyDescent="0.3">
      <c r="A332" s="29" t="s">
        <v>793</v>
      </c>
      <c r="B332" s="30">
        <v>900</v>
      </c>
      <c r="C332" s="31" t="s">
        <v>794</v>
      </c>
    </row>
    <row r="333" spans="1:3" ht="14.25" customHeight="1" x14ac:dyDescent="0.3">
      <c r="A333" s="29" t="s">
        <v>795</v>
      </c>
      <c r="B333" s="34">
        <v>1500</v>
      </c>
      <c r="C333" s="31" t="s">
        <v>796</v>
      </c>
    </row>
    <row r="334" spans="1:3" ht="14.25" customHeight="1" x14ac:dyDescent="0.3">
      <c r="A334" s="29" t="s">
        <v>797</v>
      </c>
      <c r="B334" s="30">
        <v>800</v>
      </c>
      <c r="C334" s="31" t="s">
        <v>798</v>
      </c>
    </row>
    <row r="335" spans="1:3" ht="14.25" customHeight="1" x14ac:dyDescent="0.3">
      <c r="A335" s="29" t="s">
        <v>799</v>
      </c>
      <c r="B335" s="30">
        <v>260</v>
      </c>
      <c r="C335" s="31" t="s">
        <v>800</v>
      </c>
    </row>
    <row r="336" spans="1:3" ht="14.25" customHeight="1" x14ac:dyDescent="0.3">
      <c r="A336" s="29" t="s">
        <v>801</v>
      </c>
      <c r="B336" s="34">
        <v>1800</v>
      </c>
      <c r="C336" s="31" t="s">
        <v>802</v>
      </c>
    </row>
    <row r="337" spans="1:3" ht="14.25" customHeight="1" x14ac:dyDescent="0.3">
      <c r="A337" s="29" t="s">
        <v>803</v>
      </c>
      <c r="B337" s="30">
        <v>330</v>
      </c>
      <c r="C337" s="31" t="s">
        <v>804</v>
      </c>
    </row>
    <row r="338" spans="1:3" ht="14.25" customHeight="1" x14ac:dyDescent="0.3">
      <c r="A338" s="29" t="s">
        <v>805</v>
      </c>
      <c r="B338" s="34">
        <v>3980</v>
      </c>
      <c r="C338" s="31" t="s">
        <v>806</v>
      </c>
    </row>
    <row r="339" spans="1:3" ht="14.25" customHeight="1" x14ac:dyDescent="0.3">
      <c r="A339" s="29" t="s">
        <v>807</v>
      </c>
      <c r="B339" s="34">
        <v>3100</v>
      </c>
      <c r="C339" s="31" t="s">
        <v>808</v>
      </c>
    </row>
    <row r="340" spans="1:3" ht="14.25" customHeight="1" x14ac:dyDescent="0.3">
      <c r="A340" s="29" t="s">
        <v>809</v>
      </c>
      <c r="B340" s="34">
        <v>1120</v>
      </c>
      <c r="C340" s="31" t="s">
        <v>810</v>
      </c>
    </row>
    <row r="341" spans="1:3" ht="14.25" customHeight="1" x14ac:dyDescent="0.3">
      <c r="A341" s="29" t="s">
        <v>811</v>
      </c>
      <c r="B341" s="30">
        <v>350</v>
      </c>
      <c r="C341" s="31" t="s">
        <v>812</v>
      </c>
    </row>
    <row r="342" spans="1:3" ht="14.25" customHeight="1" x14ac:dyDescent="0.3">
      <c r="A342" s="29" t="s">
        <v>813</v>
      </c>
      <c r="B342" s="30">
        <v>190</v>
      </c>
      <c r="C342" s="31" t="s">
        <v>814</v>
      </c>
    </row>
    <row r="343" spans="1:3" ht="14.25" customHeight="1" x14ac:dyDescent="0.3">
      <c r="A343" s="29" t="s">
        <v>815</v>
      </c>
      <c r="B343" s="34">
        <v>1900</v>
      </c>
      <c r="C343" s="31" t="s">
        <v>816</v>
      </c>
    </row>
    <row r="344" spans="1:3" ht="14.25" customHeight="1" x14ac:dyDescent="0.3">
      <c r="A344" s="29" t="s">
        <v>817</v>
      </c>
      <c r="B344" s="30">
        <v>800</v>
      </c>
      <c r="C344" s="31" t="s">
        <v>818</v>
      </c>
    </row>
    <row r="345" spans="1:3" ht="14.25" customHeight="1" x14ac:dyDescent="0.3">
      <c r="A345" s="29" t="s">
        <v>819</v>
      </c>
      <c r="B345" s="34">
        <v>2950</v>
      </c>
      <c r="C345" s="31" t="s">
        <v>820</v>
      </c>
    </row>
    <row r="346" spans="1:3" ht="14.25" customHeight="1" x14ac:dyDescent="0.3">
      <c r="A346" s="29" t="s">
        <v>821</v>
      </c>
      <c r="B346" s="30">
        <v>980</v>
      </c>
      <c r="C346" s="31" t="s">
        <v>822</v>
      </c>
    </row>
    <row r="347" spans="1:3" ht="14.25" customHeight="1" x14ac:dyDescent="0.3">
      <c r="A347" s="29" t="s">
        <v>823</v>
      </c>
      <c r="B347" s="34">
        <v>1550</v>
      </c>
      <c r="C347" s="31" t="s">
        <v>824</v>
      </c>
    </row>
    <row r="348" spans="1:3" ht="14.25" customHeight="1" x14ac:dyDescent="0.3">
      <c r="A348" s="29" t="s">
        <v>825</v>
      </c>
      <c r="B348" s="34">
        <v>1550</v>
      </c>
      <c r="C348" s="31" t="s">
        <v>826</v>
      </c>
    </row>
    <row r="349" spans="1:3" ht="14.25" customHeight="1" x14ac:dyDescent="0.3">
      <c r="A349" s="29" t="s">
        <v>827</v>
      </c>
      <c r="B349" s="30">
        <v>400</v>
      </c>
      <c r="C349" s="31" t="s">
        <v>828</v>
      </c>
    </row>
    <row r="350" spans="1:3" ht="14.25" customHeight="1" x14ac:dyDescent="0.3">
      <c r="A350" s="29" t="s">
        <v>829</v>
      </c>
      <c r="B350" s="34">
        <v>2800</v>
      </c>
      <c r="C350" s="31" t="s">
        <v>830</v>
      </c>
    </row>
    <row r="351" spans="1:3" ht="14.25" customHeight="1" x14ac:dyDescent="0.3">
      <c r="A351" s="29" t="s">
        <v>831</v>
      </c>
      <c r="B351" s="30">
        <v>385</v>
      </c>
      <c r="C351" s="31" t="s">
        <v>832</v>
      </c>
    </row>
    <row r="352" spans="1:3" ht="14.25" customHeight="1" x14ac:dyDescent="0.3">
      <c r="A352" s="29" t="s">
        <v>833</v>
      </c>
      <c r="B352" s="34">
        <v>3675</v>
      </c>
      <c r="C352" s="31" t="s">
        <v>834</v>
      </c>
    </row>
    <row r="353" spans="1:3" ht="14.25" customHeight="1" x14ac:dyDescent="0.3">
      <c r="A353" s="29" t="s">
        <v>835</v>
      </c>
      <c r="B353" s="30">
        <v>995</v>
      </c>
      <c r="C353" s="31" t="s">
        <v>836</v>
      </c>
    </row>
    <row r="354" spans="1:3" ht="14.25" customHeight="1" x14ac:dyDescent="0.3">
      <c r="A354" s="29" t="s">
        <v>837</v>
      </c>
      <c r="B354" s="34">
        <v>1450</v>
      </c>
      <c r="C354" s="31" t="s">
        <v>838</v>
      </c>
    </row>
    <row r="355" spans="1:3" ht="14.25" customHeight="1" x14ac:dyDescent="0.3">
      <c r="A355" s="29" t="s">
        <v>839</v>
      </c>
      <c r="B355" s="34">
        <v>1450</v>
      </c>
      <c r="C355" s="31" t="s">
        <v>840</v>
      </c>
    </row>
    <row r="356" spans="1:3" ht="14.25" customHeight="1" x14ac:dyDescent="0.3">
      <c r="A356" s="29" t="s">
        <v>841</v>
      </c>
      <c r="B356" s="30">
        <v>550</v>
      </c>
      <c r="C356" s="31" t="s">
        <v>842</v>
      </c>
    </row>
    <row r="357" spans="1:3" ht="14.25" customHeight="1" x14ac:dyDescent="0.3">
      <c r="A357" s="29" t="s">
        <v>843</v>
      </c>
      <c r="B357" s="30">
        <v>200</v>
      </c>
      <c r="C357" s="31" t="s">
        <v>844</v>
      </c>
    </row>
    <row r="358" spans="1:3" ht="14.25" customHeight="1" x14ac:dyDescent="0.25">
      <c r="A358" s="35" t="s">
        <v>845</v>
      </c>
      <c r="B358" s="28"/>
      <c r="C358" s="28"/>
    </row>
    <row r="359" spans="1:3" ht="14.25" customHeight="1" x14ac:dyDescent="0.3">
      <c r="A359" s="29" t="s">
        <v>846</v>
      </c>
      <c r="B359" s="30">
        <v>425</v>
      </c>
      <c r="C359" s="31" t="s">
        <v>847</v>
      </c>
    </row>
    <row r="360" spans="1:3" ht="14.25" customHeight="1" x14ac:dyDescent="0.3">
      <c r="A360" s="29" t="s">
        <v>848</v>
      </c>
      <c r="B360" s="30">
        <v>585</v>
      </c>
      <c r="C360" s="31" t="s">
        <v>849</v>
      </c>
    </row>
    <row r="361" spans="1:3" ht="14.25" customHeight="1" x14ac:dyDescent="0.3">
      <c r="A361" s="29" t="s">
        <v>850</v>
      </c>
      <c r="B361" s="30">
        <v>95</v>
      </c>
      <c r="C361" s="31" t="s">
        <v>851</v>
      </c>
    </row>
    <row r="362" spans="1:3" ht="14.25" customHeight="1" x14ac:dyDescent="0.3">
      <c r="A362" s="29" t="s">
        <v>852</v>
      </c>
      <c r="B362" s="30">
        <v>575</v>
      </c>
      <c r="C362" s="31" t="s">
        <v>853</v>
      </c>
    </row>
    <row r="363" spans="1:3" ht="14.25" customHeight="1" x14ac:dyDescent="0.3">
      <c r="A363" s="29" t="s">
        <v>854</v>
      </c>
      <c r="B363" s="30">
        <v>393</v>
      </c>
      <c r="C363" s="31" t="s">
        <v>855</v>
      </c>
    </row>
    <row r="364" spans="1:3" ht="14.25" customHeight="1" x14ac:dyDescent="0.3">
      <c r="A364" s="29" t="s">
        <v>856</v>
      </c>
      <c r="B364" s="30">
        <v>485</v>
      </c>
      <c r="C364" s="31" t="s">
        <v>857</v>
      </c>
    </row>
    <row r="365" spans="1:3" ht="14.25" customHeight="1" x14ac:dyDescent="0.3">
      <c r="A365" s="29" t="s">
        <v>858</v>
      </c>
      <c r="B365" s="30">
        <v>695</v>
      </c>
      <c r="C365" s="31" t="s">
        <v>859</v>
      </c>
    </row>
    <row r="366" spans="1:3" ht="14.25" customHeight="1" x14ac:dyDescent="0.3">
      <c r="A366" s="29" t="s">
        <v>860</v>
      </c>
      <c r="B366" s="30">
        <v>855</v>
      </c>
      <c r="C366" s="31" t="s">
        <v>861</v>
      </c>
    </row>
    <row r="367" spans="1:3" ht="14.25" customHeight="1" x14ac:dyDescent="0.3">
      <c r="A367" s="29" t="s">
        <v>862</v>
      </c>
      <c r="B367" s="30">
        <v>600</v>
      </c>
      <c r="C367" s="31" t="s">
        <v>863</v>
      </c>
    </row>
    <row r="368" spans="1:3" ht="14.25" customHeight="1" x14ac:dyDescent="0.3">
      <c r="A368" s="29" t="s">
        <v>864</v>
      </c>
      <c r="B368" s="30">
        <v>900</v>
      </c>
      <c r="C368" s="31" t="s">
        <v>865</v>
      </c>
    </row>
    <row r="369" spans="1:3" ht="28.5" customHeight="1" x14ac:dyDescent="0.3">
      <c r="A369" s="23" t="s">
        <v>866</v>
      </c>
      <c r="B369" s="30">
        <v>880</v>
      </c>
      <c r="C369" s="31" t="s">
        <v>867</v>
      </c>
    </row>
    <row r="370" spans="1:3" ht="14.25" customHeight="1" x14ac:dyDescent="0.3">
      <c r="A370" s="29" t="s">
        <v>868</v>
      </c>
      <c r="B370" s="34">
        <v>1350</v>
      </c>
      <c r="C370" s="31" t="s">
        <v>869</v>
      </c>
    </row>
    <row r="371" spans="1:3" ht="14.25" customHeight="1" x14ac:dyDescent="0.3">
      <c r="A371" s="29" t="s">
        <v>870</v>
      </c>
      <c r="B371" s="30">
        <v>880</v>
      </c>
      <c r="C371" s="31" t="s">
        <v>871</v>
      </c>
    </row>
    <row r="372" spans="1:3" ht="14.25" customHeight="1" x14ac:dyDescent="0.3">
      <c r="A372" s="29" t="s">
        <v>872</v>
      </c>
      <c r="B372" s="30">
        <v>750</v>
      </c>
      <c r="C372" s="31" t="s">
        <v>873</v>
      </c>
    </row>
    <row r="373" spans="1:3" ht="14.25" customHeight="1" x14ac:dyDescent="0.3">
      <c r="A373" s="29" t="s">
        <v>874</v>
      </c>
      <c r="B373" s="30">
        <v>92</v>
      </c>
      <c r="C373" s="31" t="s">
        <v>875</v>
      </c>
    </row>
    <row r="374" spans="1:3" ht="14.25" customHeight="1" x14ac:dyDescent="0.3">
      <c r="A374" s="29" t="s">
        <v>876</v>
      </c>
      <c r="B374" s="30">
        <v>213</v>
      </c>
      <c r="C374" s="31" t="s">
        <v>877</v>
      </c>
    </row>
    <row r="375" spans="1:3" ht="14.25" customHeight="1" x14ac:dyDescent="0.3">
      <c r="A375" s="29" t="s">
        <v>878</v>
      </c>
      <c r="B375" s="30">
        <v>107</v>
      </c>
      <c r="C375" s="31" t="s">
        <v>879</v>
      </c>
    </row>
    <row r="376" spans="1:3" ht="14.25" customHeight="1" x14ac:dyDescent="0.3">
      <c r="A376" s="29" t="s">
        <v>880</v>
      </c>
      <c r="B376" s="30">
        <v>256</v>
      </c>
      <c r="C376" s="31" t="s">
        <v>881</v>
      </c>
    </row>
    <row r="377" spans="1:3" ht="14.25" customHeight="1" x14ac:dyDescent="0.3">
      <c r="A377" s="29" t="s">
        <v>882</v>
      </c>
      <c r="B377" s="30">
        <v>148</v>
      </c>
      <c r="C377" s="31" t="s">
        <v>883</v>
      </c>
    </row>
    <row r="378" spans="1:3" ht="14.25" customHeight="1" x14ac:dyDescent="0.3">
      <c r="A378" s="29" t="s">
        <v>884</v>
      </c>
      <c r="B378" s="30">
        <v>973</v>
      </c>
      <c r="C378" s="31" t="s">
        <v>885</v>
      </c>
    </row>
    <row r="379" spans="1:3" ht="14.25" customHeight="1" x14ac:dyDescent="0.3">
      <c r="A379" s="29" t="s">
        <v>886</v>
      </c>
      <c r="B379" s="30">
        <v>515</v>
      </c>
      <c r="C379" s="31" t="s">
        <v>887</v>
      </c>
    </row>
    <row r="380" spans="1:3" ht="14.25" customHeight="1" x14ac:dyDescent="0.3">
      <c r="A380" s="29" t="s">
        <v>888</v>
      </c>
      <c r="B380" s="30">
        <v>809</v>
      </c>
      <c r="C380" s="31" t="s">
        <v>889</v>
      </c>
    </row>
    <row r="381" spans="1:3" ht="14.25" customHeight="1" x14ac:dyDescent="0.3">
      <c r="A381" s="29" t="s">
        <v>890</v>
      </c>
      <c r="B381" s="30">
        <v>809</v>
      </c>
      <c r="C381" s="31" t="s">
        <v>891</v>
      </c>
    </row>
    <row r="382" spans="1:3" ht="14.25" customHeight="1" x14ac:dyDescent="0.3">
      <c r="A382" s="29" t="s">
        <v>892</v>
      </c>
      <c r="B382" s="30">
        <v>550</v>
      </c>
      <c r="C382" s="31" t="s">
        <v>893</v>
      </c>
    </row>
    <row r="383" spans="1:3" ht="14.25" customHeight="1" x14ac:dyDescent="0.3">
      <c r="A383" s="29" t="s">
        <v>894</v>
      </c>
      <c r="B383" s="34">
        <v>1470</v>
      </c>
      <c r="C383" s="31" t="s">
        <v>895</v>
      </c>
    </row>
    <row r="384" spans="1:3" ht="14.25" customHeight="1" x14ac:dyDescent="0.3">
      <c r="A384" s="29" t="s">
        <v>896</v>
      </c>
      <c r="B384" s="30">
        <v>850</v>
      </c>
      <c r="C384" s="31" t="s">
        <v>897</v>
      </c>
    </row>
    <row r="385" spans="1:3" ht="14.25" customHeight="1" x14ac:dyDescent="0.3">
      <c r="A385" s="29" t="s">
        <v>898</v>
      </c>
      <c r="B385" s="30">
        <v>950</v>
      </c>
      <c r="C385" s="31" t="s">
        <v>899</v>
      </c>
    </row>
    <row r="386" spans="1:3" ht="14.25" customHeight="1" x14ac:dyDescent="0.3">
      <c r="A386" s="29" t="s">
        <v>900</v>
      </c>
      <c r="B386" s="34">
        <v>1050</v>
      </c>
      <c r="C386" s="31" t="s">
        <v>901</v>
      </c>
    </row>
    <row r="387" spans="1:3" ht="14.25" customHeight="1" x14ac:dyDescent="0.3">
      <c r="A387" s="29" t="s">
        <v>902</v>
      </c>
      <c r="B387" s="34">
        <v>1470</v>
      </c>
      <c r="C387" s="31" t="s">
        <v>903</v>
      </c>
    </row>
    <row r="388" spans="1:3" ht="14.25" customHeight="1" x14ac:dyDescent="0.3">
      <c r="A388" s="29" t="s">
        <v>904</v>
      </c>
      <c r="B388" s="34">
        <v>2205</v>
      </c>
      <c r="C388" s="31" t="s">
        <v>905</v>
      </c>
    </row>
    <row r="389" spans="1:3" ht="14.25" customHeight="1" x14ac:dyDescent="0.3">
      <c r="A389" s="29" t="s">
        <v>906</v>
      </c>
      <c r="B389" s="34">
        <v>2127</v>
      </c>
      <c r="C389" s="31" t="s">
        <v>907</v>
      </c>
    </row>
    <row r="390" spans="1:3" ht="14.25" customHeight="1" x14ac:dyDescent="0.3">
      <c r="A390" s="29" t="s">
        <v>908</v>
      </c>
      <c r="B390" s="34">
        <v>2134</v>
      </c>
      <c r="C390" s="31" t="s">
        <v>909</v>
      </c>
    </row>
    <row r="391" spans="1:3" ht="14.25" customHeight="1" x14ac:dyDescent="0.3">
      <c r="A391" s="29" t="s">
        <v>910</v>
      </c>
      <c r="B391" s="34">
        <v>2939</v>
      </c>
      <c r="C391" s="31" t="s">
        <v>911</v>
      </c>
    </row>
    <row r="392" spans="1:3" ht="14.25" customHeight="1" x14ac:dyDescent="0.3">
      <c r="A392" s="29" t="s">
        <v>912</v>
      </c>
      <c r="B392" s="34">
        <v>3675</v>
      </c>
      <c r="C392" s="31" t="s">
        <v>913</v>
      </c>
    </row>
    <row r="393" spans="1:3" ht="14.25" customHeight="1" x14ac:dyDescent="0.3">
      <c r="A393" s="29" t="s">
        <v>914</v>
      </c>
      <c r="B393" s="34">
        <v>4409</v>
      </c>
      <c r="C393" s="31" t="s">
        <v>915</v>
      </c>
    </row>
    <row r="394" spans="1:3" ht="14.25" customHeight="1" x14ac:dyDescent="0.3">
      <c r="A394" s="29" t="s">
        <v>916</v>
      </c>
      <c r="B394" s="34">
        <v>5145</v>
      </c>
      <c r="C394" s="31" t="s">
        <v>917</v>
      </c>
    </row>
    <row r="395" spans="1:3" ht="14.25" customHeight="1" x14ac:dyDescent="0.3">
      <c r="A395" s="29" t="s">
        <v>918</v>
      </c>
      <c r="B395" s="34">
        <v>5879</v>
      </c>
      <c r="C395" s="31" t="s">
        <v>919</v>
      </c>
    </row>
    <row r="396" spans="1:3" ht="14.25" customHeight="1" x14ac:dyDescent="0.3">
      <c r="A396" s="29" t="s">
        <v>920</v>
      </c>
      <c r="B396" s="34">
        <v>6614</v>
      </c>
      <c r="C396" s="31" t="s">
        <v>921</v>
      </c>
    </row>
    <row r="397" spans="1:3" ht="14.25" customHeight="1" x14ac:dyDescent="0.3">
      <c r="A397" s="29" t="s">
        <v>922</v>
      </c>
      <c r="B397" s="30">
        <v>515</v>
      </c>
      <c r="C397" s="31" t="s">
        <v>923</v>
      </c>
    </row>
    <row r="398" spans="1:3" ht="14.25" customHeight="1" x14ac:dyDescent="0.3">
      <c r="A398" s="29" t="s">
        <v>924</v>
      </c>
      <c r="B398" s="34">
        <v>1500</v>
      </c>
      <c r="C398" s="31" t="s">
        <v>925</v>
      </c>
    </row>
    <row r="399" spans="1:3" ht="14.25" customHeight="1" x14ac:dyDescent="0.3">
      <c r="A399" s="29" t="s">
        <v>926</v>
      </c>
      <c r="B399" s="34">
        <v>1176</v>
      </c>
      <c r="C399" s="31" t="s">
        <v>927</v>
      </c>
    </row>
    <row r="400" spans="1:3" ht="14.25" customHeight="1" x14ac:dyDescent="0.3">
      <c r="A400" s="29" t="s">
        <v>928</v>
      </c>
      <c r="B400" s="34">
        <v>1470</v>
      </c>
      <c r="C400" s="31" t="s">
        <v>929</v>
      </c>
    </row>
    <row r="401" spans="1:3" ht="14.25" customHeight="1" x14ac:dyDescent="0.3">
      <c r="A401" s="29" t="s">
        <v>930</v>
      </c>
      <c r="B401" s="34">
        <v>1323</v>
      </c>
      <c r="C401" s="31" t="s">
        <v>931</v>
      </c>
    </row>
    <row r="402" spans="1:3" ht="14.25" customHeight="1" x14ac:dyDescent="0.3">
      <c r="A402" s="29" t="s">
        <v>932</v>
      </c>
      <c r="B402" s="34">
        <v>3567</v>
      </c>
      <c r="C402" s="31" t="s">
        <v>933</v>
      </c>
    </row>
    <row r="403" spans="1:3" ht="14.25" customHeight="1" x14ac:dyDescent="0.3">
      <c r="A403" s="29" t="s">
        <v>934</v>
      </c>
      <c r="B403" s="34">
        <v>6414</v>
      </c>
      <c r="C403" s="31" t="s">
        <v>935</v>
      </c>
    </row>
    <row r="404" spans="1:3" ht="14.25" customHeight="1" x14ac:dyDescent="0.3">
      <c r="A404" s="29" t="s">
        <v>936</v>
      </c>
      <c r="B404" s="34">
        <v>8502</v>
      </c>
      <c r="C404" s="31" t="s">
        <v>937</v>
      </c>
    </row>
    <row r="405" spans="1:3" ht="14.25" customHeight="1" x14ac:dyDescent="0.25">
      <c r="A405" s="35" t="s">
        <v>938</v>
      </c>
      <c r="B405" s="28"/>
      <c r="C405" s="28"/>
    </row>
    <row r="406" spans="1:3" ht="28.5" customHeight="1" x14ac:dyDescent="0.3">
      <c r="A406" s="23" t="s">
        <v>939</v>
      </c>
      <c r="B406" s="34">
        <v>1900</v>
      </c>
      <c r="C406" s="31" t="s">
        <v>940</v>
      </c>
    </row>
    <row r="407" spans="1:3" ht="14.25" customHeight="1" x14ac:dyDescent="0.3">
      <c r="A407" s="29" t="s">
        <v>941</v>
      </c>
      <c r="B407" s="34">
        <v>7000</v>
      </c>
      <c r="C407" s="31" t="s">
        <v>942</v>
      </c>
    </row>
    <row r="408" spans="1:3" ht="14.25" customHeight="1" x14ac:dyDescent="0.3">
      <c r="A408" s="29" t="s">
        <v>943</v>
      </c>
      <c r="B408" s="34">
        <v>4500</v>
      </c>
      <c r="C408" s="31" t="s">
        <v>944</v>
      </c>
    </row>
    <row r="409" spans="1:3" ht="14.25" customHeight="1" x14ac:dyDescent="0.3">
      <c r="A409" s="29" t="s">
        <v>945</v>
      </c>
      <c r="B409" s="34">
        <v>7810</v>
      </c>
      <c r="C409" s="31" t="s">
        <v>946</v>
      </c>
    </row>
    <row r="410" spans="1:3" ht="14.25" customHeight="1" x14ac:dyDescent="0.3">
      <c r="A410" s="29" t="s">
        <v>947</v>
      </c>
      <c r="B410" s="34">
        <v>1143</v>
      </c>
      <c r="C410" s="31" t="s">
        <v>948</v>
      </c>
    </row>
    <row r="411" spans="1:3" ht="14.25" customHeight="1" x14ac:dyDescent="0.3">
      <c r="A411" s="29" t="s">
        <v>949</v>
      </c>
      <c r="B411" s="30">
        <v>328</v>
      </c>
      <c r="C411" s="31" t="s">
        <v>950</v>
      </c>
    </row>
    <row r="412" spans="1:3" ht="14.25" customHeight="1" x14ac:dyDescent="0.3">
      <c r="A412" s="29" t="s">
        <v>951</v>
      </c>
      <c r="B412" s="30">
        <v>229</v>
      </c>
      <c r="C412" s="31" t="s">
        <v>952</v>
      </c>
    </row>
    <row r="413" spans="1:3" ht="14.25" customHeight="1" x14ac:dyDescent="0.3">
      <c r="A413" s="29" t="s">
        <v>953</v>
      </c>
      <c r="B413" s="30">
        <v>311</v>
      </c>
      <c r="C413" s="31" t="s">
        <v>954</v>
      </c>
    </row>
    <row r="414" spans="1:3" ht="14.25" customHeight="1" x14ac:dyDescent="0.3">
      <c r="A414" s="29" t="s">
        <v>955</v>
      </c>
      <c r="B414" s="30">
        <v>105</v>
      </c>
      <c r="C414" s="31" t="s">
        <v>956</v>
      </c>
    </row>
    <row r="415" spans="1:3" ht="14.25" customHeight="1" x14ac:dyDescent="0.3">
      <c r="A415" s="29" t="s">
        <v>957</v>
      </c>
      <c r="B415" s="34">
        <v>1633</v>
      </c>
      <c r="C415" s="31" t="s">
        <v>958</v>
      </c>
    </row>
    <row r="416" spans="1:3" ht="14.25" customHeight="1" x14ac:dyDescent="0.3">
      <c r="A416" s="29" t="s">
        <v>959</v>
      </c>
      <c r="B416" s="34">
        <v>2450</v>
      </c>
      <c r="C416" s="31" t="s">
        <v>960</v>
      </c>
    </row>
    <row r="417" spans="1:3" ht="14.25" customHeight="1" x14ac:dyDescent="0.3">
      <c r="A417" s="29" t="s">
        <v>961</v>
      </c>
      <c r="B417" s="30">
        <v>817</v>
      </c>
      <c r="C417" s="31" t="s">
        <v>962</v>
      </c>
    </row>
    <row r="418" spans="1:3" ht="14.25" customHeight="1" x14ac:dyDescent="0.3">
      <c r="A418" s="29" t="s">
        <v>963</v>
      </c>
      <c r="B418" s="34">
        <v>1400</v>
      </c>
      <c r="C418" s="31" t="s">
        <v>964</v>
      </c>
    </row>
    <row r="419" spans="1:3" ht="14.25" customHeight="1" x14ac:dyDescent="0.3">
      <c r="A419" s="29" t="s">
        <v>965</v>
      </c>
      <c r="B419" s="30">
        <v>300</v>
      </c>
      <c r="C419" s="31" t="s">
        <v>966</v>
      </c>
    </row>
    <row r="420" spans="1:3" ht="14.25" customHeight="1" x14ac:dyDescent="0.3">
      <c r="A420" s="29" t="s">
        <v>967</v>
      </c>
      <c r="B420" s="34">
        <v>1500</v>
      </c>
      <c r="C420" s="31" t="s">
        <v>968</v>
      </c>
    </row>
    <row r="421" spans="1:3" ht="14.25" customHeight="1" x14ac:dyDescent="0.3">
      <c r="A421" s="29" t="s">
        <v>969</v>
      </c>
      <c r="B421" s="30">
        <v>300</v>
      </c>
      <c r="C421" s="31" t="s">
        <v>970</v>
      </c>
    </row>
    <row r="422" spans="1:3" ht="14.25" customHeight="1" x14ac:dyDescent="0.3">
      <c r="A422" s="29" t="s">
        <v>971</v>
      </c>
      <c r="B422" s="34">
        <v>1200</v>
      </c>
      <c r="C422" s="31" t="s">
        <v>972</v>
      </c>
    </row>
    <row r="423" spans="1:3" ht="14.25" customHeight="1" x14ac:dyDescent="0.3">
      <c r="A423" s="29" t="s">
        <v>973</v>
      </c>
      <c r="B423" s="34">
        <v>4500</v>
      </c>
      <c r="C423" s="31" t="s">
        <v>974</v>
      </c>
    </row>
    <row r="424" spans="1:3" ht="14.25" customHeight="1" x14ac:dyDescent="0.3">
      <c r="A424" s="29" t="s">
        <v>975</v>
      </c>
      <c r="B424" s="34">
        <v>5500</v>
      </c>
      <c r="C424" s="31" t="s">
        <v>976</v>
      </c>
    </row>
    <row r="425" spans="1:3" ht="14.25" customHeight="1" x14ac:dyDescent="0.3">
      <c r="A425" s="29" t="s">
        <v>977</v>
      </c>
      <c r="B425" s="34">
        <v>6500</v>
      </c>
      <c r="C425" s="31" t="s">
        <v>978</v>
      </c>
    </row>
    <row r="426" spans="1:3" ht="14.25" customHeight="1" x14ac:dyDescent="0.3">
      <c r="A426" s="29" t="s">
        <v>979</v>
      </c>
      <c r="B426" s="34">
        <v>7500</v>
      </c>
      <c r="C426" s="31" t="s">
        <v>980</v>
      </c>
    </row>
    <row r="427" spans="1:3" ht="14.25" customHeight="1" x14ac:dyDescent="0.3">
      <c r="A427" s="29" t="s">
        <v>981</v>
      </c>
      <c r="B427" s="34">
        <v>3250</v>
      </c>
      <c r="C427" s="31" t="s">
        <v>982</v>
      </c>
    </row>
    <row r="428" spans="1:3" ht="14.25" customHeight="1" x14ac:dyDescent="0.3">
      <c r="A428" s="29" t="s">
        <v>983</v>
      </c>
      <c r="B428" s="34">
        <v>8000</v>
      </c>
      <c r="C428" s="31" t="s">
        <v>984</v>
      </c>
    </row>
    <row r="429" spans="1:3" ht="14.25" customHeight="1" x14ac:dyDescent="0.3">
      <c r="A429" s="29" t="s">
        <v>985</v>
      </c>
      <c r="B429" s="34">
        <v>2995</v>
      </c>
      <c r="C429" s="31" t="s">
        <v>986</v>
      </c>
    </row>
    <row r="430" spans="1:3" ht="14.25" customHeight="1" x14ac:dyDescent="0.3">
      <c r="A430" s="29" t="s">
        <v>987</v>
      </c>
      <c r="B430" s="34">
        <v>4655</v>
      </c>
      <c r="C430" s="31" t="s">
        <v>988</v>
      </c>
    </row>
    <row r="431" spans="1:3" ht="28.5" customHeight="1" x14ac:dyDescent="0.3">
      <c r="A431" s="23" t="s">
        <v>989</v>
      </c>
      <c r="B431" s="34">
        <v>8125</v>
      </c>
      <c r="C431" s="31" t="s">
        <v>990</v>
      </c>
    </row>
    <row r="432" spans="1:3" ht="14.25" customHeight="1" x14ac:dyDescent="0.3">
      <c r="A432" s="29" t="s">
        <v>991</v>
      </c>
      <c r="B432" s="34">
        <v>1800</v>
      </c>
      <c r="C432" s="31" t="s">
        <v>992</v>
      </c>
    </row>
    <row r="433" spans="1:3" ht="14.25" customHeight="1" x14ac:dyDescent="0.3">
      <c r="A433" s="29" t="s">
        <v>993</v>
      </c>
      <c r="B433" s="34">
        <v>1900</v>
      </c>
      <c r="C433" s="31" t="s">
        <v>994</v>
      </c>
    </row>
    <row r="434" spans="1:3" ht="14.25" customHeight="1" x14ac:dyDescent="0.3">
      <c r="A434" s="29" t="s">
        <v>995</v>
      </c>
      <c r="B434" s="34">
        <v>2800</v>
      </c>
      <c r="C434" s="31" t="s">
        <v>996</v>
      </c>
    </row>
    <row r="435" spans="1:3" ht="14.25" customHeight="1" x14ac:dyDescent="0.3">
      <c r="A435" s="29" t="s">
        <v>997</v>
      </c>
      <c r="B435" s="34">
        <v>2200</v>
      </c>
      <c r="C435" s="31" t="s">
        <v>998</v>
      </c>
    </row>
    <row r="436" spans="1:3" ht="14.25" customHeight="1" x14ac:dyDescent="0.3">
      <c r="A436" s="29" t="s">
        <v>999</v>
      </c>
      <c r="B436" s="34">
        <v>3100</v>
      </c>
      <c r="C436" s="31" t="s">
        <v>1000</v>
      </c>
    </row>
    <row r="437" spans="1:3" ht="14.25" customHeight="1" x14ac:dyDescent="0.3">
      <c r="A437" s="29" t="s">
        <v>1001</v>
      </c>
      <c r="B437" s="34">
        <v>9000</v>
      </c>
      <c r="C437" s="31" t="s">
        <v>1002</v>
      </c>
    </row>
    <row r="438" spans="1:3" ht="14.25" customHeight="1" x14ac:dyDescent="0.3">
      <c r="A438" s="29" t="s">
        <v>1003</v>
      </c>
      <c r="B438" s="34">
        <v>1000</v>
      </c>
      <c r="C438" s="31" t="s">
        <v>1004</v>
      </c>
    </row>
    <row r="439" spans="1:3" ht="14.25" customHeight="1" x14ac:dyDescent="0.3">
      <c r="A439" s="29" t="s">
        <v>1005</v>
      </c>
      <c r="B439" s="34">
        <v>3850</v>
      </c>
      <c r="C439" s="31" t="s">
        <v>1006</v>
      </c>
    </row>
    <row r="440" spans="1:3" ht="14.25" customHeight="1" x14ac:dyDescent="0.3">
      <c r="A440" s="29" t="s">
        <v>1007</v>
      </c>
      <c r="B440" s="34">
        <v>1950</v>
      </c>
      <c r="C440" s="31" t="s">
        <v>1008</v>
      </c>
    </row>
    <row r="441" spans="1:3" ht="14.25" customHeight="1" x14ac:dyDescent="0.3">
      <c r="A441" s="29" t="s">
        <v>1009</v>
      </c>
      <c r="B441" s="30">
        <v>750</v>
      </c>
      <c r="C441" s="31" t="s">
        <v>1010</v>
      </c>
    </row>
    <row r="442" spans="1:3" ht="14.25" customHeight="1" x14ac:dyDescent="0.3">
      <c r="A442" s="29" t="s">
        <v>1011</v>
      </c>
      <c r="B442" s="34">
        <v>1000</v>
      </c>
      <c r="C442" s="31" t="s">
        <v>1012</v>
      </c>
    </row>
    <row r="443" spans="1:3" ht="14.25" customHeight="1" x14ac:dyDescent="0.3">
      <c r="A443" s="29" t="s">
        <v>1013</v>
      </c>
      <c r="B443" s="34">
        <v>2750</v>
      </c>
      <c r="C443" s="31" t="s">
        <v>1014</v>
      </c>
    </row>
    <row r="444" spans="1:3" ht="14.25" customHeight="1" x14ac:dyDescent="0.3">
      <c r="A444" s="29" t="s">
        <v>1015</v>
      </c>
      <c r="B444" s="30">
        <v>350</v>
      </c>
      <c r="C444" s="31" t="s">
        <v>1016</v>
      </c>
    </row>
    <row r="445" spans="1:3" ht="14.25" customHeight="1" x14ac:dyDescent="0.3">
      <c r="A445" s="29" t="s">
        <v>1017</v>
      </c>
      <c r="B445" s="30">
        <v>595</v>
      </c>
      <c r="C445" s="31" t="s">
        <v>1018</v>
      </c>
    </row>
    <row r="446" spans="1:3" ht="14.25" customHeight="1" x14ac:dyDescent="0.3">
      <c r="A446" s="29" t="s">
        <v>1019</v>
      </c>
      <c r="B446" s="30">
        <v>695</v>
      </c>
      <c r="C446" s="31" t="s">
        <v>1020</v>
      </c>
    </row>
    <row r="447" spans="1:3" ht="14.25" customHeight="1" x14ac:dyDescent="0.3">
      <c r="A447" s="29" t="s">
        <v>1021</v>
      </c>
      <c r="B447" s="30">
        <v>90</v>
      </c>
      <c r="C447" s="31" t="s">
        <v>1022</v>
      </c>
    </row>
    <row r="448" spans="1:3" ht="14.25" customHeight="1" x14ac:dyDescent="0.3">
      <c r="A448" s="29" t="s">
        <v>1023</v>
      </c>
      <c r="B448" s="34">
        <v>2130</v>
      </c>
      <c r="C448" s="31" t="s">
        <v>1024</v>
      </c>
    </row>
    <row r="449" spans="1:3" ht="14.25" customHeight="1" x14ac:dyDescent="0.3">
      <c r="A449" s="29" t="s">
        <v>1025</v>
      </c>
      <c r="B449" s="34">
        <v>1150</v>
      </c>
      <c r="C449" s="31" t="s">
        <v>1026</v>
      </c>
    </row>
    <row r="450" spans="1:3" ht="14.25" customHeight="1" x14ac:dyDescent="0.3">
      <c r="A450" s="29" t="s">
        <v>1027</v>
      </c>
      <c r="B450" s="34">
        <v>1150</v>
      </c>
      <c r="C450" s="31" t="s">
        <v>1028</v>
      </c>
    </row>
    <row r="451" spans="1:3" ht="14.25" customHeight="1" x14ac:dyDescent="0.3">
      <c r="A451" s="29" t="s">
        <v>1029</v>
      </c>
      <c r="B451" s="34">
        <v>3700</v>
      </c>
      <c r="C451" s="31" t="s">
        <v>1030</v>
      </c>
    </row>
    <row r="452" spans="1:3" ht="14.25" customHeight="1" x14ac:dyDescent="0.3">
      <c r="A452" s="29" t="s">
        <v>1031</v>
      </c>
      <c r="B452" s="34">
        <v>1750</v>
      </c>
      <c r="C452" s="31" t="s">
        <v>1032</v>
      </c>
    </row>
    <row r="453" spans="1:3" ht="14.25" customHeight="1" x14ac:dyDescent="0.3">
      <c r="A453" s="29" t="s">
        <v>1033</v>
      </c>
      <c r="B453" s="34">
        <v>1150</v>
      </c>
      <c r="C453" s="31" t="s">
        <v>1034</v>
      </c>
    </row>
    <row r="454" spans="1:3" ht="14.25" customHeight="1" x14ac:dyDescent="0.3">
      <c r="A454" s="29" t="s">
        <v>1035</v>
      </c>
      <c r="B454" s="34">
        <v>1800</v>
      </c>
      <c r="C454" s="31" t="s">
        <v>1036</v>
      </c>
    </row>
    <row r="455" spans="1:3" ht="14.25" customHeight="1" x14ac:dyDescent="0.3">
      <c r="A455" s="29" t="s">
        <v>1037</v>
      </c>
      <c r="B455" s="34">
        <v>1200</v>
      </c>
      <c r="C455" s="31" t="s">
        <v>1038</v>
      </c>
    </row>
    <row r="456" spans="1:3" ht="14.25" customHeight="1" x14ac:dyDescent="0.3">
      <c r="A456" s="29" t="s">
        <v>1039</v>
      </c>
      <c r="B456" s="34">
        <v>2950</v>
      </c>
      <c r="C456" s="31" t="s">
        <v>1040</v>
      </c>
    </row>
    <row r="457" spans="1:3" ht="14.25" customHeight="1" x14ac:dyDescent="0.3">
      <c r="A457" s="29" t="s">
        <v>1041</v>
      </c>
      <c r="B457" s="34">
        <v>1800</v>
      </c>
      <c r="C457" s="31" t="s">
        <v>1042</v>
      </c>
    </row>
    <row r="458" spans="1:3" ht="14.25" customHeight="1" x14ac:dyDescent="0.3">
      <c r="A458" s="29" t="s">
        <v>1043</v>
      </c>
      <c r="B458" s="34">
        <v>1980</v>
      </c>
      <c r="C458" s="31" t="s">
        <v>1044</v>
      </c>
    </row>
    <row r="459" spans="1:3" ht="14.25" customHeight="1" x14ac:dyDescent="0.3">
      <c r="A459" s="29" t="s">
        <v>1045</v>
      </c>
      <c r="B459" s="34">
        <v>1250</v>
      </c>
      <c r="C459" s="31" t="s">
        <v>1046</v>
      </c>
    </row>
    <row r="460" spans="1:3" ht="14.25" customHeight="1" x14ac:dyDescent="0.3">
      <c r="A460" s="29" t="s">
        <v>1047</v>
      </c>
      <c r="B460" s="34">
        <v>2250</v>
      </c>
      <c r="C460" s="31" t="s">
        <v>1048</v>
      </c>
    </row>
    <row r="461" spans="1:3" ht="14.25" customHeight="1" x14ac:dyDescent="0.3">
      <c r="A461" s="29" t="s">
        <v>1049</v>
      </c>
      <c r="B461" s="34">
        <v>2350</v>
      </c>
      <c r="C461" s="31" t="s">
        <v>1050</v>
      </c>
    </row>
    <row r="462" spans="1:3" ht="14.25" customHeight="1" x14ac:dyDescent="0.3">
      <c r="A462" s="29" t="s">
        <v>1051</v>
      </c>
      <c r="B462" s="34">
        <v>1400</v>
      </c>
      <c r="C462" s="31" t="s">
        <v>1052</v>
      </c>
    </row>
    <row r="463" spans="1:3" ht="14.25" customHeight="1" x14ac:dyDescent="0.3">
      <c r="A463" s="29" t="s">
        <v>1053</v>
      </c>
      <c r="B463" s="34">
        <v>2795</v>
      </c>
      <c r="C463" s="31" t="s">
        <v>1054</v>
      </c>
    </row>
    <row r="464" spans="1:3" ht="28.5" customHeight="1" x14ac:dyDescent="0.3">
      <c r="A464" s="23" t="s">
        <v>1055</v>
      </c>
      <c r="B464" s="34">
        <v>6800</v>
      </c>
      <c r="C464" s="31" t="s">
        <v>1056</v>
      </c>
    </row>
    <row r="465" spans="1:3" ht="14.25" customHeight="1" x14ac:dyDescent="0.3">
      <c r="A465" s="29" t="s">
        <v>1057</v>
      </c>
      <c r="B465" s="34">
        <v>3100</v>
      </c>
      <c r="C465" s="31" t="s">
        <v>1058</v>
      </c>
    </row>
    <row r="466" spans="1:3" ht="14.25" customHeight="1" x14ac:dyDescent="0.3">
      <c r="A466" s="29" t="s">
        <v>1059</v>
      </c>
      <c r="B466" s="30">
        <v>450</v>
      </c>
      <c r="C466" s="31" t="s">
        <v>1060</v>
      </c>
    </row>
    <row r="467" spans="1:3" ht="14.25" customHeight="1" x14ac:dyDescent="0.3">
      <c r="A467" s="29" t="s">
        <v>1061</v>
      </c>
      <c r="B467" s="30">
        <v>155</v>
      </c>
      <c r="C467" s="31" t="s">
        <v>1062</v>
      </c>
    </row>
    <row r="468" spans="1:3" ht="14.25" customHeight="1" x14ac:dyDescent="0.3">
      <c r="A468" s="29" t="s">
        <v>1063</v>
      </c>
      <c r="B468" s="30">
        <v>155</v>
      </c>
      <c r="C468" s="31" t="s">
        <v>1064</v>
      </c>
    </row>
    <row r="469" spans="1:3" ht="14.25" customHeight="1" x14ac:dyDescent="0.3">
      <c r="A469" s="29" t="s">
        <v>1065</v>
      </c>
      <c r="B469" s="30">
        <v>155</v>
      </c>
      <c r="C469" s="31" t="s">
        <v>1066</v>
      </c>
    </row>
    <row r="470" spans="1:3" ht="14.25" customHeight="1" x14ac:dyDescent="0.3">
      <c r="A470" s="29" t="s">
        <v>1067</v>
      </c>
      <c r="B470" s="30">
        <v>155</v>
      </c>
      <c r="C470" s="31" t="s">
        <v>1068</v>
      </c>
    </row>
    <row r="471" spans="1:3" ht="14.25" customHeight="1" x14ac:dyDescent="0.3">
      <c r="A471" s="29" t="s">
        <v>1069</v>
      </c>
      <c r="B471" s="30">
        <v>155</v>
      </c>
      <c r="C471" s="31" t="s">
        <v>1070</v>
      </c>
    </row>
    <row r="472" spans="1:3" ht="14.25" customHeight="1" x14ac:dyDescent="0.3">
      <c r="A472" s="29" t="s">
        <v>1071</v>
      </c>
      <c r="B472" s="34">
        <v>2155</v>
      </c>
      <c r="C472" s="31" t="s">
        <v>1072</v>
      </c>
    </row>
    <row r="473" spans="1:3" ht="14.25" customHeight="1" x14ac:dyDescent="0.3">
      <c r="A473" s="29" t="s">
        <v>1073</v>
      </c>
      <c r="B473" s="34">
        <v>1455</v>
      </c>
      <c r="C473" s="31" t="s">
        <v>1074</v>
      </c>
    </row>
    <row r="474" spans="1:3" ht="14.25" customHeight="1" x14ac:dyDescent="0.3">
      <c r="A474" s="29" t="s">
        <v>1075</v>
      </c>
      <c r="B474" s="30">
        <v>855</v>
      </c>
      <c r="C474" s="31" t="s">
        <v>1076</v>
      </c>
    </row>
    <row r="475" spans="1:3" ht="14.25" customHeight="1" x14ac:dyDescent="0.3">
      <c r="A475" s="29" t="s">
        <v>1077</v>
      </c>
      <c r="B475" s="30">
        <v>655</v>
      </c>
      <c r="C475" s="31" t="s">
        <v>1078</v>
      </c>
    </row>
    <row r="476" spans="1:3" ht="28.5" customHeight="1" x14ac:dyDescent="0.3">
      <c r="A476" s="23" t="s">
        <v>1079</v>
      </c>
      <c r="B476" s="34">
        <v>2900</v>
      </c>
      <c r="C476" s="31" t="s">
        <v>1080</v>
      </c>
    </row>
    <row r="477" spans="1:3" ht="14.25" customHeight="1" x14ac:dyDescent="0.3">
      <c r="A477" s="29" t="s">
        <v>1081</v>
      </c>
      <c r="B477" s="34">
        <v>1350</v>
      </c>
      <c r="C477" s="31" t="s">
        <v>1082</v>
      </c>
    </row>
    <row r="478" spans="1:3" ht="14.25" customHeight="1" x14ac:dyDescent="0.3">
      <c r="A478" s="29" t="s">
        <v>1083</v>
      </c>
      <c r="B478" s="34">
        <v>2840</v>
      </c>
      <c r="C478" s="31" t="s">
        <v>1084</v>
      </c>
    </row>
    <row r="479" spans="1:3" ht="14.25" customHeight="1" x14ac:dyDescent="0.3">
      <c r="A479" s="29" t="s">
        <v>1085</v>
      </c>
      <c r="B479" s="30">
        <v>710</v>
      </c>
      <c r="C479" s="31" t="s">
        <v>1086</v>
      </c>
    </row>
    <row r="480" spans="1:3" ht="36.75" customHeight="1" x14ac:dyDescent="0.3">
      <c r="A480" s="69" t="s">
        <v>1087</v>
      </c>
      <c r="B480" s="70"/>
      <c r="C480" s="70"/>
    </row>
  </sheetData>
  <mergeCells count="5">
    <mergeCell ref="A1:C1"/>
    <mergeCell ref="A2:C2"/>
    <mergeCell ref="A3:C3"/>
    <mergeCell ref="A4:C4"/>
    <mergeCell ref="A480:C480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Электрика</vt:lpstr>
      <vt:lpstr>Table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dcterms:created xsi:type="dcterms:W3CDTF">2025-04-18T15:43:53Z</dcterms:created>
  <dcterms:modified xsi:type="dcterms:W3CDTF">2025-08-08T20:47:34Z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2025-04-18T00:00:00Z</vt:filetime>
  </property>
  <property fmtid="{D5CDD505-2E9C-101B-9397-08002B2CF9AE}" pid="5" name="Producer">
    <vt:lpwstr>Microsoft® Excel® 2019</vt:lpwstr>
  </property>
</Properties>
</file>