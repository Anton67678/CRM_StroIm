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Работа\"/>
    </mc:Choice>
  </mc:AlternateContent>
  <bookViews>
    <workbookView xWindow="0" yWindow="0" windowWidth="23040" windowHeight="9780" tabRatio="824" firstSheet="19" activeTab="19"/>
  </bookViews>
  <sheets>
    <sheet name="Обложка" sheetId="41" state="hidden" r:id="rId1"/>
    <sheet name="Свод для мастеров" sheetId="45" state="hidden" r:id="rId2"/>
    <sheet name="См. для мастеров" sheetId="47" state="hidden" r:id="rId3"/>
    <sheet name="RusName" sheetId="39" state="hidden" r:id="rId4"/>
    <sheet name="xyz" sheetId="36" state="hidden" r:id="rId5"/>
    <sheet name="Комната(база)" sheetId="2" state="hidden" r:id="rId6"/>
    <sheet name="Кухня(база)" sheetId="15" state="hidden" r:id="rId7"/>
    <sheet name="Ванная комната(база)" sheetId="11" state="hidden" r:id="rId8"/>
    <sheet name="Туалет(база)" sheetId="13" state="hidden" r:id="rId9"/>
    <sheet name="Коридор(база)" sheetId="16" state="hidden" r:id="rId10"/>
    <sheet name="Смета по коридору №1" sheetId="48" r:id="rId11"/>
    <sheet name="Кладовая(база)" sheetId="10" state="hidden" r:id="rId12"/>
    <sheet name="Смета по кладовой №1" sheetId="49" r:id="rId13"/>
    <sheet name="Смета по кладовой №2" sheetId="50" r:id="rId14"/>
    <sheet name="Смета по комнате №1" sheetId="51" r:id="rId15"/>
    <sheet name="Лоджия(балкон)(база)" sheetId="19" state="hidden" r:id="rId16"/>
    <sheet name="Электромонтаж(база)" sheetId="18" state="hidden" r:id="rId17"/>
    <sheet name="Спецмонтаж(база)" sheetId="21" state="hidden" r:id="rId18"/>
    <sheet name="Прайс для расчета" sheetId="25" state="hidden" r:id="rId19"/>
    <sheet name="Прайс(заказ.)" sheetId="33" r:id="rId20"/>
    <sheet name="Прайс для расчета (М)" sheetId="43" state="hidden" r:id="rId21"/>
    <sheet name="Прайс(маст.)" sheetId="34" state="hidden" r:id="rId22"/>
  </sheets>
  <definedNames>
    <definedName name="_xlnm._FilterDatabase" localSheetId="7" hidden="1">'Ванная комната(база)'!$B$9:$H$457</definedName>
    <definedName name="_xlnm._FilterDatabase" localSheetId="11" hidden="1">'Кладовая(база)'!$B$9:$H$375</definedName>
    <definedName name="_xlnm._FilterDatabase" localSheetId="5" hidden="1">'Комната(база)'!$B$9:$G$385</definedName>
    <definedName name="_xlnm._FilterDatabase" localSheetId="9" hidden="1">'Коридор(база)'!$B$9:$H$375</definedName>
    <definedName name="_xlnm._FilterDatabase" localSheetId="6" hidden="1">'Кухня(база)'!$B$9:$H$386</definedName>
    <definedName name="_xlnm._FilterDatabase" localSheetId="15" hidden="1">'Лоджия(балкон)(база)'!$B$9:$H$377</definedName>
    <definedName name="_xlnm._FilterDatabase" localSheetId="18" hidden="1">'Прайс для расчета'!$A$4:$E$677</definedName>
    <definedName name="_xlnm._FilterDatabase" localSheetId="20" hidden="1">'Прайс для расчета (М)'!$A$4:$E$677</definedName>
    <definedName name="_xlnm._FilterDatabase" localSheetId="19" hidden="1">'Прайс(заказ.)'!$A$8:$B$480</definedName>
    <definedName name="_xlnm._FilterDatabase" localSheetId="21" hidden="1">'Прайс(маст.)'!$A$18:$B$366</definedName>
    <definedName name="_xlnm._FilterDatabase" localSheetId="12" hidden="1">'Смета по кладовой №1'!$B$9:$H$375</definedName>
    <definedName name="_xlnm._FilterDatabase" localSheetId="13" hidden="1">'Смета по кладовой №2'!$B$9:$H$375</definedName>
    <definedName name="_xlnm._FilterDatabase" localSheetId="14" hidden="1">'Смета по комнате №1'!$B$9:$G$385</definedName>
    <definedName name="_xlnm._FilterDatabase" localSheetId="10" hidden="1">'Смета по коридору №1'!$B$9:$H$375</definedName>
    <definedName name="_xlnm._FilterDatabase" localSheetId="17" hidden="1">'Спецмонтаж(база)'!$B$9:$H$242</definedName>
    <definedName name="_xlnm._FilterDatabase" localSheetId="8" hidden="1">'Туалет(база)'!$B$9:$H$457</definedName>
    <definedName name="_xlnm._FilterDatabase" localSheetId="16" hidden="1">'Электромонтаж(база)'!$B$9:$H$83</definedName>
    <definedName name="_xlnm.Print_Area" localSheetId="7">'Ванная комната(база)'!$C$1:$G$463</definedName>
    <definedName name="_xlnm.Print_Area" localSheetId="11">'Кладовая(база)'!$C$1:$G$381</definedName>
    <definedName name="_xlnm.Print_Area" localSheetId="5">'Комната(база)'!$C$1:$G$391</definedName>
    <definedName name="_xlnm.Print_Area" localSheetId="9">'Коридор(база)'!$C$1:$G$381</definedName>
    <definedName name="_xlnm.Print_Area" localSheetId="6">'Кухня(база)'!$C$1:$G$392</definedName>
    <definedName name="_xlnm.Print_Area" localSheetId="15">'Лоджия(балкон)(база)'!$C$1:$G$383</definedName>
    <definedName name="_xlnm.Print_Area" localSheetId="2">'См. для мастеров'!$B:$F</definedName>
    <definedName name="_xlnm.Print_Area" localSheetId="12">'Смета по кладовой №1'!$C$1:$G$381</definedName>
    <definedName name="_xlnm.Print_Area" localSheetId="13">'Смета по кладовой №2'!$C$1:$G$381</definedName>
    <definedName name="_xlnm.Print_Area" localSheetId="14">'Смета по комнате №1'!$C$1:$G$391</definedName>
    <definedName name="_xlnm.Print_Area" localSheetId="10">'Смета по коридору №1'!$C$1:$G$381</definedName>
    <definedName name="_xlnm.Print_Area" localSheetId="17">'Спецмонтаж(база)'!$C$1:$G$243</definedName>
    <definedName name="_xlnm.Print_Area" localSheetId="8">'Туалет(база)'!$C$1:$G$463</definedName>
    <definedName name="_xlnm.Print_Area" localSheetId="16">'Электромонтаж(база)'!$C$1:$G$89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84" i="51" l="1"/>
  <c r="B384" i="51" s="1"/>
  <c r="B382" i="51"/>
  <c r="J381" i="51"/>
  <c r="I381" i="51"/>
  <c r="F381" i="51"/>
  <c r="G381" i="51" s="1"/>
  <c r="J380" i="51"/>
  <c r="I380" i="51"/>
  <c r="F380" i="51"/>
  <c r="G380" i="51" s="1"/>
  <c r="I379" i="51"/>
  <c r="J379" i="51" s="1"/>
  <c r="G379" i="51"/>
  <c r="F379" i="51"/>
  <c r="J378" i="51"/>
  <c r="I378" i="51"/>
  <c r="F378" i="51"/>
  <c r="G378" i="51" s="1"/>
  <c r="J377" i="51"/>
  <c r="I377" i="51"/>
  <c r="F377" i="51"/>
  <c r="G377" i="51" s="1"/>
  <c r="I376" i="51"/>
  <c r="J376" i="51" s="1"/>
  <c r="F376" i="51"/>
  <c r="G376" i="51" s="1"/>
  <c r="J375" i="51"/>
  <c r="I375" i="51"/>
  <c r="F375" i="51"/>
  <c r="G375" i="51" s="1"/>
  <c r="J374" i="51"/>
  <c r="J382" i="51" s="1"/>
  <c r="U6" i="51" s="1"/>
  <c r="I374" i="51"/>
  <c r="F374" i="51"/>
  <c r="G374" i="51" s="1"/>
  <c r="G382" i="51" s="1"/>
  <c r="T6" i="51" s="1"/>
  <c r="B373" i="51"/>
  <c r="B372" i="51"/>
  <c r="J371" i="51"/>
  <c r="I371" i="51"/>
  <c r="F371" i="51"/>
  <c r="G371" i="51" s="1"/>
  <c r="J370" i="51"/>
  <c r="I370" i="51"/>
  <c r="F370" i="51"/>
  <c r="G370" i="51" s="1"/>
  <c r="I369" i="51"/>
  <c r="J369" i="51" s="1"/>
  <c r="G369" i="51"/>
  <c r="F369" i="51"/>
  <c r="J368" i="51"/>
  <c r="I368" i="51"/>
  <c r="F368" i="51"/>
  <c r="G368" i="51" s="1"/>
  <c r="J367" i="51"/>
  <c r="I367" i="51"/>
  <c r="F367" i="51"/>
  <c r="G367" i="51" s="1"/>
  <c r="I366" i="51"/>
  <c r="J366" i="51" s="1"/>
  <c r="G366" i="51"/>
  <c r="G372" i="51" s="1"/>
  <c r="T5" i="51" s="1"/>
  <c r="F366" i="51"/>
  <c r="J365" i="51"/>
  <c r="I365" i="51"/>
  <c r="F365" i="51"/>
  <c r="G365" i="51" s="1"/>
  <c r="J364" i="51"/>
  <c r="I364" i="51"/>
  <c r="F364" i="51"/>
  <c r="G364" i="51" s="1"/>
  <c r="B363" i="51"/>
  <c r="J361" i="51"/>
  <c r="I361" i="51"/>
  <c r="F361" i="51"/>
  <c r="G361" i="51" s="1"/>
  <c r="J360" i="51"/>
  <c r="I360" i="51"/>
  <c r="F360" i="51"/>
  <c r="G360" i="51" s="1"/>
  <c r="I359" i="51"/>
  <c r="J359" i="51" s="1"/>
  <c r="G359" i="51"/>
  <c r="F359" i="51"/>
  <c r="J358" i="51"/>
  <c r="I358" i="51"/>
  <c r="F358" i="51"/>
  <c r="G358" i="51" s="1"/>
  <c r="J357" i="51"/>
  <c r="I357" i="51"/>
  <c r="F357" i="51"/>
  <c r="G357" i="51" s="1"/>
  <c r="I356" i="51"/>
  <c r="J356" i="51" s="1"/>
  <c r="F356" i="51"/>
  <c r="G356" i="51" s="1"/>
  <c r="J355" i="51"/>
  <c r="I355" i="51"/>
  <c r="F355" i="51"/>
  <c r="G355" i="51" s="1"/>
  <c r="E355" i="51"/>
  <c r="B354" i="51"/>
  <c r="I353" i="51"/>
  <c r="J353" i="51" s="1"/>
  <c r="F353" i="51"/>
  <c r="G353" i="51" s="1"/>
  <c r="I352" i="51"/>
  <c r="J352" i="51" s="1"/>
  <c r="G352" i="51"/>
  <c r="F352" i="51"/>
  <c r="I351" i="51"/>
  <c r="J351" i="51" s="1"/>
  <c r="F351" i="51"/>
  <c r="G351" i="51" s="1"/>
  <c r="I350" i="51"/>
  <c r="J350" i="51" s="1"/>
  <c r="F350" i="51"/>
  <c r="G350" i="51" s="1"/>
  <c r="I349" i="51"/>
  <c r="J349" i="51" s="1"/>
  <c r="G349" i="51"/>
  <c r="F349" i="51"/>
  <c r="I348" i="51"/>
  <c r="J348" i="51" s="1"/>
  <c r="F348" i="51"/>
  <c r="G348" i="51" s="1"/>
  <c r="I347" i="51"/>
  <c r="J347" i="51" s="1"/>
  <c r="F347" i="51"/>
  <c r="G347" i="51" s="1"/>
  <c r="I346" i="51"/>
  <c r="J346" i="51" s="1"/>
  <c r="G346" i="51"/>
  <c r="F346" i="51"/>
  <c r="I345" i="51"/>
  <c r="J345" i="51" s="1"/>
  <c r="F345" i="51"/>
  <c r="G345" i="51" s="1"/>
  <c r="I344" i="51"/>
  <c r="J344" i="51" s="1"/>
  <c r="F344" i="51"/>
  <c r="G344" i="51" s="1"/>
  <c r="I343" i="51"/>
  <c r="J343" i="51" s="1"/>
  <c r="G343" i="51"/>
  <c r="F343" i="51"/>
  <c r="I342" i="51"/>
  <c r="J342" i="51" s="1"/>
  <c r="F342" i="51"/>
  <c r="G342" i="51" s="1"/>
  <c r="I341" i="51"/>
  <c r="J341" i="51" s="1"/>
  <c r="F341" i="51"/>
  <c r="G341" i="51" s="1"/>
  <c r="I340" i="51"/>
  <c r="J340" i="51" s="1"/>
  <c r="G340" i="51"/>
  <c r="F340" i="51"/>
  <c r="I339" i="51"/>
  <c r="J339" i="51" s="1"/>
  <c r="F339" i="51"/>
  <c r="G339" i="51" s="1"/>
  <c r="I338" i="51"/>
  <c r="J338" i="51" s="1"/>
  <c r="F338" i="51"/>
  <c r="G338" i="51" s="1"/>
  <c r="I337" i="51"/>
  <c r="J337" i="51" s="1"/>
  <c r="G337" i="51"/>
  <c r="F337" i="51"/>
  <c r="I336" i="51"/>
  <c r="J336" i="51" s="1"/>
  <c r="F336" i="51"/>
  <c r="G336" i="51" s="1"/>
  <c r="I335" i="51"/>
  <c r="J335" i="51" s="1"/>
  <c r="F335" i="51"/>
  <c r="G335" i="51" s="1"/>
  <c r="B334" i="51"/>
  <c r="I333" i="51"/>
  <c r="F333" i="51"/>
  <c r="I332" i="51"/>
  <c r="F332" i="51"/>
  <c r="I331" i="51"/>
  <c r="F331" i="51"/>
  <c r="I330" i="51"/>
  <c r="F330" i="51"/>
  <c r="I329" i="51"/>
  <c r="F329" i="51"/>
  <c r="I328" i="51"/>
  <c r="F328" i="51"/>
  <c r="I327" i="51"/>
  <c r="F327" i="51"/>
  <c r="I326" i="51"/>
  <c r="F326" i="51"/>
  <c r="I325" i="51"/>
  <c r="F325" i="51"/>
  <c r="I324" i="51"/>
  <c r="F324" i="51"/>
  <c r="I323" i="51"/>
  <c r="F323" i="51"/>
  <c r="I322" i="51"/>
  <c r="F322" i="51"/>
  <c r="I321" i="51"/>
  <c r="F321" i="51"/>
  <c r="B320" i="51"/>
  <c r="I319" i="51"/>
  <c r="F319" i="51"/>
  <c r="I318" i="51"/>
  <c r="F318" i="51"/>
  <c r="E318" i="51"/>
  <c r="J318" i="51" s="1"/>
  <c r="I317" i="51"/>
  <c r="F317" i="51"/>
  <c r="E317" i="51"/>
  <c r="G317" i="51" s="1"/>
  <c r="I316" i="51"/>
  <c r="F316" i="51"/>
  <c r="E316" i="51"/>
  <c r="G316" i="51" s="1"/>
  <c r="I315" i="51"/>
  <c r="F315" i="51"/>
  <c r="E315" i="51"/>
  <c r="J315" i="51" s="1"/>
  <c r="I314" i="51"/>
  <c r="F314" i="51"/>
  <c r="E314" i="51"/>
  <c r="I313" i="51"/>
  <c r="F313" i="51"/>
  <c r="E313" i="51"/>
  <c r="G313" i="51" s="1"/>
  <c r="B312" i="51"/>
  <c r="I311" i="51"/>
  <c r="F311" i="51"/>
  <c r="I310" i="51"/>
  <c r="F310" i="51"/>
  <c r="I309" i="51"/>
  <c r="F309" i="51"/>
  <c r="I308" i="51"/>
  <c r="F308" i="51"/>
  <c r="I307" i="51"/>
  <c r="F307" i="51"/>
  <c r="I306" i="51"/>
  <c r="F306" i="51"/>
  <c r="I305" i="51"/>
  <c r="F305" i="51"/>
  <c r="I304" i="51"/>
  <c r="F304" i="51"/>
  <c r="I303" i="51"/>
  <c r="F303" i="51"/>
  <c r="I302" i="51"/>
  <c r="F302" i="51"/>
  <c r="I301" i="51"/>
  <c r="F301" i="51"/>
  <c r="I300" i="51"/>
  <c r="F300" i="51"/>
  <c r="I299" i="51"/>
  <c r="F299" i="51"/>
  <c r="I298" i="51"/>
  <c r="F298" i="51"/>
  <c r="I297" i="51"/>
  <c r="F297" i="51"/>
  <c r="I296" i="51"/>
  <c r="F296" i="51"/>
  <c r="I295" i="51"/>
  <c r="F295" i="51"/>
  <c r="I294" i="51"/>
  <c r="F294" i="51"/>
  <c r="I293" i="51"/>
  <c r="F293" i="51"/>
  <c r="I292" i="51"/>
  <c r="F292" i="51"/>
  <c r="I291" i="51"/>
  <c r="F291" i="51"/>
  <c r="I290" i="51"/>
  <c r="F290" i="51"/>
  <c r="I289" i="51"/>
  <c r="F289" i="51"/>
  <c r="I288" i="51"/>
  <c r="F288" i="51"/>
  <c r="B287" i="51"/>
  <c r="I286" i="51"/>
  <c r="F286" i="51"/>
  <c r="I285" i="51"/>
  <c r="F285" i="51"/>
  <c r="I284" i="51"/>
  <c r="F284" i="51"/>
  <c r="I283" i="51"/>
  <c r="F283" i="51"/>
  <c r="I282" i="51"/>
  <c r="F282" i="51"/>
  <c r="I281" i="51"/>
  <c r="I280" i="51"/>
  <c r="F280" i="51"/>
  <c r="I279" i="51"/>
  <c r="F279" i="51"/>
  <c r="I278" i="51"/>
  <c r="F278" i="51"/>
  <c r="I277" i="51"/>
  <c r="F277" i="51"/>
  <c r="I276" i="51"/>
  <c r="F276" i="51"/>
  <c r="I275" i="51"/>
  <c r="F275" i="51"/>
  <c r="I274" i="51"/>
  <c r="F274" i="51"/>
  <c r="E274" i="51"/>
  <c r="I273" i="51"/>
  <c r="F273" i="51"/>
  <c r="I272" i="51"/>
  <c r="F272" i="51"/>
  <c r="I271" i="51"/>
  <c r="F271" i="51"/>
  <c r="I270" i="51"/>
  <c r="F270" i="51"/>
  <c r="I269" i="51"/>
  <c r="F269" i="51"/>
  <c r="I268" i="51"/>
  <c r="F268" i="51"/>
  <c r="I267" i="51"/>
  <c r="F267" i="51"/>
  <c r="I266" i="51"/>
  <c r="F266" i="51"/>
  <c r="I265" i="51"/>
  <c r="F265" i="51"/>
  <c r="I264" i="51"/>
  <c r="F264" i="51"/>
  <c r="I263" i="51"/>
  <c r="F263" i="51"/>
  <c r="I262" i="51"/>
  <c r="F262" i="51"/>
  <c r="I261" i="51"/>
  <c r="F261" i="51"/>
  <c r="I260" i="51"/>
  <c r="F260" i="51"/>
  <c r="I259" i="51"/>
  <c r="F259" i="51"/>
  <c r="I258" i="51"/>
  <c r="F258" i="51"/>
  <c r="I257" i="51"/>
  <c r="F257" i="51"/>
  <c r="I256" i="51"/>
  <c r="F256" i="51"/>
  <c r="I255" i="51"/>
  <c r="F255" i="51"/>
  <c r="I254" i="51"/>
  <c r="F254" i="51"/>
  <c r="I253" i="51"/>
  <c r="F253" i="51"/>
  <c r="I252" i="51"/>
  <c r="F252" i="51"/>
  <c r="I251" i="51"/>
  <c r="F251" i="51"/>
  <c r="B250" i="51"/>
  <c r="J247" i="51"/>
  <c r="I247" i="51"/>
  <c r="G247" i="51"/>
  <c r="F247" i="51"/>
  <c r="I246" i="51"/>
  <c r="J246" i="51" s="1"/>
  <c r="G246" i="51"/>
  <c r="F246" i="51"/>
  <c r="I245" i="51"/>
  <c r="F245" i="51"/>
  <c r="I244" i="51"/>
  <c r="F244" i="51"/>
  <c r="J243" i="51"/>
  <c r="I243" i="51"/>
  <c r="F243" i="51"/>
  <c r="G243" i="51" s="1"/>
  <c r="I242" i="51"/>
  <c r="F242" i="51"/>
  <c r="I241" i="51"/>
  <c r="F241" i="51"/>
  <c r="I240" i="51"/>
  <c r="F240" i="51"/>
  <c r="J239" i="51"/>
  <c r="I239" i="51"/>
  <c r="F239" i="51"/>
  <c r="G239" i="51" s="1"/>
  <c r="I238" i="51"/>
  <c r="F238" i="51"/>
  <c r="I237" i="51"/>
  <c r="F237" i="51"/>
  <c r="I236" i="51"/>
  <c r="F236" i="51"/>
  <c r="I235" i="51"/>
  <c r="F235" i="51"/>
  <c r="E235" i="51"/>
  <c r="I234" i="51"/>
  <c r="F234" i="51"/>
  <c r="I233" i="51"/>
  <c r="F233" i="51"/>
  <c r="I232" i="51"/>
  <c r="F232" i="51"/>
  <c r="I231" i="51"/>
  <c r="F231" i="51"/>
  <c r="I230" i="51"/>
  <c r="F230" i="51"/>
  <c r="I229" i="51"/>
  <c r="F229" i="51"/>
  <c r="I228" i="51"/>
  <c r="F228" i="51"/>
  <c r="I227" i="51"/>
  <c r="F227" i="51"/>
  <c r="I226" i="51"/>
  <c r="F226" i="51"/>
  <c r="I225" i="51"/>
  <c r="F225" i="51"/>
  <c r="I224" i="51"/>
  <c r="F224" i="51"/>
  <c r="I223" i="51"/>
  <c r="F223" i="51"/>
  <c r="I222" i="51"/>
  <c r="F222" i="51"/>
  <c r="I221" i="51"/>
  <c r="F221" i="51"/>
  <c r="I220" i="51"/>
  <c r="F220" i="51"/>
  <c r="B219" i="51"/>
  <c r="I218" i="51"/>
  <c r="F218" i="51"/>
  <c r="E218" i="51"/>
  <c r="I217" i="51"/>
  <c r="F217" i="51"/>
  <c r="E217" i="51"/>
  <c r="G217" i="51" s="1"/>
  <c r="I216" i="51"/>
  <c r="F216" i="51"/>
  <c r="E216" i="51"/>
  <c r="I215" i="51"/>
  <c r="F215" i="51"/>
  <c r="E215" i="51"/>
  <c r="I214" i="51"/>
  <c r="F214" i="51"/>
  <c r="E214" i="51"/>
  <c r="J214" i="51" s="1"/>
  <c r="I213" i="51"/>
  <c r="F213" i="51"/>
  <c r="E213" i="51"/>
  <c r="J213" i="51" s="1"/>
  <c r="I212" i="51"/>
  <c r="F212" i="51"/>
  <c r="E212" i="51"/>
  <c r="G212" i="51" s="1"/>
  <c r="I211" i="51"/>
  <c r="F211" i="51"/>
  <c r="E211" i="51"/>
  <c r="G211" i="51" s="1"/>
  <c r="I210" i="51"/>
  <c r="J210" i="51" s="1"/>
  <c r="F210" i="51"/>
  <c r="G210" i="51" s="1"/>
  <c r="B209" i="51"/>
  <c r="I208" i="51"/>
  <c r="F208" i="51"/>
  <c r="I207" i="51"/>
  <c r="F207" i="51"/>
  <c r="I206" i="51"/>
  <c r="F206" i="51"/>
  <c r="I205" i="51"/>
  <c r="J205" i="51" s="1"/>
  <c r="F205" i="51"/>
  <c r="G205" i="51" s="1"/>
  <c r="I204" i="51"/>
  <c r="F204" i="51"/>
  <c r="I203" i="51"/>
  <c r="F203" i="51"/>
  <c r="I202" i="51"/>
  <c r="F202" i="51"/>
  <c r="I201" i="51"/>
  <c r="F201" i="51"/>
  <c r="I200" i="51"/>
  <c r="F200" i="51"/>
  <c r="I199" i="51"/>
  <c r="F199" i="51"/>
  <c r="I198" i="51"/>
  <c r="F198" i="51"/>
  <c r="I197" i="51"/>
  <c r="F197" i="51"/>
  <c r="I196" i="51"/>
  <c r="F196" i="51"/>
  <c r="J195" i="51"/>
  <c r="I195" i="51"/>
  <c r="F195" i="51"/>
  <c r="G195" i="51" s="1"/>
  <c r="I194" i="51"/>
  <c r="J194" i="51" s="1"/>
  <c r="G194" i="51"/>
  <c r="F194" i="51"/>
  <c r="J193" i="51"/>
  <c r="I193" i="51"/>
  <c r="G193" i="51"/>
  <c r="F193" i="51"/>
  <c r="J192" i="51"/>
  <c r="I192" i="51"/>
  <c r="F192" i="51"/>
  <c r="G192" i="51" s="1"/>
  <c r="I191" i="51"/>
  <c r="F191" i="51"/>
  <c r="I190" i="51"/>
  <c r="F190" i="51"/>
  <c r="I189" i="51"/>
  <c r="F189" i="51"/>
  <c r="I188" i="51"/>
  <c r="F188" i="51"/>
  <c r="I187" i="51"/>
  <c r="F187" i="51"/>
  <c r="I186" i="51"/>
  <c r="F186" i="51"/>
  <c r="I185" i="51"/>
  <c r="F185" i="51"/>
  <c r="I184" i="51"/>
  <c r="J184" i="51" s="1"/>
  <c r="F184" i="51"/>
  <c r="G184" i="51" s="1"/>
  <c r="J183" i="51"/>
  <c r="I183" i="51"/>
  <c r="F183" i="51"/>
  <c r="G183" i="51" s="1"/>
  <c r="I182" i="51"/>
  <c r="F182" i="51"/>
  <c r="I181" i="51"/>
  <c r="F181" i="51"/>
  <c r="I180" i="51"/>
  <c r="F180" i="51"/>
  <c r="I179" i="51"/>
  <c r="F179" i="51"/>
  <c r="I178" i="51"/>
  <c r="F178" i="51"/>
  <c r="I177" i="51"/>
  <c r="F177" i="51"/>
  <c r="I176" i="51"/>
  <c r="F176" i="51"/>
  <c r="I175" i="51"/>
  <c r="F175" i="51"/>
  <c r="I174" i="51"/>
  <c r="F174" i="51"/>
  <c r="I173" i="51"/>
  <c r="F173" i="51"/>
  <c r="I172" i="51"/>
  <c r="F172" i="51"/>
  <c r="I171" i="51"/>
  <c r="F171" i="51"/>
  <c r="I170" i="51"/>
  <c r="F170" i="51"/>
  <c r="I169" i="51"/>
  <c r="F169" i="51"/>
  <c r="I168" i="51"/>
  <c r="F168" i="51"/>
  <c r="I167" i="51"/>
  <c r="F167" i="51"/>
  <c r="I166" i="51"/>
  <c r="F166" i="51"/>
  <c r="B165" i="51"/>
  <c r="I164" i="51"/>
  <c r="F164" i="51"/>
  <c r="I163" i="51"/>
  <c r="F163" i="51"/>
  <c r="I162" i="51"/>
  <c r="F162" i="51"/>
  <c r="I161" i="51"/>
  <c r="F161" i="51"/>
  <c r="I160" i="51"/>
  <c r="F160" i="51"/>
  <c r="I159" i="51"/>
  <c r="F159" i="51"/>
  <c r="I158" i="51"/>
  <c r="F158" i="51"/>
  <c r="I157" i="51"/>
  <c r="F157" i="51"/>
  <c r="I156" i="51"/>
  <c r="F156" i="51"/>
  <c r="I155" i="51"/>
  <c r="F155" i="51"/>
  <c r="I154" i="51"/>
  <c r="F154" i="51"/>
  <c r="I153" i="51"/>
  <c r="F153" i="51"/>
  <c r="I152" i="51"/>
  <c r="F152" i="51"/>
  <c r="E152" i="51"/>
  <c r="I151" i="51"/>
  <c r="F151" i="51"/>
  <c r="I150" i="51"/>
  <c r="F150" i="51"/>
  <c r="I149" i="51"/>
  <c r="F149" i="51"/>
  <c r="I148" i="51"/>
  <c r="F148" i="51"/>
  <c r="I147" i="51"/>
  <c r="F147" i="51"/>
  <c r="I146" i="51"/>
  <c r="F146" i="51"/>
  <c r="I145" i="51"/>
  <c r="F145" i="51"/>
  <c r="I144" i="51"/>
  <c r="F144" i="51"/>
  <c r="I143" i="51"/>
  <c r="F143" i="51"/>
  <c r="I142" i="51"/>
  <c r="F142" i="51"/>
  <c r="I141" i="51"/>
  <c r="F141" i="51"/>
  <c r="I140" i="51"/>
  <c r="F140" i="51"/>
  <c r="B139" i="51"/>
  <c r="I136" i="51"/>
  <c r="J136" i="51" s="1"/>
  <c r="F136" i="51"/>
  <c r="G136" i="51" s="1"/>
  <c r="I135" i="51"/>
  <c r="J135" i="51" s="1"/>
  <c r="F135" i="51"/>
  <c r="G135" i="51" s="1"/>
  <c r="J134" i="51"/>
  <c r="I134" i="51"/>
  <c r="F134" i="51"/>
  <c r="G134" i="51" s="1"/>
  <c r="I133" i="51"/>
  <c r="J133" i="51" s="1"/>
  <c r="F133" i="51"/>
  <c r="G133" i="51" s="1"/>
  <c r="I132" i="51"/>
  <c r="J132" i="51" s="1"/>
  <c r="G132" i="51"/>
  <c r="F132" i="51"/>
  <c r="J131" i="51"/>
  <c r="I131" i="51"/>
  <c r="F131" i="51"/>
  <c r="G131" i="51" s="1"/>
  <c r="I130" i="51"/>
  <c r="J130" i="51" s="1"/>
  <c r="F130" i="51"/>
  <c r="G130" i="51" s="1"/>
  <c r="I129" i="51"/>
  <c r="J129" i="51" s="1"/>
  <c r="G129" i="51"/>
  <c r="F129" i="51"/>
  <c r="I128" i="51"/>
  <c r="J128" i="51" s="1"/>
  <c r="F128" i="51"/>
  <c r="G128" i="51" s="1"/>
  <c r="I127" i="51"/>
  <c r="J127" i="51" s="1"/>
  <c r="F127" i="51"/>
  <c r="G127" i="51" s="1"/>
  <c r="B126" i="51"/>
  <c r="I125" i="51"/>
  <c r="J125" i="51" s="1"/>
  <c r="G125" i="51"/>
  <c r="F125" i="51"/>
  <c r="J124" i="51"/>
  <c r="I124" i="51"/>
  <c r="G124" i="51"/>
  <c r="F124" i="51"/>
  <c r="J123" i="51"/>
  <c r="I123" i="51"/>
  <c r="F123" i="51"/>
  <c r="G123" i="51" s="1"/>
  <c r="I122" i="51"/>
  <c r="J122" i="51" s="1"/>
  <c r="G122" i="51"/>
  <c r="F122" i="51"/>
  <c r="J121" i="51"/>
  <c r="I121" i="51"/>
  <c r="G121" i="51"/>
  <c r="F121" i="51"/>
  <c r="J120" i="51"/>
  <c r="I120" i="51"/>
  <c r="F120" i="51"/>
  <c r="G120" i="51" s="1"/>
  <c r="I119" i="51"/>
  <c r="J119" i="51" s="1"/>
  <c r="G119" i="51"/>
  <c r="F119" i="51"/>
  <c r="J118" i="51"/>
  <c r="I118" i="51"/>
  <c r="G118" i="51"/>
  <c r="F118" i="51"/>
  <c r="J117" i="51"/>
  <c r="I117" i="51"/>
  <c r="F117" i="51"/>
  <c r="G117" i="51" s="1"/>
  <c r="I116" i="51"/>
  <c r="J116" i="51" s="1"/>
  <c r="G116" i="51"/>
  <c r="F116" i="51"/>
  <c r="J115" i="51"/>
  <c r="I115" i="51"/>
  <c r="G115" i="51"/>
  <c r="F115" i="51"/>
  <c r="J114" i="51"/>
  <c r="I114" i="51"/>
  <c r="F114" i="51"/>
  <c r="G114" i="51" s="1"/>
  <c r="I113" i="51"/>
  <c r="J113" i="51" s="1"/>
  <c r="G113" i="51"/>
  <c r="F113" i="51"/>
  <c r="J112" i="51"/>
  <c r="I112" i="51"/>
  <c r="G112" i="51"/>
  <c r="F112" i="51"/>
  <c r="J111" i="51"/>
  <c r="I111" i="51"/>
  <c r="F111" i="51"/>
  <c r="G111" i="51" s="1"/>
  <c r="I110" i="51"/>
  <c r="J110" i="51" s="1"/>
  <c r="G110" i="51"/>
  <c r="F110" i="51"/>
  <c r="J109" i="51"/>
  <c r="I109" i="51"/>
  <c r="G109" i="51"/>
  <c r="F109" i="51"/>
  <c r="J108" i="51"/>
  <c r="I108" i="51"/>
  <c r="F108" i="51"/>
  <c r="G108" i="51" s="1"/>
  <c r="I107" i="51"/>
  <c r="J107" i="51" s="1"/>
  <c r="G107" i="51"/>
  <c r="F107" i="51"/>
  <c r="J106" i="51"/>
  <c r="I106" i="51"/>
  <c r="G106" i="51"/>
  <c r="F106" i="51"/>
  <c r="B105" i="51"/>
  <c r="I104" i="51"/>
  <c r="J104" i="51" s="1"/>
  <c r="F104" i="51"/>
  <c r="G104" i="51" s="1"/>
  <c r="I103" i="51"/>
  <c r="J103" i="51" s="1"/>
  <c r="G103" i="51"/>
  <c r="F103" i="51"/>
  <c r="I102" i="51"/>
  <c r="J102" i="51" s="1"/>
  <c r="F102" i="51"/>
  <c r="G102" i="51" s="1"/>
  <c r="I101" i="51"/>
  <c r="J101" i="51" s="1"/>
  <c r="F101" i="51"/>
  <c r="G101" i="51" s="1"/>
  <c r="I100" i="51"/>
  <c r="J100" i="51" s="1"/>
  <c r="G100" i="51"/>
  <c r="F100" i="51"/>
  <c r="I99" i="51"/>
  <c r="J99" i="51" s="1"/>
  <c r="F99" i="51"/>
  <c r="G99" i="51" s="1"/>
  <c r="E99" i="51"/>
  <c r="I98" i="51"/>
  <c r="J98" i="51" s="1"/>
  <c r="F98" i="51"/>
  <c r="G98" i="51" s="1"/>
  <c r="B97" i="51"/>
  <c r="J96" i="51"/>
  <c r="I96" i="51"/>
  <c r="F96" i="51"/>
  <c r="G96" i="51" s="1"/>
  <c r="I95" i="51"/>
  <c r="J95" i="51" s="1"/>
  <c r="F95" i="51"/>
  <c r="G95" i="51" s="1"/>
  <c r="I94" i="51"/>
  <c r="J94" i="51" s="1"/>
  <c r="F94" i="51"/>
  <c r="G94" i="51" s="1"/>
  <c r="J93" i="51"/>
  <c r="I93" i="51"/>
  <c r="F93" i="51"/>
  <c r="G93" i="51" s="1"/>
  <c r="I92" i="51"/>
  <c r="J92" i="51" s="1"/>
  <c r="F92" i="51"/>
  <c r="G92" i="51" s="1"/>
  <c r="I91" i="51"/>
  <c r="J91" i="51" s="1"/>
  <c r="F91" i="51"/>
  <c r="G91" i="51" s="1"/>
  <c r="J90" i="51"/>
  <c r="I90" i="51"/>
  <c r="F90" i="51"/>
  <c r="G90" i="51" s="1"/>
  <c r="I89" i="51"/>
  <c r="J89" i="51" s="1"/>
  <c r="F89" i="51"/>
  <c r="G89" i="51" s="1"/>
  <c r="I88" i="51"/>
  <c r="J88" i="51" s="1"/>
  <c r="G88" i="51"/>
  <c r="F88" i="51"/>
  <c r="B87" i="51"/>
  <c r="I86" i="51"/>
  <c r="F86" i="51"/>
  <c r="I85" i="51"/>
  <c r="F85" i="51"/>
  <c r="I84" i="51"/>
  <c r="F84" i="51"/>
  <c r="I83" i="51"/>
  <c r="F83" i="51"/>
  <c r="I82" i="51"/>
  <c r="F82" i="51"/>
  <c r="I81" i="51"/>
  <c r="F81" i="51"/>
  <c r="I80" i="51"/>
  <c r="F80" i="51"/>
  <c r="J79" i="51"/>
  <c r="I79" i="51"/>
  <c r="F79" i="51"/>
  <c r="G79" i="51" s="1"/>
  <c r="E79" i="51"/>
  <c r="E227" i="51" s="1"/>
  <c r="G227" i="51" s="1"/>
  <c r="I78" i="51"/>
  <c r="F78" i="51"/>
  <c r="J77" i="51"/>
  <c r="I77" i="51"/>
  <c r="G77" i="51"/>
  <c r="F77" i="51"/>
  <c r="I76" i="51"/>
  <c r="F76" i="51"/>
  <c r="I75" i="51"/>
  <c r="F75" i="51"/>
  <c r="E75" i="51"/>
  <c r="I74" i="51"/>
  <c r="F74" i="51"/>
  <c r="I73" i="51"/>
  <c r="F73" i="51"/>
  <c r="I72" i="51"/>
  <c r="F72" i="51"/>
  <c r="I71" i="51"/>
  <c r="F71" i="51"/>
  <c r="I70" i="51"/>
  <c r="F70" i="51"/>
  <c r="B69" i="51"/>
  <c r="I68" i="51"/>
  <c r="J68" i="51" s="1"/>
  <c r="F68" i="51"/>
  <c r="G68" i="51" s="1"/>
  <c r="I67" i="51"/>
  <c r="J67" i="51" s="1"/>
  <c r="F67" i="51"/>
  <c r="G67" i="51" s="1"/>
  <c r="J66" i="51"/>
  <c r="I66" i="51"/>
  <c r="G66" i="51"/>
  <c r="F66" i="51"/>
  <c r="I65" i="51"/>
  <c r="J65" i="51" s="1"/>
  <c r="F65" i="51"/>
  <c r="G65" i="51" s="1"/>
  <c r="I64" i="51"/>
  <c r="J64" i="51" s="1"/>
  <c r="F64" i="51"/>
  <c r="G64" i="51" s="1"/>
  <c r="J63" i="51"/>
  <c r="I63" i="51"/>
  <c r="G63" i="51"/>
  <c r="F63" i="51"/>
  <c r="I62" i="51"/>
  <c r="J62" i="51" s="1"/>
  <c r="F62" i="51"/>
  <c r="G62" i="51" s="1"/>
  <c r="I61" i="51"/>
  <c r="J61" i="51" s="1"/>
  <c r="F61" i="51"/>
  <c r="G61" i="51" s="1"/>
  <c r="B60" i="51"/>
  <c r="I59" i="51"/>
  <c r="F59" i="51"/>
  <c r="I58" i="51"/>
  <c r="F58" i="51"/>
  <c r="I57" i="51"/>
  <c r="F57" i="51"/>
  <c r="I56" i="51"/>
  <c r="F56" i="51"/>
  <c r="I55" i="51"/>
  <c r="F55" i="51"/>
  <c r="I54" i="51"/>
  <c r="F54" i="51"/>
  <c r="I53" i="51"/>
  <c r="F53" i="51"/>
  <c r="I52" i="51"/>
  <c r="F52" i="51"/>
  <c r="I51" i="51"/>
  <c r="F51" i="51"/>
  <c r="I50" i="51"/>
  <c r="F50" i="51"/>
  <c r="I49" i="51"/>
  <c r="F49" i="51"/>
  <c r="I48" i="51"/>
  <c r="F48" i="51"/>
  <c r="I47" i="51"/>
  <c r="F47" i="51"/>
  <c r="I46" i="51"/>
  <c r="F46" i="51"/>
  <c r="I45" i="51"/>
  <c r="J45" i="51" s="1"/>
  <c r="F45" i="51"/>
  <c r="G45" i="51" s="1"/>
  <c r="I44" i="51"/>
  <c r="F44" i="51"/>
  <c r="I43" i="51"/>
  <c r="F43" i="51"/>
  <c r="I42" i="51"/>
  <c r="F42" i="51"/>
  <c r="I41" i="51"/>
  <c r="F41" i="51"/>
  <c r="I40" i="51"/>
  <c r="F40" i="51"/>
  <c r="I39" i="51"/>
  <c r="F39" i="51"/>
  <c r="I38" i="51"/>
  <c r="F38" i="51"/>
  <c r="I37" i="51"/>
  <c r="F37" i="51"/>
  <c r="I36" i="51"/>
  <c r="F36" i="51"/>
  <c r="I35" i="51"/>
  <c r="J35" i="51" s="1"/>
  <c r="F35" i="51"/>
  <c r="G35" i="51" s="1"/>
  <c r="I34" i="51"/>
  <c r="F34" i="51"/>
  <c r="B33" i="51"/>
  <c r="I32" i="51"/>
  <c r="F32" i="51"/>
  <c r="I31" i="51"/>
  <c r="F31" i="51"/>
  <c r="E31" i="51"/>
  <c r="I30" i="51"/>
  <c r="J30" i="51" s="1"/>
  <c r="F30" i="51"/>
  <c r="E30" i="51"/>
  <c r="I29" i="51"/>
  <c r="F29" i="51"/>
  <c r="I28" i="51"/>
  <c r="F28" i="51"/>
  <c r="G28" i="51" s="1"/>
  <c r="E28" i="51"/>
  <c r="J28" i="51" s="1"/>
  <c r="I27" i="51"/>
  <c r="F27" i="51"/>
  <c r="I26" i="51"/>
  <c r="F26" i="51"/>
  <c r="I25" i="51"/>
  <c r="F25" i="51"/>
  <c r="I24" i="51"/>
  <c r="F24" i="51"/>
  <c r="I23" i="51"/>
  <c r="F23" i="51"/>
  <c r="E23" i="51"/>
  <c r="I22" i="51"/>
  <c r="F22" i="51"/>
  <c r="I21" i="51"/>
  <c r="F21" i="51"/>
  <c r="I20" i="51"/>
  <c r="F20" i="51"/>
  <c r="I19" i="51"/>
  <c r="F19" i="51"/>
  <c r="I18" i="51"/>
  <c r="F18" i="51"/>
  <c r="I17" i="51"/>
  <c r="F17" i="51"/>
  <c r="I16" i="51"/>
  <c r="F16" i="51"/>
  <c r="G16" i="51" s="1"/>
  <c r="E16" i="51"/>
  <c r="J16" i="51" s="1"/>
  <c r="I15" i="51"/>
  <c r="F15" i="51"/>
  <c r="I14" i="51"/>
  <c r="F14" i="51"/>
  <c r="I13" i="51"/>
  <c r="F13" i="51"/>
  <c r="I12" i="51"/>
  <c r="F12" i="51"/>
  <c r="E12" i="51"/>
  <c r="G12" i="51" s="1"/>
  <c r="B11" i="51"/>
  <c r="F7" i="51"/>
  <c r="E203" i="51" s="1"/>
  <c r="C5" i="51"/>
  <c r="E245" i="51"/>
  <c r="E286" i="51"/>
  <c r="G374" i="50"/>
  <c r="B374" i="50" s="1"/>
  <c r="B372" i="50"/>
  <c r="J371" i="50"/>
  <c r="I371" i="50"/>
  <c r="F371" i="50"/>
  <c r="G371" i="50" s="1"/>
  <c r="J370" i="50"/>
  <c r="I370" i="50"/>
  <c r="F370" i="50"/>
  <c r="G370" i="50" s="1"/>
  <c r="I369" i="50"/>
  <c r="J369" i="50" s="1"/>
  <c r="F369" i="50"/>
  <c r="G369" i="50" s="1"/>
  <c r="J368" i="50"/>
  <c r="I368" i="50"/>
  <c r="F368" i="50"/>
  <c r="G368" i="50" s="1"/>
  <c r="J367" i="50"/>
  <c r="I367" i="50"/>
  <c r="F367" i="50"/>
  <c r="G367" i="50" s="1"/>
  <c r="I366" i="50"/>
  <c r="J366" i="50" s="1"/>
  <c r="F366" i="50"/>
  <c r="G366" i="50" s="1"/>
  <c r="J365" i="50"/>
  <c r="I365" i="50"/>
  <c r="F365" i="50"/>
  <c r="G365" i="50" s="1"/>
  <c r="I364" i="50"/>
  <c r="F364" i="50"/>
  <c r="B363" i="50"/>
  <c r="J361" i="50"/>
  <c r="I361" i="50"/>
  <c r="F361" i="50"/>
  <c r="G361" i="50" s="1"/>
  <c r="J360" i="50"/>
  <c r="I360" i="50"/>
  <c r="F360" i="50"/>
  <c r="G360" i="50" s="1"/>
  <c r="I359" i="50"/>
  <c r="J359" i="50" s="1"/>
  <c r="F359" i="50"/>
  <c r="G359" i="50" s="1"/>
  <c r="J358" i="50"/>
  <c r="I358" i="50"/>
  <c r="F358" i="50"/>
  <c r="G358" i="50" s="1"/>
  <c r="J357" i="50"/>
  <c r="I357" i="50"/>
  <c r="F357" i="50"/>
  <c r="G357" i="50" s="1"/>
  <c r="I356" i="50"/>
  <c r="J356" i="50" s="1"/>
  <c r="F356" i="50"/>
  <c r="G356" i="50" s="1"/>
  <c r="I355" i="50"/>
  <c r="J355" i="50" s="1"/>
  <c r="F355" i="50"/>
  <c r="G355" i="50" s="1"/>
  <c r="E355" i="50"/>
  <c r="B354" i="50"/>
  <c r="I353" i="50"/>
  <c r="J353" i="50" s="1"/>
  <c r="F353" i="50"/>
  <c r="G353" i="50" s="1"/>
  <c r="I352" i="50"/>
  <c r="J352" i="50" s="1"/>
  <c r="F352" i="50"/>
  <c r="G352" i="50" s="1"/>
  <c r="I351" i="50"/>
  <c r="J351" i="50" s="1"/>
  <c r="F351" i="50"/>
  <c r="G351" i="50" s="1"/>
  <c r="I350" i="50"/>
  <c r="J350" i="50" s="1"/>
  <c r="F350" i="50"/>
  <c r="G350" i="50" s="1"/>
  <c r="I349" i="50"/>
  <c r="J349" i="50" s="1"/>
  <c r="F349" i="50"/>
  <c r="G349" i="50" s="1"/>
  <c r="I348" i="50"/>
  <c r="J348" i="50" s="1"/>
  <c r="F348" i="50"/>
  <c r="G348" i="50" s="1"/>
  <c r="I347" i="50"/>
  <c r="J347" i="50" s="1"/>
  <c r="F347" i="50"/>
  <c r="G347" i="50" s="1"/>
  <c r="I346" i="50"/>
  <c r="J346" i="50" s="1"/>
  <c r="F346" i="50"/>
  <c r="G346" i="50" s="1"/>
  <c r="I345" i="50"/>
  <c r="J345" i="50" s="1"/>
  <c r="F345" i="50"/>
  <c r="G345" i="50" s="1"/>
  <c r="I344" i="50"/>
  <c r="J344" i="50" s="1"/>
  <c r="F344" i="50"/>
  <c r="G344" i="50" s="1"/>
  <c r="I343" i="50"/>
  <c r="J343" i="50" s="1"/>
  <c r="F343" i="50"/>
  <c r="G343" i="50" s="1"/>
  <c r="I342" i="50"/>
  <c r="J342" i="50" s="1"/>
  <c r="F342" i="50"/>
  <c r="G342" i="50" s="1"/>
  <c r="I341" i="50"/>
  <c r="J341" i="50" s="1"/>
  <c r="F341" i="50"/>
  <c r="G341" i="50" s="1"/>
  <c r="I340" i="50"/>
  <c r="J340" i="50" s="1"/>
  <c r="F340" i="50"/>
  <c r="G340" i="50" s="1"/>
  <c r="I339" i="50"/>
  <c r="J339" i="50" s="1"/>
  <c r="F339" i="50"/>
  <c r="G339" i="50" s="1"/>
  <c r="I338" i="50"/>
  <c r="J338" i="50" s="1"/>
  <c r="F338" i="50"/>
  <c r="G338" i="50" s="1"/>
  <c r="I337" i="50"/>
  <c r="J337" i="50" s="1"/>
  <c r="F337" i="50"/>
  <c r="G337" i="50" s="1"/>
  <c r="I336" i="50"/>
  <c r="J336" i="50" s="1"/>
  <c r="F336" i="50"/>
  <c r="G336" i="50" s="1"/>
  <c r="I335" i="50"/>
  <c r="J335" i="50" s="1"/>
  <c r="F335" i="50"/>
  <c r="G335" i="50" s="1"/>
  <c r="B334" i="50"/>
  <c r="I333" i="50"/>
  <c r="F333" i="50"/>
  <c r="I332" i="50"/>
  <c r="F332" i="50"/>
  <c r="I331" i="50"/>
  <c r="F331" i="50"/>
  <c r="I330" i="50"/>
  <c r="F330" i="50"/>
  <c r="I329" i="50"/>
  <c r="F329" i="50"/>
  <c r="E329" i="50"/>
  <c r="I328" i="50"/>
  <c r="F328" i="50"/>
  <c r="I327" i="50"/>
  <c r="F327" i="50"/>
  <c r="I326" i="50"/>
  <c r="F326" i="50"/>
  <c r="I325" i="50"/>
  <c r="F325" i="50"/>
  <c r="I324" i="50"/>
  <c r="F324" i="50"/>
  <c r="I323" i="50"/>
  <c r="F323" i="50"/>
  <c r="I322" i="50"/>
  <c r="F322" i="50"/>
  <c r="I321" i="50"/>
  <c r="F321" i="50"/>
  <c r="B320" i="50"/>
  <c r="I319" i="50"/>
  <c r="F319" i="50"/>
  <c r="I318" i="50"/>
  <c r="F318" i="50"/>
  <c r="E318" i="50"/>
  <c r="E319" i="50" s="1"/>
  <c r="J319" i="50" s="1"/>
  <c r="I317" i="50"/>
  <c r="F317" i="50"/>
  <c r="E317" i="50"/>
  <c r="J317" i="50" s="1"/>
  <c r="I316" i="50"/>
  <c r="F316" i="50"/>
  <c r="E316" i="50"/>
  <c r="I315" i="50"/>
  <c r="F315" i="50"/>
  <c r="E315" i="50"/>
  <c r="J315" i="50" s="1"/>
  <c r="I314" i="50"/>
  <c r="F314" i="50"/>
  <c r="E314" i="50"/>
  <c r="I313" i="50"/>
  <c r="F313" i="50"/>
  <c r="E313" i="50"/>
  <c r="G313" i="50" s="1"/>
  <c r="B312" i="50"/>
  <c r="I311" i="50"/>
  <c r="F311" i="50"/>
  <c r="I310" i="50"/>
  <c r="F310" i="50"/>
  <c r="I309" i="50"/>
  <c r="F309" i="50"/>
  <c r="I308" i="50"/>
  <c r="F308" i="50"/>
  <c r="I307" i="50"/>
  <c r="F307" i="50"/>
  <c r="I306" i="50"/>
  <c r="F306" i="50"/>
  <c r="I305" i="50"/>
  <c r="F305" i="50"/>
  <c r="I304" i="50"/>
  <c r="F304" i="50"/>
  <c r="I303" i="50"/>
  <c r="F303" i="50"/>
  <c r="I302" i="50"/>
  <c r="F302" i="50"/>
  <c r="I301" i="50"/>
  <c r="F301" i="50"/>
  <c r="I300" i="50"/>
  <c r="F300" i="50"/>
  <c r="I299" i="50"/>
  <c r="F299" i="50"/>
  <c r="I298" i="50"/>
  <c r="F298" i="50"/>
  <c r="I297" i="50"/>
  <c r="F297" i="50"/>
  <c r="I296" i="50"/>
  <c r="F296" i="50"/>
  <c r="I295" i="50"/>
  <c r="F295" i="50"/>
  <c r="I294" i="50"/>
  <c r="F294" i="50"/>
  <c r="I293" i="50"/>
  <c r="F293" i="50"/>
  <c r="I292" i="50"/>
  <c r="F292" i="50"/>
  <c r="I291" i="50"/>
  <c r="F291" i="50"/>
  <c r="I290" i="50"/>
  <c r="F290" i="50"/>
  <c r="I289" i="50"/>
  <c r="F289" i="50"/>
  <c r="I288" i="50"/>
  <c r="F288" i="50"/>
  <c r="B287" i="50"/>
  <c r="I286" i="50"/>
  <c r="F286" i="50"/>
  <c r="E286" i="50"/>
  <c r="I285" i="50"/>
  <c r="F285" i="50"/>
  <c r="I284" i="50"/>
  <c r="F284" i="50"/>
  <c r="I283" i="50"/>
  <c r="F283" i="50"/>
  <c r="I282" i="50"/>
  <c r="F282" i="50"/>
  <c r="I281" i="50"/>
  <c r="I280" i="50"/>
  <c r="F280" i="50"/>
  <c r="I279" i="50"/>
  <c r="F279" i="50"/>
  <c r="I278" i="50"/>
  <c r="F278" i="50"/>
  <c r="I277" i="50"/>
  <c r="F277" i="50"/>
  <c r="I276" i="50"/>
  <c r="F276" i="50"/>
  <c r="I275" i="50"/>
  <c r="F275" i="50"/>
  <c r="I274" i="50"/>
  <c r="F274" i="50"/>
  <c r="I273" i="50"/>
  <c r="F273" i="50"/>
  <c r="I272" i="50"/>
  <c r="F272" i="50"/>
  <c r="I271" i="50"/>
  <c r="F271" i="50"/>
  <c r="I270" i="50"/>
  <c r="F270" i="50"/>
  <c r="I269" i="50"/>
  <c r="F269" i="50"/>
  <c r="E269" i="50"/>
  <c r="I268" i="50"/>
  <c r="F268" i="50"/>
  <c r="I267" i="50"/>
  <c r="F267" i="50"/>
  <c r="I266" i="50"/>
  <c r="F266" i="50"/>
  <c r="I265" i="50"/>
  <c r="F265" i="50"/>
  <c r="I264" i="50"/>
  <c r="F264" i="50"/>
  <c r="I263" i="50"/>
  <c r="F263" i="50"/>
  <c r="I262" i="50"/>
  <c r="F262" i="50"/>
  <c r="I261" i="50"/>
  <c r="F261" i="50"/>
  <c r="I260" i="50"/>
  <c r="F260" i="50"/>
  <c r="I259" i="50"/>
  <c r="F259" i="50"/>
  <c r="I258" i="50"/>
  <c r="F258" i="50"/>
  <c r="I257" i="50"/>
  <c r="F257" i="50"/>
  <c r="I256" i="50"/>
  <c r="F256" i="50"/>
  <c r="I255" i="50"/>
  <c r="F255" i="50"/>
  <c r="I254" i="50"/>
  <c r="F254" i="50"/>
  <c r="I253" i="50"/>
  <c r="F253" i="50"/>
  <c r="I252" i="50"/>
  <c r="F252" i="50"/>
  <c r="I251" i="50"/>
  <c r="F251" i="50"/>
  <c r="B250" i="50"/>
  <c r="J247" i="50"/>
  <c r="I247" i="50"/>
  <c r="G247" i="50"/>
  <c r="F247" i="50"/>
  <c r="J246" i="50"/>
  <c r="I246" i="50"/>
  <c r="G246" i="50"/>
  <c r="F246" i="50"/>
  <c r="I245" i="50"/>
  <c r="F245" i="50"/>
  <c r="I244" i="50"/>
  <c r="F244" i="50"/>
  <c r="J243" i="50"/>
  <c r="I243" i="50"/>
  <c r="F243" i="50"/>
  <c r="G243" i="50" s="1"/>
  <c r="I242" i="50"/>
  <c r="F242" i="50"/>
  <c r="I241" i="50"/>
  <c r="F241" i="50"/>
  <c r="I240" i="50"/>
  <c r="F240" i="50"/>
  <c r="I239" i="50"/>
  <c r="J239" i="50" s="1"/>
  <c r="F239" i="50"/>
  <c r="G239" i="50" s="1"/>
  <c r="I238" i="50"/>
  <c r="F238" i="50"/>
  <c r="I237" i="50"/>
  <c r="F237" i="50"/>
  <c r="I236" i="50"/>
  <c r="F236" i="50"/>
  <c r="I235" i="50"/>
  <c r="F235" i="50"/>
  <c r="I234" i="50"/>
  <c r="F234" i="50"/>
  <c r="I233" i="50"/>
  <c r="F233" i="50"/>
  <c r="I232" i="50"/>
  <c r="F232" i="50"/>
  <c r="I231" i="50"/>
  <c r="F231" i="50"/>
  <c r="I230" i="50"/>
  <c r="F230" i="50"/>
  <c r="I229" i="50"/>
  <c r="F229" i="50"/>
  <c r="I228" i="50"/>
  <c r="F228" i="50"/>
  <c r="I227" i="50"/>
  <c r="F227" i="50"/>
  <c r="E227" i="50"/>
  <c r="G227" i="50" s="1"/>
  <c r="I226" i="50"/>
  <c r="F226" i="50"/>
  <c r="I225" i="50"/>
  <c r="F225" i="50"/>
  <c r="I224" i="50"/>
  <c r="F224" i="50"/>
  <c r="I223" i="50"/>
  <c r="F223" i="50"/>
  <c r="I222" i="50"/>
  <c r="F222" i="50"/>
  <c r="I221" i="50"/>
  <c r="F221" i="50"/>
  <c r="I220" i="50"/>
  <c r="F220" i="50"/>
  <c r="B219" i="50"/>
  <c r="I218" i="50"/>
  <c r="F218" i="50"/>
  <c r="E218" i="50"/>
  <c r="I217" i="50"/>
  <c r="F217" i="50"/>
  <c r="E217" i="50"/>
  <c r="G217" i="50" s="1"/>
  <c r="I216" i="50"/>
  <c r="F216" i="50"/>
  <c r="E216" i="50"/>
  <c r="I215" i="50"/>
  <c r="F215" i="50"/>
  <c r="E215" i="50"/>
  <c r="I214" i="50"/>
  <c r="F214" i="50"/>
  <c r="E214" i="50"/>
  <c r="I213" i="50"/>
  <c r="F213" i="50"/>
  <c r="E213" i="50"/>
  <c r="J213" i="50" s="1"/>
  <c r="I212" i="50"/>
  <c r="F212" i="50"/>
  <c r="E212" i="50"/>
  <c r="I211" i="50"/>
  <c r="G211" i="50"/>
  <c r="F211" i="50"/>
  <c r="E211" i="50"/>
  <c r="J211" i="50" s="1"/>
  <c r="J210" i="50"/>
  <c r="I210" i="50"/>
  <c r="G210" i="50"/>
  <c r="F210" i="50"/>
  <c r="B209" i="50"/>
  <c r="I208" i="50"/>
  <c r="F208" i="50"/>
  <c r="I207" i="50"/>
  <c r="F207" i="50"/>
  <c r="I206" i="50"/>
  <c r="F206" i="50"/>
  <c r="I205" i="50"/>
  <c r="J205" i="50" s="1"/>
  <c r="F205" i="50"/>
  <c r="G205" i="50" s="1"/>
  <c r="J204" i="50"/>
  <c r="I204" i="50"/>
  <c r="F204" i="50"/>
  <c r="G204" i="50" s="1"/>
  <c r="I203" i="50"/>
  <c r="J203" i="50" s="1"/>
  <c r="F203" i="50"/>
  <c r="G203" i="50" s="1"/>
  <c r="I202" i="50"/>
  <c r="F202" i="50"/>
  <c r="I201" i="50"/>
  <c r="F201" i="50"/>
  <c r="I200" i="50"/>
  <c r="F200" i="50"/>
  <c r="I199" i="50"/>
  <c r="F199" i="50"/>
  <c r="I198" i="50"/>
  <c r="F198" i="50"/>
  <c r="I197" i="50"/>
  <c r="F197" i="50"/>
  <c r="I196" i="50"/>
  <c r="F196" i="50"/>
  <c r="J195" i="50"/>
  <c r="I195" i="50"/>
  <c r="G195" i="50"/>
  <c r="F195" i="50"/>
  <c r="I194" i="50"/>
  <c r="J194" i="50" s="1"/>
  <c r="F194" i="50"/>
  <c r="G194" i="50" s="1"/>
  <c r="J193" i="50"/>
  <c r="I193" i="50"/>
  <c r="G193" i="50"/>
  <c r="F193" i="50"/>
  <c r="J192" i="50"/>
  <c r="I192" i="50"/>
  <c r="G192" i="50"/>
  <c r="F192" i="50"/>
  <c r="I191" i="50"/>
  <c r="F191" i="50"/>
  <c r="I190" i="50"/>
  <c r="F190" i="50"/>
  <c r="I189" i="50"/>
  <c r="F189" i="50"/>
  <c r="I188" i="50"/>
  <c r="F188" i="50"/>
  <c r="I187" i="50"/>
  <c r="F187" i="50"/>
  <c r="I186" i="50"/>
  <c r="F186" i="50"/>
  <c r="I185" i="50"/>
  <c r="F185" i="50"/>
  <c r="I184" i="50"/>
  <c r="J184" i="50" s="1"/>
  <c r="G184" i="50"/>
  <c r="F184" i="50"/>
  <c r="I183" i="50"/>
  <c r="J183" i="50" s="1"/>
  <c r="F183" i="50"/>
  <c r="G183" i="50" s="1"/>
  <c r="I182" i="50"/>
  <c r="F182" i="50"/>
  <c r="I181" i="50"/>
  <c r="F181" i="50"/>
  <c r="I180" i="50"/>
  <c r="F180" i="50"/>
  <c r="I179" i="50"/>
  <c r="F179" i="50"/>
  <c r="I178" i="50"/>
  <c r="F178" i="50"/>
  <c r="I177" i="50"/>
  <c r="F177" i="50"/>
  <c r="I176" i="50"/>
  <c r="F176" i="50"/>
  <c r="I175" i="50"/>
  <c r="F175" i="50"/>
  <c r="I174" i="50"/>
  <c r="F174" i="50"/>
  <c r="I173" i="50"/>
  <c r="F173" i="50"/>
  <c r="I172" i="50"/>
  <c r="F172" i="50"/>
  <c r="I171" i="50"/>
  <c r="F171" i="50"/>
  <c r="I170" i="50"/>
  <c r="F170" i="50"/>
  <c r="I169" i="50"/>
  <c r="F169" i="50"/>
  <c r="I168" i="50"/>
  <c r="F168" i="50"/>
  <c r="I167" i="50"/>
  <c r="F167" i="50"/>
  <c r="I166" i="50"/>
  <c r="F166" i="50"/>
  <c r="B165" i="50"/>
  <c r="I164" i="50"/>
  <c r="F164" i="50"/>
  <c r="I163" i="50"/>
  <c r="F163" i="50"/>
  <c r="I162" i="50"/>
  <c r="F162" i="50"/>
  <c r="I161" i="50"/>
  <c r="F161" i="50"/>
  <c r="I160" i="50"/>
  <c r="F160" i="50"/>
  <c r="I159" i="50"/>
  <c r="F159" i="50"/>
  <c r="I158" i="50"/>
  <c r="F158" i="50"/>
  <c r="I157" i="50"/>
  <c r="F157" i="50"/>
  <c r="I156" i="50"/>
  <c r="F156" i="50"/>
  <c r="I155" i="50"/>
  <c r="F155" i="50"/>
  <c r="I154" i="50"/>
  <c r="F154" i="50"/>
  <c r="I153" i="50"/>
  <c r="F153" i="50"/>
  <c r="I152" i="50"/>
  <c r="F152" i="50"/>
  <c r="I151" i="50"/>
  <c r="F151" i="50"/>
  <c r="I150" i="50"/>
  <c r="F150" i="50"/>
  <c r="I149" i="50"/>
  <c r="F149" i="50"/>
  <c r="I148" i="50"/>
  <c r="F148" i="50"/>
  <c r="I147" i="50"/>
  <c r="F147" i="50"/>
  <c r="I146" i="50"/>
  <c r="F146" i="50"/>
  <c r="I145" i="50"/>
  <c r="F145" i="50"/>
  <c r="I144" i="50"/>
  <c r="F144" i="50"/>
  <c r="I143" i="50"/>
  <c r="F143" i="50"/>
  <c r="I142" i="50"/>
  <c r="F142" i="50"/>
  <c r="I141" i="50"/>
  <c r="F141" i="50"/>
  <c r="I140" i="50"/>
  <c r="F140" i="50"/>
  <c r="B139" i="50"/>
  <c r="I136" i="50"/>
  <c r="J136" i="50" s="1"/>
  <c r="F136" i="50"/>
  <c r="G136" i="50" s="1"/>
  <c r="I135" i="50"/>
  <c r="J135" i="50" s="1"/>
  <c r="G135" i="50"/>
  <c r="F135" i="50"/>
  <c r="I134" i="50"/>
  <c r="J134" i="50" s="1"/>
  <c r="G134" i="50"/>
  <c r="F134" i="50"/>
  <c r="I133" i="50"/>
  <c r="J133" i="50" s="1"/>
  <c r="F133" i="50"/>
  <c r="G133" i="50" s="1"/>
  <c r="I132" i="50"/>
  <c r="J132" i="50" s="1"/>
  <c r="G132" i="50"/>
  <c r="F132" i="50"/>
  <c r="I131" i="50"/>
  <c r="J131" i="50" s="1"/>
  <c r="G131" i="50"/>
  <c r="F131" i="50"/>
  <c r="I130" i="50"/>
  <c r="J130" i="50" s="1"/>
  <c r="F130" i="50"/>
  <c r="G130" i="50" s="1"/>
  <c r="I129" i="50"/>
  <c r="J129" i="50" s="1"/>
  <c r="G129" i="50"/>
  <c r="F129" i="50"/>
  <c r="J128" i="50"/>
  <c r="I128" i="50"/>
  <c r="G128" i="50"/>
  <c r="F128" i="50"/>
  <c r="I127" i="50"/>
  <c r="J127" i="50" s="1"/>
  <c r="F127" i="50"/>
  <c r="G127" i="50" s="1"/>
  <c r="B126" i="50"/>
  <c r="I125" i="50"/>
  <c r="J125" i="50" s="1"/>
  <c r="F125" i="50"/>
  <c r="G125" i="50" s="1"/>
  <c r="J124" i="50"/>
  <c r="I124" i="50"/>
  <c r="G124" i="50"/>
  <c r="F124" i="50"/>
  <c r="J123" i="50"/>
  <c r="I123" i="50"/>
  <c r="G123" i="50"/>
  <c r="F123" i="50"/>
  <c r="I122" i="50"/>
  <c r="J122" i="50" s="1"/>
  <c r="F122" i="50"/>
  <c r="G122" i="50" s="1"/>
  <c r="J121" i="50"/>
  <c r="I121" i="50"/>
  <c r="G121" i="50"/>
  <c r="F121" i="50"/>
  <c r="J120" i="50"/>
  <c r="I120" i="50"/>
  <c r="G120" i="50"/>
  <c r="F120" i="50"/>
  <c r="I119" i="50"/>
  <c r="J119" i="50" s="1"/>
  <c r="F119" i="50"/>
  <c r="G119" i="50" s="1"/>
  <c r="J118" i="50"/>
  <c r="I118" i="50"/>
  <c r="G118" i="50"/>
  <c r="F118" i="50"/>
  <c r="J117" i="50"/>
  <c r="I117" i="50"/>
  <c r="G117" i="50"/>
  <c r="F117" i="50"/>
  <c r="I116" i="50"/>
  <c r="J116" i="50" s="1"/>
  <c r="F116" i="50"/>
  <c r="G116" i="50" s="1"/>
  <c r="J115" i="50"/>
  <c r="I115" i="50"/>
  <c r="G115" i="50"/>
  <c r="F115" i="50"/>
  <c r="J114" i="50"/>
  <c r="I114" i="50"/>
  <c r="G114" i="50"/>
  <c r="F114" i="50"/>
  <c r="I113" i="50"/>
  <c r="J113" i="50" s="1"/>
  <c r="F113" i="50"/>
  <c r="G113" i="50" s="1"/>
  <c r="J112" i="50"/>
  <c r="I112" i="50"/>
  <c r="G112" i="50"/>
  <c r="F112" i="50"/>
  <c r="J111" i="50"/>
  <c r="I111" i="50"/>
  <c r="G111" i="50"/>
  <c r="F111" i="50"/>
  <c r="I110" i="50"/>
  <c r="J110" i="50" s="1"/>
  <c r="F110" i="50"/>
  <c r="G110" i="50" s="1"/>
  <c r="J109" i="50"/>
  <c r="I109" i="50"/>
  <c r="G109" i="50"/>
  <c r="F109" i="50"/>
  <c r="J108" i="50"/>
  <c r="I108" i="50"/>
  <c r="G108" i="50"/>
  <c r="F108" i="50"/>
  <c r="I107" i="50"/>
  <c r="J107" i="50" s="1"/>
  <c r="F107" i="50"/>
  <c r="G107" i="50" s="1"/>
  <c r="J106" i="50"/>
  <c r="I106" i="50"/>
  <c r="G106" i="50"/>
  <c r="F106" i="50"/>
  <c r="B105" i="50"/>
  <c r="I104" i="50"/>
  <c r="J104" i="50" s="1"/>
  <c r="F104" i="50"/>
  <c r="G104" i="50" s="1"/>
  <c r="J103" i="50"/>
  <c r="I103" i="50"/>
  <c r="F103" i="50"/>
  <c r="G103" i="50" s="1"/>
  <c r="J102" i="50"/>
  <c r="I102" i="50"/>
  <c r="F102" i="50"/>
  <c r="G102" i="50" s="1"/>
  <c r="I101" i="50"/>
  <c r="J101" i="50" s="1"/>
  <c r="F101" i="50"/>
  <c r="G101" i="50" s="1"/>
  <c r="J100" i="50"/>
  <c r="I100" i="50"/>
  <c r="F100" i="50"/>
  <c r="G100" i="50" s="1"/>
  <c r="J99" i="50"/>
  <c r="I99" i="50"/>
  <c r="F99" i="50"/>
  <c r="G99" i="50" s="1"/>
  <c r="E99" i="50"/>
  <c r="J98" i="50"/>
  <c r="I98" i="50"/>
  <c r="F98" i="50"/>
  <c r="G98" i="50" s="1"/>
  <c r="B97" i="50"/>
  <c r="I96" i="50"/>
  <c r="J96" i="50" s="1"/>
  <c r="G96" i="50"/>
  <c r="F96" i="50"/>
  <c r="I95" i="50"/>
  <c r="J95" i="50" s="1"/>
  <c r="F95" i="50"/>
  <c r="G95" i="50" s="1"/>
  <c r="I94" i="50"/>
  <c r="J94" i="50" s="1"/>
  <c r="G94" i="50"/>
  <c r="F94" i="50"/>
  <c r="I93" i="50"/>
  <c r="J93" i="50" s="1"/>
  <c r="G93" i="50"/>
  <c r="F93" i="50"/>
  <c r="I92" i="50"/>
  <c r="J92" i="50" s="1"/>
  <c r="F92" i="50"/>
  <c r="G92" i="50" s="1"/>
  <c r="I91" i="50"/>
  <c r="J91" i="50" s="1"/>
  <c r="G91" i="50"/>
  <c r="F91" i="50"/>
  <c r="J90" i="50"/>
  <c r="I90" i="50"/>
  <c r="G90" i="50"/>
  <c r="F90" i="50"/>
  <c r="I89" i="50"/>
  <c r="J89" i="50" s="1"/>
  <c r="F89" i="50"/>
  <c r="G89" i="50" s="1"/>
  <c r="I88" i="50"/>
  <c r="J88" i="50" s="1"/>
  <c r="G88" i="50"/>
  <c r="F88" i="50"/>
  <c r="B87" i="50"/>
  <c r="I86" i="50"/>
  <c r="F86" i="50"/>
  <c r="I85" i="50"/>
  <c r="F85" i="50"/>
  <c r="I84" i="50"/>
  <c r="F84" i="50"/>
  <c r="I83" i="50"/>
  <c r="F83" i="50"/>
  <c r="I82" i="50"/>
  <c r="F82" i="50"/>
  <c r="I81" i="50"/>
  <c r="F81" i="50"/>
  <c r="I80" i="50"/>
  <c r="F80" i="50"/>
  <c r="I79" i="50"/>
  <c r="J79" i="50" s="1"/>
  <c r="G79" i="50"/>
  <c r="F79" i="50"/>
  <c r="I78" i="50"/>
  <c r="F78" i="50"/>
  <c r="I77" i="50"/>
  <c r="J77" i="50" s="1"/>
  <c r="F77" i="50"/>
  <c r="G77" i="50" s="1"/>
  <c r="I76" i="50"/>
  <c r="F76" i="50"/>
  <c r="I75" i="50"/>
  <c r="F75" i="50"/>
  <c r="I74" i="50"/>
  <c r="F74" i="50"/>
  <c r="I73" i="50"/>
  <c r="F73" i="50"/>
  <c r="I72" i="50"/>
  <c r="F72" i="50"/>
  <c r="I71" i="50"/>
  <c r="F71" i="50"/>
  <c r="I70" i="50"/>
  <c r="F70" i="50"/>
  <c r="B69" i="50"/>
  <c r="J68" i="50"/>
  <c r="I68" i="50"/>
  <c r="G68" i="50"/>
  <c r="F68" i="50"/>
  <c r="J67" i="50"/>
  <c r="I67" i="50"/>
  <c r="G67" i="50"/>
  <c r="F67" i="50"/>
  <c r="I66" i="50"/>
  <c r="J66" i="50" s="1"/>
  <c r="F66" i="50"/>
  <c r="G66" i="50" s="1"/>
  <c r="J65" i="50"/>
  <c r="I65" i="50"/>
  <c r="G65" i="50"/>
  <c r="F65" i="50"/>
  <c r="J64" i="50"/>
  <c r="I64" i="50"/>
  <c r="G64" i="50"/>
  <c r="F64" i="50"/>
  <c r="I63" i="50"/>
  <c r="J63" i="50" s="1"/>
  <c r="F63" i="50"/>
  <c r="G63" i="50" s="1"/>
  <c r="J62" i="50"/>
  <c r="I62" i="50"/>
  <c r="G62" i="50"/>
  <c r="F62" i="50"/>
  <c r="J61" i="50"/>
  <c r="I61" i="50"/>
  <c r="G61" i="50"/>
  <c r="F61" i="50"/>
  <c r="B60" i="50"/>
  <c r="J59" i="50"/>
  <c r="I59" i="50"/>
  <c r="G59" i="50"/>
  <c r="F59" i="50"/>
  <c r="J58" i="50"/>
  <c r="I58" i="50"/>
  <c r="F58" i="50"/>
  <c r="G58" i="50" s="1"/>
  <c r="I57" i="50"/>
  <c r="F57" i="50"/>
  <c r="I56" i="50"/>
  <c r="F56" i="50"/>
  <c r="I55" i="50"/>
  <c r="F55" i="50"/>
  <c r="I54" i="50"/>
  <c r="F54" i="50"/>
  <c r="I53" i="50"/>
  <c r="F53" i="50"/>
  <c r="I52" i="50"/>
  <c r="F52" i="50"/>
  <c r="I51" i="50"/>
  <c r="F51" i="50"/>
  <c r="I50" i="50"/>
  <c r="F50" i="50"/>
  <c r="I49" i="50"/>
  <c r="F49" i="50"/>
  <c r="I48" i="50"/>
  <c r="F48" i="50"/>
  <c r="I47" i="50"/>
  <c r="F47" i="50"/>
  <c r="I46" i="50"/>
  <c r="F46" i="50"/>
  <c r="I45" i="50"/>
  <c r="J45" i="50" s="1"/>
  <c r="F45" i="50"/>
  <c r="G45" i="50" s="1"/>
  <c r="I44" i="50"/>
  <c r="F44" i="50"/>
  <c r="J43" i="50"/>
  <c r="I43" i="50"/>
  <c r="G43" i="50"/>
  <c r="F43" i="50"/>
  <c r="I42" i="50"/>
  <c r="F42" i="50"/>
  <c r="I41" i="50"/>
  <c r="F41" i="50"/>
  <c r="I40" i="50"/>
  <c r="F40" i="50"/>
  <c r="I39" i="50"/>
  <c r="F39" i="50"/>
  <c r="I38" i="50"/>
  <c r="F38" i="50"/>
  <c r="I37" i="50"/>
  <c r="F37" i="50"/>
  <c r="I36" i="50"/>
  <c r="F36" i="50"/>
  <c r="I35" i="50"/>
  <c r="J35" i="50" s="1"/>
  <c r="F35" i="50"/>
  <c r="G35" i="50" s="1"/>
  <c r="J34" i="50"/>
  <c r="I34" i="50"/>
  <c r="F34" i="50"/>
  <c r="G34" i="50" s="1"/>
  <c r="B33" i="50"/>
  <c r="I32" i="50"/>
  <c r="F32" i="50"/>
  <c r="I31" i="50"/>
  <c r="J31" i="50" s="1"/>
  <c r="G31" i="50"/>
  <c r="F31" i="50"/>
  <c r="I30" i="50"/>
  <c r="F30" i="50"/>
  <c r="I29" i="50"/>
  <c r="F29" i="50"/>
  <c r="I28" i="50"/>
  <c r="F28" i="50"/>
  <c r="I27" i="50"/>
  <c r="F27" i="50"/>
  <c r="I26" i="50"/>
  <c r="F26" i="50"/>
  <c r="I25" i="50"/>
  <c r="F25" i="50"/>
  <c r="I24" i="50"/>
  <c r="F24" i="50"/>
  <c r="I23" i="50"/>
  <c r="F23" i="50"/>
  <c r="I22" i="50"/>
  <c r="F22" i="50"/>
  <c r="I21" i="50"/>
  <c r="F21" i="50"/>
  <c r="I20" i="50"/>
  <c r="F20" i="50"/>
  <c r="I19" i="50"/>
  <c r="F19" i="50"/>
  <c r="I18" i="50"/>
  <c r="F18" i="50"/>
  <c r="I17" i="50"/>
  <c r="F17" i="50"/>
  <c r="I16" i="50"/>
  <c r="F16" i="50"/>
  <c r="I15" i="50"/>
  <c r="F15" i="50"/>
  <c r="I14" i="50"/>
  <c r="F14" i="50"/>
  <c r="I13" i="50"/>
  <c r="F13" i="50"/>
  <c r="I12" i="50"/>
  <c r="J12" i="50" s="1"/>
  <c r="F12" i="50"/>
  <c r="G12" i="50" s="1"/>
  <c r="E12" i="50"/>
  <c r="B11" i="50"/>
  <c r="I7" i="50"/>
  <c r="F7" i="50"/>
  <c r="A6" i="50" s="1"/>
  <c r="E308" i="50" s="1"/>
  <c r="C5" i="50"/>
  <c r="E257" i="50"/>
  <c r="E283" i="50"/>
  <c r="G283" i="50" s="1"/>
  <c r="G374" i="49"/>
  <c r="B374" i="49" s="1"/>
  <c r="B372" i="49"/>
  <c r="J371" i="49"/>
  <c r="I371" i="49"/>
  <c r="F371" i="49"/>
  <c r="G371" i="49" s="1"/>
  <c r="J370" i="49"/>
  <c r="I370" i="49"/>
  <c r="F370" i="49"/>
  <c r="G370" i="49" s="1"/>
  <c r="I369" i="49"/>
  <c r="J369" i="49" s="1"/>
  <c r="F369" i="49"/>
  <c r="G369" i="49" s="1"/>
  <c r="J368" i="49"/>
  <c r="I368" i="49"/>
  <c r="F368" i="49"/>
  <c r="G368" i="49" s="1"/>
  <c r="J367" i="49"/>
  <c r="I367" i="49"/>
  <c r="F367" i="49"/>
  <c r="G367" i="49" s="1"/>
  <c r="I366" i="49"/>
  <c r="J366" i="49" s="1"/>
  <c r="F366" i="49"/>
  <c r="G366" i="49" s="1"/>
  <c r="J365" i="49"/>
  <c r="I365" i="49"/>
  <c r="F365" i="49"/>
  <c r="G365" i="49" s="1"/>
  <c r="I364" i="49"/>
  <c r="F364" i="49"/>
  <c r="B363" i="49"/>
  <c r="J361" i="49"/>
  <c r="I361" i="49"/>
  <c r="F361" i="49"/>
  <c r="G361" i="49" s="1"/>
  <c r="J360" i="49"/>
  <c r="I360" i="49"/>
  <c r="F360" i="49"/>
  <c r="G360" i="49" s="1"/>
  <c r="J359" i="49"/>
  <c r="I359" i="49"/>
  <c r="F359" i="49"/>
  <c r="G359" i="49" s="1"/>
  <c r="J358" i="49"/>
  <c r="I358" i="49"/>
  <c r="F358" i="49"/>
  <c r="G358" i="49" s="1"/>
  <c r="J357" i="49"/>
  <c r="I357" i="49"/>
  <c r="F357" i="49"/>
  <c r="G357" i="49" s="1"/>
  <c r="J356" i="49"/>
  <c r="I356" i="49"/>
  <c r="F356" i="49"/>
  <c r="G356" i="49" s="1"/>
  <c r="I355" i="49"/>
  <c r="F355" i="49"/>
  <c r="G355" i="49" s="1"/>
  <c r="E355" i="49"/>
  <c r="J355" i="49" s="1"/>
  <c r="B354" i="49"/>
  <c r="I353" i="49"/>
  <c r="J353" i="49" s="1"/>
  <c r="G353" i="49"/>
  <c r="F353" i="49"/>
  <c r="I352" i="49"/>
  <c r="J352" i="49" s="1"/>
  <c r="G352" i="49"/>
  <c r="F352" i="49"/>
  <c r="I351" i="49"/>
  <c r="J351" i="49" s="1"/>
  <c r="F351" i="49"/>
  <c r="G351" i="49" s="1"/>
  <c r="I350" i="49"/>
  <c r="J350" i="49" s="1"/>
  <c r="G350" i="49"/>
  <c r="F350" i="49"/>
  <c r="I349" i="49"/>
  <c r="J349" i="49" s="1"/>
  <c r="F349" i="49"/>
  <c r="G349" i="49" s="1"/>
  <c r="I348" i="49"/>
  <c r="J348" i="49" s="1"/>
  <c r="F348" i="49"/>
  <c r="G348" i="49" s="1"/>
  <c r="I347" i="49"/>
  <c r="J347" i="49" s="1"/>
  <c r="G347" i="49"/>
  <c r="F347" i="49"/>
  <c r="I346" i="49"/>
  <c r="J346" i="49" s="1"/>
  <c r="F346" i="49"/>
  <c r="G346" i="49" s="1"/>
  <c r="I345" i="49"/>
  <c r="J345" i="49" s="1"/>
  <c r="F345" i="49"/>
  <c r="G345" i="49" s="1"/>
  <c r="I344" i="49"/>
  <c r="J344" i="49" s="1"/>
  <c r="G344" i="49"/>
  <c r="F344" i="49"/>
  <c r="I343" i="49"/>
  <c r="J343" i="49" s="1"/>
  <c r="F343" i="49"/>
  <c r="G343" i="49" s="1"/>
  <c r="I342" i="49"/>
  <c r="J342" i="49" s="1"/>
  <c r="F342" i="49"/>
  <c r="G342" i="49" s="1"/>
  <c r="I341" i="49"/>
  <c r="J341" i="49" s="1"/>
  <c r="G341" i="49"/>
  <c r="F341" i="49"/>
  <c r="I340" i="49"/>
  <c r="J340" i="49" s="1"/>
  <c r="F340" i="49"/>
  <c r="G340" i="49" s="1"/>
  <c r="I339" i="49"/>
  <c r="J339" i="49" s="1"/>
  <c r="F339" i="49"/>
  <c r="G339" i="49" s="1"/>
  <c r="I338" i="49"/>
  <c r="J338" i="49" s="1"/>
  <c r="G338" i="49"/>
  <c r="F338" i="49"/>
  <c r="I337" i="49"/>
  <c r="J337" i="49" s="1"/>
  <c r="F337" i="49"/>
  <c r="G337" i="49" s="1"/>
  <c r="I336" i="49"/>
  <c r="J336" i="49" s="1"/>
  <c r="F336" i="49"/>
  <c r="G336" i="49" s="1"/>
  <c r="I335" i="49"/>
  <c r="J335" i="49" s="1"/>
  <c r="G335" i="49"/>
  <c r="F335" i="49"/>
  <c r="B334" i="49"/>
  <c r="I333" i="49"/>
  <c r="F333" i="49"/>
  <c r="I332" i="49"/>
  <c r="F332" i="49"/>
  <c r="I331" i="49"/>
  <c r="F331" i="49"/>
  <c r="I330" i="49"/>
  <c r="F330" i="49"/>
  <c r="I329" i="49"/>
  <c r="F329" i="49"/>
  <c r="E329" i="49"/>
  <c r="I328" i="49"/>
  <c r="F328" i="49"/>
  <c r="I327" i="49"/>
  <c r="F327" i="49"/>
  <c r="I326" i="49"/>
  <c r="F326" i="49"/>
  <c r="I325" i="49"/>
  <c r="F325" i="49"/>
  <c r="I324" i="49"/>
  <c r="F324" i="49"/>
  <c r="I323" i="49"/>
  <c r="F323" i="49"/>
  <c r="I322" i="49"/>
  <c r="F322" i="49"/>
  <c r="I321" i="49"/>
  <c r="F321" i="49"/>
  <c r="B320" i="49"/>
  <c r="I319" i="49"/>
  <c r="F319" i="49"/>
  <c r="I318" i="49"/>
  <c r="F318" i="49"/>
  <c r="E318" i="49"/>
  <c r="E319" i="49" s="1"/>
  <c r="J319" i="49" s="1"/>
  <c r="I317" i="49"/>
  <c r="F317" i="49"/>
  <c r="E317" i="49"/>
  <c r="J317" i="49" s="1"/>
  <c r="I316" i="49"/>
  <c r="F316" i="49"/>
  <c r="E316" i="49"/>
  <c r="G316" i="49" s="1"/>
  <c r="I315" i="49"/>
  <c r="F315" i="49"/>
  <c r="E315" i="49"/>
  <c r="J315" i="49" s="1"/>
  <c r="I314" i="49"/>
  <c r="F314" i="49"/>
  <c r="E314" i="49"/>
  <c r="G314" i="49" s="1"/>
  <c r="I313" i="49"/>
  <c r="F313" i="49"/>
  <c r="E313" i="49"/>
  <c r="G313" i="49" s="1"/>
  <c r="B312" i="49"/>
  <c r="I311" i="49"/>
  <c r="F311" i="49"/>
  <c r="I310" i="49"/>
  <c r="F310" i="49"/>
  <c r="I309" i="49"/>
  <c r="F309" i="49"/>
  <c r="I308" i="49"/>
  <c r="F308" i="49"/>
  <c r="I307" i="49"/>
  <c r="F307" i="49"/>
  <c r="I306" i="49"/>
  <c r="F306" i="49"/>
  <c r="I305" i="49"/>
  <c r="F305" i="49"/>
  <c r="I304" i="49"/>
  <c r="F304" i="49"/>
  <c r="I303" i="49"/>
  <c r="F303" i="49"/>
  <c r="I302" i="49"/>
  <c r="F302" i="49"/>
  <c r="I301" i="49"/>
  <c r="F301" i="49"/>
  <c r="I300" i="49"/>
  <c r="F300" i="49"/>
  <c r="I299" i="49"/>
  <c r="F299" i="49"/>
  <c r="I298" i="49"/>
  <c r="F298" i="49"/>
  <c r="I297" i="49"/>
  <c r="F297" i="49"/>
  <c r="I296" i="49"/>
  <c r="F296" i="49"/>
  <c r="I295" i="49"/>
  <c r="F295" i="49"/>
  <c r="I294" i="49"/>
  <c r="F294" i="49"/>
  <c r="I293" i="49"/>
  <c r="F293" i="49"/>
  <c r="I292" i="49"/>
  <c r="F292" i="49"/>
  <c r="I291" i="49"/>
  <c r="F291" i="49"/>
  <c r="I290" i="49"/>
  <c r="F290" i="49"/>
  <c r="I289" i="49"/>
  <c r="F289" i="49"/>
  <c r="I288" i="49"/>
  <c r="F288" i="49"/>
  <c r="B287" i="49"/>
  <c r="I286" i="49"/>
  <c r="F286" i="49"/>
  <c r="E286" i="49"/>
  <c r="G286" i="49" s="1"/>
  <c r="I285" i="49"/>
  <c r="F285" i="49"/>
  <c r="I284" i="49"/>
  <c r="F284" i="49"/>
  <c r="G284" i="49" s="1"/>
  <c r="E284" i="49"/>
  <c r="I283" i="49"/>
  <c r="F283" i="49"/>
  <c r="I282" i="49"/>
  <c r="F282" i="49"/>
  <c r="I281" i="49"/>
  <c r="I280" i="49"/>
  <c r="F280" i="49"/>
  <c r="I279" i="49"/>
  <c r="F279" i="49"/>
  <c r="I278" i="49"/>
  <c r="F278" i="49"/>
  <c r="I277" i="49"/>
  <c r="F277" i="49"/>
  <c r="I276" i="49"/>
  <c r="F276" i="49"/>
  <c r="I275" i="49"/>
  <c r="F275" i="49"/>
  <c r="I274" i="49"/>
  <c r="F274" i="49"/>
  <c r="E274" i="49"/>
  <c r="G274" i="49" s="1"/>
  <c r="I273" i="49"/>
  <c r="F273" i="49"/>
  <c r="I272" i="49"/>
  <c r="F272" i="49"/>
  <c r="I271" i="49"/>
  <c r="F271" i="49"/>
  <c r="I270" i="49"/>
  <c r="F270" i="49"/>
  <c r="I269" i="49"/>
  <c r="F269" i="49"/>
  <c r="G269" i="49" s="1"/>
  <c r="E269" i="49"/>
  <c r="I268" i="49"/>
  <c r="F268" i="49"/>
  <c r="I267" i="49"/>
  <c r="F267" i="49"/>
  <c r="I266" i="49"/>
  <c r="F266" i="49"/>
  <c r="I265" i="49"/>
  <c r="F265" i="49"/>
  <c r="I264" i="49"/>
  <c r="F264" i="49"/>
  <c r="I263" i="49"/>
  <c r="F263" i="49"/>
  <c r="I262" i="49"/>
  <c r="F262" i="49"/>
  <c r="I261" i="49"/>
  <c r="F261" i="49"/>
  <c r="I260" i="49"/>
  <c r="F260" i="49"/>
  <c r="I259" i="49"/>
  <c r="F259" i="49"/>
  <c r="I258" i="49"/>
  <c r="F258" i="49"/>
  <c r="I257" i="49"/>
  <c r="F257" i="49"/>
  <c r="I256" i="49"/>
  <c r="F256" i="49"/>
  <c r="I255" i="49"/>
  <c r="F255" i="49"/>
  <c r="I254" i="49"/>
  <c r="F254" i="49"/>
  <c r="I253" i="49"/>
  <c r="F253" i="49"/>
  <c r="I252" i="49"/>
  <c r="F252" i="49"/>
  <c r="I251" i="49"/>
  <c r="F251" i="49"/>
  <c r="B250" i="49"/>
  <c r="J247" i="49"/>
  <c r="I247" i="49"/>
  <c r="G247" i="49"/>
  <c r="F247" i="49"/>
  <c r="J246" i="49"/>
  <c r="I246" i="49"/>
  <c r="G246" i="49"/>
  <c r="F246" i="49"/>
  <c r="I245" i="49"/>
  <c r="F245" i="49"/>
  <c r="I244" i="49"/>
  <c r="F244" i="49"/>
  <c r="J243" i="49"/>
  <c r="I243" i="49"/>
  <c r="F243" i="49"/>
  <c r="G243" i="49" s="1"/>
  <c r="I242" i="49"/>
  <c r="F242" i="49"/>
  <c r="I241" i="49"/>
  <c r="F241" i="49"/>
  <c r="I240" i="49"/>
  <c r="F240" i="49"/>
  <c r="E240" i="49"/>
  <c r="I239" i="49"/>
  <c r="J239" i="49" s="1"/>
  <c r="F239" i="49"/>
  <c r="G239" i="49" s="1"/>
  <c r="I238" i="49"/>
  <c r="F238" i="49"/>
  <c r="I237" i="49"/>
  <c r="F237" i="49"/>
  <c r="I236" i="49"/>
  <c r="F236" i="49"/>
  <c r="I235" i="49"/>
  <c r="F235" i="49"/>
  <c r="E235" i="49"/>
  <c r="I234" i="49"/>
  <c r="F234" i="49"/>
  <c r="I233" i="49"/>
  <c r="F233" i="49"/>
  <c r="I232" i="49"/>
  <c r="F232" i="49"/>
  <c r="I231" i="49"/>
  <c r="F231" i="49"/>
  <c r="I230" i="49"/>
  <c r="F230" i="49"/>
  <c r="I229" i="49"/>
  <c r="F229" i="49"/>
  <c r="I228" i="49"/>
  <c r="F228" i="49"/>
  <c r="I227" i="49"/>
  <c r="F227" i="49"/>
  <c r="E227" i="49"/>
  <c r="G227" i="49" s="1"/>
  <c r="I226" i="49"/>
  <c r="F226" i="49"/>
  <c r="I225" i="49"/>
  <c r="F225" i="49"/>
  <c r="I224" i="49"/>
  <c r="F224" i="49"/>
  <c r="I223" i="49"/>
  <c r="F223" i="49"/>
  <c r="I222" i="49"/>
  <c r="F222" i="49"/>
  <c r="I221" i="49"/>
  <c r="F221" i="49"/>
  <c r="I220" i="49"/>
  <c r="F220" i="49"/>
  <c r="B219" i="49"/>
  <c r="I218" i="49"/>
  <c r="F218" i="49"/>
  <c r="E218" i="49"/>
  <c r="I217" i="49"/>
  <c r="F217" i="49"/>
  <c r="E217" i="49"/>
  <c r="G217" i="49" s="1"/>
  <c r="I216" i="49"/>
  <c r="F216" i="49"/>
  <c r="E216" i="49"/>
  <c r="I215" i="49"/>
  <c r="F215" i="49"/>
  <c r="E215" i="49"/>
  <c r="I214" i="49"/>
  <c r="F214" i="49"/>
  <c r="E214" i="49"/>
  <c r="I213" i="49"/>
  <c r="F213" i="49"/>
  <c r="E213" i="49"/>
  <c r="J213" i="49" s="1"/>
  <c r="I212" i="49"/>
  <c r="F212" i="49"/>
  <c r="E212" i="49"/>
  <c r="I211" i="49"/>
  <c r="F211" i="49"/>
  <c r="E211" i="49"/>
  <c r="G211" i="49" s="1"/>
  <c r="J210" i="49"/>
  <c r="I210" i="49"/>
  <c r="F210" i="49"/>
  <c r="G210" i="49" s="1"/>
  <c r="B209" i="49"/>
  <c r="I208" i="49"/>
  <c r="F208" i="49"/>
  <c r="I207" i="49"/>
  <c r="F207" i="49"/>
  <c r="I206" i="49"/>
  <c r="F206" i="49"/>
  <c r="I205" i="49"/>
  <c r="J205" i="49" s="1"/>
  <c r="F205" i="49"/>
  <c r="G205" i="49" s="1"/>
  <c r="J204" i="49"/>
  <c r="I204" i="49"/>
  <c r="G204" i="49"/>
  <c r="F204" i="49"/>
  <c r="I203" i="49"/>
  <c r="J203" i="49" s="1"/>
  <c r="F203" i="49"/>
  <c r="G203" i="49" s="1"/>
  <c r="I202" i="49"/>
  <c r="F202" i="49"/>
  <c r="I201" i="49"/>
  <c r="F201" i="49"/>
  <c r="I200" i="49"/>
  <c r="F200" i="49"/>
  <c r="I199" i="49"/>
  <c r="F199" i="49"/>
  <c r="I198" i="49"/>
  <c r="F198" i="49"/>
  <c r="I197" i="49"/>
  <c r="F197" i="49"/>
  <c r="I196" i="49"/>
  <c r="F196" i="49"/>
  <c r="J195" i="49"/>
  <c r="I195" i="49"/>
  <c r="F195" i="49"/>
  <c r="G195" i="49" s="1"/>
  <c r="I194" i="49"/>
  <c r="J194" i="49" s="1"/>
  <c r="F194" i="49"/>
  <c r="G194" i="49" s="1"/>
  <c r="J193" i="49"/>
  <c r="I193" i="49"/>
  <c r="G193" i="49"/>
  <c r="F193" i="49"/>
  <c r="J192" i="49"/>
  <c r="I192" i="49"/>
  <c r="F192" i="49"/>
  <c r="G192" i="49" s="1"/>
  <c r="I191" i="49"/>
  <c r="F191" i="49"/>
  <c r="I190" i="49"/>
  <c r="F190" i="49"/>
  <c r="I189" i="49"/>
  <c r="F189" i="49"/>
  <c r="I188" i="49"/>
  <c r="F188" i="49"/>
  <c r="I187" i="49"/>
  <c r="F187" i="49"/>
  <c r="I186" i="49"/>
  <c r="F186" i="49"/>
  <c r="I185" i="49"/>
  <c r="F185" i="49"/>
  <c r="I184" i="49"/>
  <c r="J184" i="49" s="1"/>
  <c r="G184" i="49"/>
  <c r="F184" i="49"/>
  <c r="I183" i="49"/>
  <c r="J183" i="49" s="1"/>
  <c r="F183" i="49"/>
  <c r="G183" i="49" s="1"/>
  <c r="I182" i="49"/>
  <c r="F182" i="49"/>
  <c r="I181" i="49"/>
  <c r="F181" i="49"/>
  <c r="I180" i="49"/>
  <c r="F180" i="49"/>
  <c r="I179" i="49"/>
  <c r="F179" i="49"/>
  <c r="I178" i="49"/>
  <c r="F178" i="49"/>
  <c r="I177" i="49"/>
  <c r="F177" i="49"/>
  <c r="I176" i="49"/>
  <c r="F176" i="49"/>
  <c r="I175" i="49"/>
  <c r="F175" i="49"/>
  <c r="I174" i="49"/>
  <c r="F174" i="49"/>
  <c r="I173" i="49"/>
  <c r="F173" i="49"/>
  <c r="I172" i="49"/>
  <c r="F172" i="49"/>
  <c r="I171" i="49"/>
  <c r="F171" i="49"/>
  <c r="I170" i="49"/>
  <c r="F170" i="49"/>
  <c r="I169" i="49"/>
  <c r="F169" i="49"/>
  <c r="I168" i="49"/>
  <c r="F168" i="49"/>
  <c r="I167" i="49"/>
  <c r="F167" i="49"/>
  <c r="I166" i="49"/>
  <c r="F166" i="49"/>
  <c r="B165" i="49"/>
  <c r="I164" i="49"/>
  <c r="F164" i="49"/>
  <c r="I163" i="49"/>
  <c r="F163" i="49"/>
  <c r="I162" i="49"/>
  <c r="F162" i="49"/>
  <c r="I161" i="49"/>
  <c r="F161" i="49"/>
  <c r="I160" i="49"/>
  <c r="F160" i="49"/>
  <c r="I159" i="49"/>
  <c r="F159" i="49"/>
  <c r="I158" i="49"/>
  <c r="F158" i="49"/>
  <c r="I157" i="49"/>
  <c r="F157" i="49"/>
  <c r="I156" i="49"/>
  <c r="F156" i="49"/>
  <c r="I155" i="49"/>
  <c r="F155" i="49"/>
  <c r="I154" i="49"/>
  <c r="F154" i="49"/>
  <c r="I153" i="49"/>
  <c r="F153" i="49"/>
  <c r="I152" i="49"/>
  <c r="F152" i="49"/>
  <c r="I151" i="49"/>
  <c r="F151" i="49"/>
  <c r="I150" i="49"/>
  <c r="F150" i="49"/>
  <c r="I149" i="49"/>
  <c r="F149" i="49"/>
  <c r="I148" i="49"/>
  <c r="F148" i="49"/>
  <c r="I147" i="49"/>
  <c r="F147" i="49"/>
  <c r="I146" i="49"/>
  <c r="F146" i="49"/>
  <c r="I145" i="49"/>
  <c r="F145" i="49"/>
  <c r="I144" i="49"/>
  <c r="F144" i="49"/>
  <c r="I143" i="49"/>
  <c r="F143" i="49"/>
  <c r="I142" i="49"/>
  <c r="F142" i="49"/>
  <c r="I141" i="49"/>
  <c r="F141" i="49"/>
  <c r="I140" i="49"/>
  <c r="F140" i="49"/>
  <c r="B139" i="49"/>
  <c r="I136" i="49"/>
  <c r="J136" i="49" s="1"/>
  <c r="G136" i="49"/>
  <c r="F136" i="49"/>
  <c r="J135" i="49"/>
  <c r="I135" i="49"/>
  <c r="G135" i="49"/>
  <c r="F135" i="49"/>
  <c r="I134" i="49"/>
  <c r="J134" i="49" s="1"/>
  <c r="G134" i="49"/>
  <c r="F134" i="49"/>
  <c r="I133" i="49"/>
  <c r="J133" i="49" s="1"/>
  <c r="F133" i="49"/>
  <c r="G133" i="49" s="1"/>
  <c r="I132" i="49"/>
  <c r="J132" i="49" s="1"/>
  <c r="G132" i="49"/>
  <c r="F132" i="49"/>
  <c r="J131" i="49"/>
  <c r="I131" i="49"/>
  <c r="G131" i="49"/>
  <c r="F131" i="49"/>
  <c r="I130" i="49"/>
  <c r="J130" i="49" s="1"/>
  <c r="F130" i="49"/>
  <c r="G130" i="49" s="1"/>
  <c r="I129" i="49"/>
  <c r="J129" i="49" s="1"/>
  <c r="G129" i="49"/>
  <c r="F129" i="49"/>
  <c r="J128" i="49"/>
  <c r="I128" i="49"/>
  <c r="G128" i="49"/>
  <c r="F128" i="49"/>
  <c r="I127" i="49"/>
  <c r="J127" i="49" s="1"/>
  <c r="F127" i="49"/>
  <c r="G127" i="49" s="1"/>
  <c r="B126" i="49"/>
  <c r="I125" i="49"/>
  <c r="J125" i="49" s="1"/>
  <c r="F125" i="49"/>
  <c r="G125" i="49" s="1"/>
  <c r="J124" i="49"/>
  <c r="I124" i="49"/>
  <c r="G124" i="49"/>
  <c r="F124" i="49"/>
  <c r="J123" i="49"/>
  <c r="I123" i="49"/>
  <c r="G123" i="49"/>
  <c r="F123" i="49"/>
  <c r="I122" i="49"/>
  <c r="J122" i="49" s="1"/>
  <c r="F122" i="49"/>
  <c r="G122" i="49" s="1"/>
  <c r="J121" i="49"/>
  <c r="I121" i="49"/>
  <c r="G121" i="49"/>
  <c r="F121" i="49"/>
  <c r="J120" i="49"/>
  <c r="I120" i="49"/>
  <c r="G120" i="49"/>
  <c r="F120" i="49"/>
  <c r="I119" i="49"/>
  <c r="J119" i="49" s="1"/>
  <c r="F119" i="49"/>
  <c r="G119" i="49" s="1"/>
  <c r="J118" i="49"/>
  <c r="I118" i="49"/>
  <c r="G118" i="49"/>
  <c r="F118" i="49"/>
  <c r="J117" i="49"/>
  <c r="I117" i="49"/>
  <c r="G117" i="49"/>
  <c r="F117" i="49"/>
  <c r="I116" i="49"/>
  <c r="J116" i="49" s="1"/>
  <c r="F116" i="49"/>
  <c r="G116" i="49" s="1"/>
  <c r="J115" i="49"/>
  <c r="I115" i="49"/>
  <c r="G115" i="49"/>
  <c r="F115" i="49"/>
  <c r="J114" i="49"/>
  <c r="I114" i="49"/>
  <c r="F114" i="49"/>
  <c r="G114" i="49" s="1"/>
  <c r="I113" i="49"/>
  <c r="J113" i="49" s="1"/>
  <c r="F113" i="49"/>
  <c r="G113" i="49" s="1"/>
  <c r="J112" i="49"/>
  <c r="I112" i="49"/>
  <c r="G112" i="49"/>
  <c r="F112" i="49"/>
  <c r="J111" i="49"/>
  <c r="I111" i="49"/>
  <c r="F111" i="49"/>
  <c r="G111" i="49" s="1"/>
  <c r="I110" i="49"/>
  <c r="J110" i="49" s="1"/>
  <c r="F110" i="49"/>
  <c r="G110" i="49" s="1"/>
  <c r="J109" i="49"/>
  <c r="I109" i="49"/>
  <c r="G109" i="49"/>
  <c r="F109" i="49"/>
  <c r="J108" i="49"/>
  <c r="I108" i="49"/>
  <c r="F108" i="49"/>
  <c r="G108" i="49" s="1"/>
  <c r="I107" i="49"/>
  <c r="J107" i="49" s="1"/>
  <c r="F107" i="49"/>
  <c r="G107" i="49" s="1"/>
  <c r="J106" i="49"/>
  <c r="I106" i="49"/>
  <c r="G106" i="49"/>
  <c r="F106" i="49"/>
  <c r="B105" i="49"/>
  <c r="J104" i="49"/>
  <c r="I104" i="49"/>
  <c r="G104" i="49"/>
  <c r="F104" i="49"/>
  <c r="J103" i="49"/>
  <c r="I103" i="49"/>
  <c r="G103" i="49"/>
  <c r="F103" i="49"/>
  <c r="J102" i="49"/>
  <c r="I102" i="49"/>
  <c r="F102" i="49"/>
  <c r="G102" i="49" s="1"/>
  <c r="J101" i="49"/>
  <c r="I101" i="49"/>
  <c r="G101" i="49"/>
  <c r="F101" i="49"/>
  <c r="J100" i="49"/>
  <c r="I100" i="49"/>
  <c r="F100" i="49"/>
  <c r="G100" i="49" s="1"/>
  <c r="J99" i="49"/>
  <c r="I99" i="49"/>
  <c r="F99" i="49"/>
  <c r="G99" i="49" s="1"/>
  <c r="E99" i="49"/>
  <c r="I98" i="49"/>
  <c r="J98" i="49" s="1"/>
  <c r="F98" i="49"/>
  <c r="G98" i="49" s="1"/>
  <c r="B97" i="49"/>
  <c r="J96" i="49"/>
  <c r="I96" i="49"/>
  <c r="G96" i="49"/>
  <c r="F96" i="49"/>
  <c r="I95" i="49"/>
  <c r="J95" i="49" s="1"/>
  <c r="G95" i="49"/>
  <c r="F95" i="49"/>
  <c r="J94" i="49"/>
  <c r="I94" i="49"/>
  <c r="G94" i="49"/>
  <c r="F94" i="49"/>
  <c r="J93" i="49"/>
  <c r="I93" i="49"/>
  <c r="G93" i="49"/>
  <c r="F93" i="49"/>
  <c r="I92" i="49"/>
  <c r="J92" i="49" s="1"/>
  <c r="F92" i="49"/>
  <c r="G92" i="49" s="1"/>
  <c r="J91" i="49"/>
  <c r="I91" i="49"/>
  <c r="G91" i="49"/>
  <c r="F91" i="49"/>
  <c r="I90" i="49"/>
  <c r="J90" i="49" s="1"/>
  <c r="G90" i="49"/>
  <c r="F90" i="49"/>
  <c r="I89" i="49"/>
  <c r="J89" i="49" s="1"/>
  <c r="F89" i="49"/>
  <c r="G89" i="49" s="1"/>
  <c r="J88" i="49"/>
  <c r="I88" i="49"/>
  <c r="G88" i="49"/>
  <c r="F88" i="49"/>
  <c r="B87" i="49"/>
  <c r="I86" i="49"/>
  <c r="F86" i="49"/>
  <c r="I85" i="49"/>
  <c r="F85" i="49"/>
  <c r="I84" i="49"/>
  <c r="F84" i="49"/>
  <c r="I83" i="49"/>
  <c r="F83" i="49"/>
  <c r="I82" i="49"/>
  <c r="F82" i="49"/>
  <c r="E82" i="49"/>
  <c r="I81" i="49"/>
  <c r="F81" i="49"/>
  <c r="I80" i="49"/>
  <c r="F80" i="49"/>
  <c r="J79" i="49"/>
  <c r="I79" i="49"/>
  <c r="G79" i="49"/>
  <c r="F79" i="49"/>
  <c r="I78" i="49"/>
  <c r="F78" i="49"/>
  <c r="I77" i="49"/>
  <c r="J77" i="49" s="1"/>
  <c r="F77" i="49"/>
  <c r="G77" i="49" s="1"/>
  <c r="I76" i="49"/>
  <c r="F76" i="49"/>
  <c r="I75" i="49"/>
  <c r="F75" i="49"/>
  <c r="I74" i="49"/>
  <c r="F74" i="49"/>
  <c r="I73" i="49"/>
  <c r="F73" i="49"/>
  <c r="I72" i="49"/>
  <c r="F72" i="49"/>
  <c r="E72" i="49"/>
  <c r="I71" i="49"/>
  <c r="F71" i="49"/>
  <c r="I70" i="49"/>
  <c r="F70" i="49"/>
  <c r="B69" i="49"/>
  <c r="J68" i="49"/>
  <c r="I68" i="49"/>
  <c r="G68" i="49"/>
  <c r="F68" i="49"/>
  <c r="J67" i="49"/>
  <c r="I67" i="49"/>
  <c r="G67" i="49"/>
  <c r="F67" i="49"/>
  <c r="I66" i="49"/>
  <c r="J66" i="49" s="1"/>
  <c r="F66" i="49"/>
  <c r="G66" i="49" s="1"/>
  <c r="J65" i="49"/>
  <c r="I65" i="49"/>
  <c r="G65" i="49"/>
  <c r="F65" i="49"/>
  <c r="J64" i="49"/>
  <c r="I64" i="49"/>
  <c r="G64" i="49"/>
  <c r="F64" i="49"/>
  <c r="I63" i="49"/>
  <c r="J63" i="49" s="1"/>
  <c r="F63" i="49"/>
  <c r="G63" i="49" s="1"/>
  <c r="J62" i="49"/>
  <c r="I62" i="49"/>
  <c r="G62" i="49"/>
  <c r="F62" i="49"/>
  <c r="J61" i="49"/>
  <c r="I61" i="49"/>
  <c r="G61" i="49"/>
  <c r="F61" i="49"/>
  <c r="B60" i="49"/>
  <c r="J59" i="49"/>
  <c r="I59" i="49"/>
  <c r="G59" i="49"/>
  <c r="F59" i="49"/>
  <c r="J58" i="49"/>
  <c r="I58" i="49"/>
  <c r="F58" i="49"/>
  <c r="G58" i="49" s="1"/>
  <c r="I57" i="49"/>
  <c r="F57" i="49"/>
  <c r="I56" i="49"/>
  <c r="F56" i="49"/>
  <c r="I55" i="49"/>
  <c r="F55" i="49"/>
  <c r="I54" i="49"/>
  <c r="F54" i="49"/>
  <c r="I53" i="49"/>
  <c r="F53" i="49"/>
  <c r="I52" i="49"/>
  <c r="F52" i="49"/>
  <c r="I51" i="49"/>
  <c r="F51" i="49"/>
  <c r="I50" i="49"/>
  <c r="F50" i="49"/>
  <c r="I49" i="49"/>
  <c r="F49" i="49"/>
  <c r="I48" i="49"/>
  <c r="F48" i="49"/>
  <c r="I47" i="49"/>
  <c r="F47" i="49"/>
  <c r="I46" i="49"/>
  <c r="F46" i="49"/>
  <c r="I45" i="49"/>
  <c r="J45" i="49" s="1"/>
  <c r="G45" i="49"/>
  <c r="F45" i="49"/>
  <c r="I44" i="49"/>
  <c r="F44" i="49"/>
  <c r="J43" i="49"/>
  <c r="I43" i="49"/>
  <c r="G43" i="49"/>
  <c r="F43" i="49"/>
  <c r="I42" i="49"/>
  <c r="F42" i="49"/>
  <c r="I41" i="49"/>
  <c r="F41" i="49"/>
  <c r="I40" i="49"/>
  <c r="F40" i="49"/>
  <c r="I39" i="49"/>
  <c r="F39" i="49"/>
  <c r="I38" i="49"/>
  <c r="F38" i="49"/>
  <c r="I37" i="49"/>
  <c r="F37" i="49"/>
  <c r="I36" i="49"/>
  <c r="F36" i="49"/>
  <c r="I35" i="49"/>
  <c r="J35" i="49" s="1"/>
  <c r="G35" i="49"/>
  <c r="F35" i="49"/>
  <c r="J34" i="49"/>
  <c r="I34" i="49"/>
  <c r="G34" i="49"/>
  <c r="F34" i="49"/>
  <c r="B33" i="49"/>
  <c r="I32" i="49"/>
  <c r="F32" i="49"/>
  <c r="J31" i="49"/>
  <c r="I31" i="49"/>
  <c r="G31" i="49"/>
  <c r="F31" i="49"/>
  <c r="I30" i="49"/>
  <c r="F30" i="49"/>
  <c r="I29" i="49"/>
  <c r="F29" i="49"/>
  <c r="I28" i="49"/>
  <c r="F28" i="49"/>
  <c r="I27" i="49"/>
  <c r="F27" i="49"/>
  <c r="I26" i="49"/>
  <c r="F26" i="49"/>
  <c r="I25" i="49"/>
  <c r="F25" i="49"/>
  <c r="I24" i="49"/>
  <c r="F24" i="49"/>
  <c r="E24" i="49"/>
  <c r="G24" i="49" s="1"/>
  <c r="I23" i="49"/>
  <c r="F23" i="49"/>
  <c r="I22" i="49"/>
  <c r="F22" i="49"/>
  <c r="I21" i="49"/>
  <c r="F21" i="49"/>
  <c r="I20" i="49"/>
  <c r="F20" i="49"/>
  <c r="I19" i="49"/>
  <c r="F19" i="49"/>
  <c r="I18" i="49"/>
  <c r="F18" i="49"/>
  <c r="I17" i="49"/>
  <c r="F17" i="49"/>
  <c r="I16" i="49"/>
  <c r="F16" i="49"/>
  <c r="I15" i="49"/>
  <c r="F15" i="49"/>
  <c r="I14" i="49"/>
  <c r="F14" i="49"/>
  <c r="E14" i="49"/>
  <c r="J14" i="49" s="1"/>
  <c r="I13" i="49"/>
  <c r="F13" i="49"/>
  <c r="I12" i="49"/>
  <c r="F12" i="49"/>
  <c r="E12" i="49"/>
  <c r="G12" i="49" s="1"/>
  <c r="B11" i="49"/>
  <c r="I7" i="49"/>
  <c r="F7" i="49"/>
  <c r="A6" i="49" s="1"/>
  <c r="E294" i="49" s="1"/>
  <c r="G294" i="49" s="1"/>
  <c r="C5" i="49"/>
  <c r="E262" i="49"/>
  <c r="E283" i="49"/>
  <c r="G283" i="49" s="1"/>
  <c r="G374" i="48"/>
  <c r="B374" i="48" s="1"/>
  <c r="B372" i="48"/>
  <c r="J371" i="48"/>
  <c r="I371" i="48"/>
  <c r="F371" i="48"/>
  <c r="G371" i="48" s="1"/>
  <c r="I370" i="48"/>
  <c r="J370" i="48" s="1"/>
  <c r="G370" i="48"/>
  <c r="F370" i="48"/>
  <c r="I369" i="48"/>
  <c r="J369" i="48" s="1"/>
  <c r="G369" i="48"/>
  <c r="F369" i="48"/>
  <c r="J368" i="48"/>
  <c r="I368" i="48"/>
  <c r="F368" i="48"/>
  <c r="G368" i="48" s="1"/>
  <c r="I367" i="48"/>
  <c r="J367" i="48" s="1"/>
  <c r="G367" i="48"/>
  <c r="F367" i="48"/>
  <c r="I366" i="48"/>
  <c r="J366" i="48" s="1"/>
  <c r="G366" i="48"/>
  <c r="F366" i="48"/>
  <c r="J365" i="48"/>
  <c r="I365" i="48"/>
  <c r="F365" i="48"/>
  <c r="G365" i="48" s="1"/>
  <c r="I364" i="48"/>
  <c r="F364" i="48"/>
  <c r="B363" i="48"/>
  <c r="J361" i="48"/>
  <c r="I361" i="48"/>
  <c r="G361" i="48"/>
  <c r="F361" i="48"/>
  <c r="I360" i="48"/>
  <c r="J360" i="48" s="1"/>
  <c r="F360" i="48"/>
  <c r="G360" i="48" s="1"/>
  <c r="J359" i="48"/>
  <c r="I359" i="48"/>
  <c r="G359" i="48"/>
  <c r="F359" i="48"/>
  <c r="J358" i="48"/>
  <c r="I358" i="48"/>
  <c r="G358" i="48"/>
  <c r="F358" i="48"/>
  <c r="I357" i="48"/>
  <c r="J357" i="48" s="1"/>
  <c r="F357" i="48"/>
  <c r="G357" i="48" s="1"/>
  <c r="J356" i="48"/>
  <c r="I356" i="48"/>
  <c r="G356" i="48"/>
  <c r="F356" i="48"/>
  <c r="J355" i="48"/>
  <c r="I355" i="48"/>
  <c r="G355" i="48"/>
  <c r="F355" i="48"/>
  <c r="E355" i="48"/>
  <c r="B354" i="48"/>
  <c r="I353" i="48"/>
  <c r="J353" i="48" s="1"/>
  <c r="G353" i="48"/>
  <c r="F353" i="48"/>
  <c r="J352" i="48"/>
  <c r="I352" i="48"/>
  <c r="G352" i="48"/>
  <c r="F352" i="48"/>
  <c r="J351" i="48"/>
  <c r="I351" i="48"/>
  <c r="F351" i="48"/>
  <c r="G351" i="48" s="1"/>
  <c r="I350" i="48"/>
  <c r="J350" i="48" s="1"/>
  <c r="G350" i="48"/>
  <c r="F350" i="48"/>
  <c r="J349" i="48"/>
  <c r="I349" i="48"/>
  <c r="G349" i="48"/>
  <c r="F349" i="48"/>
  <c r="J348" i="48"/>
  <c r="I348" i="48"/>
  <c r="F348" i="48"/>
  <c r="G348" i="48" s="1"/>
  <c r="I347" i="48"/>
  <c r="J347" i="48" s="1"/>
  <c r="G347" i="48"/>
  <c r="F347" i="48"/>
  <c r="J346" i="48"/>
  <c r="I346" i="48"/>
  <c r="G346" i="48"/>
  <c r="F346" i="48"/>
  <c r="J345" i="48"/>
  <c r="I345" i="48"/>
  <c r="F345" i="48"/>
  <c r="G345" i="48" s="1"/>
  <c r="I344" i="48"/>
  <c r="J344" i="48" s="1"/>
  <c r="G344" i="48"/>
  <c r="F344" i="48"/>
  <c r="J343" i="48"/>
  <c r="I343" i="48"/>
  <c r="G343" i="48"/>
  <c r="F343" i="48"/>
  <c r="J342" i="48"/>
  <c r="I342" i="48"/>
  <c r="F342" i="48"/>
  <c r="G342" i="48" s="1"/>
  <c r="I341" i="48"/>
  <c r="J341" i="48" s="1"/>
  <c r="G341" i="48"/>
  <c r="F341" i="48"/>
  <c r="J340" i="48"/>
  <c r="I340" i="48"/>
  <c r="G340" i="48"/>
  <c r="F340" i="48"/>
  <c r="J339" i="48"/>
  <c r="I339" i="48"/>
  <c r="F339" i="48"/>
  <c r="G339" i="48" s="1"/>
  <c r="I338" i="48"/>
  <c r="J338" i="48" s="1"/>
  <c r="G338" i="48"/>
  <c r="F338" i="48"/>
  <c r="J337" i="48"/>
  <c r="I337" i="48"/>
  <c r="G337" i="48"/>
  <c r="F337" i="48"/>
  <c r="J336" i="48"/>
  <c r="I336" i="48"/>
  <c r="F336" i="48"/>
  <c r="G336" i="48" s="1"/>
  <c r="I335" i="48"/>
  <c r="J335" i="48" s="1"/>
  <c r="G335" i="48"/>
  <c r="F335" i="48"/>
  <c r="B334" i="48"/>
  <c r="I333" i="48"/>
  <c r="F333" i="48"/>
  <c r="I332" i="48"/>
  <c r="F332" i="48"/>
  <c r="I331" i="48"/>
  <c r="F331" i="48"/>
  <c r="I330" i="48"/>
  <c r="F330" i="48"/>
  <c r="I329" i="48"/>
  <c r="F329" i="48"/>
  <c r="I328" i="48"/>
  <c r="F328" i="48"/>
  <c r="I327" i="48"/>
  <c r="F327" i="48"/>
  <c r="I326" i="48"/>
  <c r="F326" i="48"/>
  <c r="E326" i="48"/>
  <c r="J326" i="48" s="1"/>
  <c r="I325" i="48"/>
  <c r="F325" i="48"/>
  <c r="E325" i="48"/>
  <c r="I324" i="48"/>
  <c r="F324" i="48"/>
  <c r="I323" i="48"/>
  <c r="F323" i="48"/>
  <c r="I322" i="48"/>
  <c r="F322" i="48"/>
  <c r="I321" i="48"/>
  <c r="F321" i="48"/>
  <c r="B320" i="48"/>
  <c r="I319" i="48"/>
  <c r="F319" i="48"/>
  <c r="I318" i="48"/>
  <c r="F318" i="48"/>
  <c r="E318" i="48"/>
  <c r="I317" i="48"/>
  <c r="F317" i="48"/>
  <c r="E317" i="48"/>
  <c r="G317" i="48" s="1"/>
  <c r="I316" i="48"/>
  <c r="F316" i="48"/>
  <c r="E316" i="48"/>
  <c r="J316" i="48" s="1"/>
  <c r="I315" i="48"/>
  <c r="F315" i="48"/>
  <c r="E315" i="48"/>
  <c r="I314" i="48"/>
  <c r="F314" i="48"/>
  <c r="E314" i="48"/>
  <c r="G314" i="48" s="1"/>
  <c r="I313" i="48"/>
  <c r="F313" i="48"/>
  <c r="E313" i="48"/>
  <c r="J313" i="48" s="1"/>
  <c r="B312" i="48"/>
  <c r="I311" i="48"/>
  <c r="F311" i="48"/>
  <c r="I310" i="48"/>
  <c r="F310" i="48"/>
  <c r="I309" i="48"/>
  <c r="F309" i="48"/>
  <c r="I308" i="48"/>
  <c r="F308" i="48"/>
  <c r="I307" i="48"/>
  <c r="F307" i="48"/>
  <c r="I306" i="48"/>
  <c r="F306" i="48"/>
  <c r="I305" i="48"/>
  <c r="F305" i="48"/>
  <c r="I304" i="48"/>
  <c r="F304" i="48"/>
  <c r="I303" i="48"/>
  <c r="F303" i="48"/>
  <c r="I302" i="48"/>
  <c r="F302" i="48"/>
  <c r="I301" i="48"/>
  <c r="F301" i="48"/>
  <c r="I300" i="48"/>
  <c r="F300" i="48"/>
  <c r="I299" i="48"/>
  <c r="F299" i="48"/>
  <c r="I298" i="48"/>
  <c r="F298" i="48"/>
  <c r="I297" i="48"/>
  <c r="F297" i="48"/>
  <c r="I296" i="48"/>
  <c r="F296" i="48"/>
  <c r="I295" i="48"/>
  <c r="F295" i="48"/>
  <c r="I294" i="48"/>
  <c r="F294" i="48"/>
  <c r="I293" i="48"/>
  <c r="F293" i="48"/>
  <c r="I292" i="48"/>
  <c r="F292" i="48"/>
  <c r="I291" i="48"/>
  <c r="F291" i="48"/>
  <c r="I290" i="48"/>
  <c r="F290" i="48"/>
  <c r="I289" i="48"/>
  <c r="F289" i="48"/>
  <c r="I288" i="48"/>
  <c r="F288" i="48"/>
  <c r="B287" i="48"/>
  <c r="I286" i="48"/>
  <c r="F286" i="48"/>
  <c r="I285" i="48"/>
  <c r="F285" i="48"/>
  <c r="I284" i="48"/>
  <c r="F284" i="48"/>
  <c r="G284" i="48" s="1"/>
  <c r="E284" i="48"/>
  <c r="I283" i="48"/>
  <c r="F283" i="48"/>
  <c r="I282" i="48"/>
  <c r="F282" i="48"/>
  <c r="I281" i="48"/>
  <c r="I280" i="48"/>
  <c r="F280" i="48"/>
  <c r="I279" i="48"/>
  <c r="F279" i="48"/>
  <c r="I278" i="48"/>
  <c r="F278" i="48"/>
  <c r="E278" i="48"/>
  <c r="I277" i="48"/>
  <c r="F277" i="48"/>
  <c r="E277" i="48"/>
  <c r="G277" i="48" s="1"/>
  <c r="I276" i="48"/>
  <c r="F276" i="48"/>
  <c r="I275" i="48"/>
  <c r="F275" i="48"/>
  <c r="I274" i="48"/>
  <c r="F274" i="48"/>
  <c r="I273" i="48"/>
  <c r="F273" i="48"/>
  <c r="I272" i="48"/>
  <c r="F272" i="48"/>
  <c r="E272" i="48"/>
  <c r="I271" i="48"/>
  <c r="F271" i="48"/>
  <c r="I270" i="48"/>
  <c r="F270" i="48"/>
  <c r="I269" i="48"/>
  <c r="F269" i="48"/>
  <c r="I268" i="48"/>
  <c r="F268" i="48"/>
  <c r="I267" i="48"/>
  <c r="F267" i="48"/>
  <c r="I266" i="48"/>
  <c r="F266" i="48"/>
  <c r="I265" i="48"/>
  <c r="F265" i="48"/>
  <c r="E265" i="48"/>
  <c r="G265" i="48" s="1"/>
  <c r="I264" i="48"/>
  <c r="F264" i="48"/>
  <c r="I263" i="48"/>
  <c r="F263" i="48"/>
  <c r="I262" i="48"/>
  <c r="F262" i="48"/>
  <c r="I261" i="48"/>
  <c r="F261" i="48"/>
  <c r="I260" i="48"/>
  <c r="F260" i="48"/>
  <c r="I259" i="48"/>
  <c r="F259" i="48"/>
  <c r="I258" i="48"/>
  <c r="F258" i="48"/>
  <c r="I257" i="48"/>
  <c r="F257" i="48"/>
  <c r="I256" i="48"/>
  <c r="F256" i="48"/>
  <c r="I255" i="48"/>
  <c r="F255" i="48"/>
  <c r="I254" i="48"/>
  <c r="F254" i="48"/>
  <c r="I253" i="48"/>
  <c r="F253" i="48"/>
  <c r="I252" i="48"/>
  <c r="F252" i="48"/>
  <c r="I251" i="48"/>
  <c r="F251" i="48"/>
  <c r="B250" i="48"/>
  <c r="J247" i="48"/>
  <c r="I247" i="48"/>
  <c r="F247" i="48"/>
  <c r="G247" i="48" s="1"/>
  <c r="I246" i="48"/>
  <c r="J246" i="48" s="1"/>
  <c r="G246" i="48"/>
  <c r="F246" i="48"/>
  <c r="I245" i="48"/>
  <c r="F245" i="48"/>
  <c r="I244" i="48"/>
  <c r="F244" i="48"/>
  <c r="J243" i="48"/>
  <c r="I243" i="48"/>
  <c r="G243" i="48"/>
  <c r="F243" i="48"/>
  <c r="I242" i="48"/>
  <c r="F242" i="48"/>
  <c r="I241" i="48"/>
  <c r="F241" i="48"/>
  <c r="I240" i="48"/>
  <c r="F240" i="48"/>
  <c r="I239" i="48"/>
  <c r="J239" i="48" s="1"/>
  <c r="G239" i="48"/>
  <c r="F239" i="48"/>
  <c r="I238" i="48"/>
  <c r="F238" i="48"/>
  <c r="E238" i="48"/>
  <c r="I237" i="48"/>
  <c r="F237" i="48"/>
  <c r="I236" i="48"/>
  <c r="F236" i="48"/>
  <c r="I235" i="48"/>
  <c r="F235" i="48"/>
  <c r="I234" i="48"/>
  <c r="F234" i="48"/>
  <c r="I233" i="48"/>
  <c r="F233" i="48"/>
  <c r="I232" i="48"/>
  <c r="F232" i="48"/>
  <c r="I231" i="48"/>
  <c r="F231" i="48"/>
  <c r="I230" i="48"/>
  <c r="F230" i="48"/>
  <c r="I229" i="48"/>
  <c r="F229" i="48"/>
  <c r="I228" i="48"/>
  <c r="F228" i="48"/>
  <c r="I227" i="48"/>
  <c r="F227" i="48"/>
  <c r="E227" i="48"/>
  <c r="J227" i="48" s="1"/>
  <c r="I226" i="48"/>
  <c r="F226" i="48"/>
  <c r="I225" i="48"/>
  <c r="F225" i="48"/>
  <c r="I224" i="48"/>
  <c r="F224" i="48"/>
  <c r="I223" i="48"/>
  <c r="F223" i="48"/>
  <c r="I222" i="48"/>
  <c r="F222" i="48"/>
  <c r="I221" i="48"/>
  <c r="F221" i="48"/>
  <c r="I220" i="48"/>
  <c r="F220" i="48"/>
  <c r="E220" i="48"/>
  <c r="J220" i="48" s="1"/>
  <c r="B219" i="48"/>
  <c r="I218" i="48"/>
  <c r="F218" i="48"/>
  <c r="E218" i="48"/>
  <c r="I217" i="48"/>
  <c r="F217" i="48"/>
  <c r="E217" i="48"/>
  <c r="G217" i="48" s="1"/>
  <c r="I216" i="48"/>
  <c r="F216" i="48"/>
  <c r="E216" i="48"/>
  <c r="J216" i="48" s="1"/>
  <c r="I215" i="48"/>
  <c r="F215" i="48"/>
  <c r="E215" i="48"/>
  <c r="I214" i="48"/>
  <c r="F214" i="48"/>
  <c r="E214" i="48"/>
  <c r="G214" i="48" s="1"/>
  <c r="I213" i="48"/>
  <c r="F213" i="48"/>
  <c r="E213" i="48"/>
  <c r="J213" i="48" s="1"/>
  <c r="I212" i="48"/>
  <c r="F212" i="48"/>
  <c r="E212" i="48"/>
  <c r="J212" i="48" s="1"/>
  <c r="I211" i="48"/>
  <c r="F211" i="48"/>
  <c r="E211" i="48"/>
  <c r="J210" i="48"/>
  <c r="I210" i="48"/>
  <c r="G210" i="48"/>
  <c r="F210" i="48"/>
  <c r="B209" i="48"/>
  <c r="I208" i="48"/>
  <c r="F208" i="48"/>
  <c r="I207" i="48"/>
  <c r="F207" i="48"/>
  <c r="I206" i="48"/>
  <c r="F206" i="48"/>
  <c r="I205" i="48"/>
  <c r="J205" i="48" s="1"/>
  <c r="F205" i="48"/>
  <c r="G205" i="48" s="1"/>
  <c r="J204" i="48"/>
  <c r="I204" i="48"/>
  <c r="G204" i="48"/>
  <c r="F204" i="48"/>
  <c r="J203" i="48"/>
  <c r="I203" i="48"/>
  <c r="G203" i="48"/>
  <c r="F203" i="48"/>
  <c r="I202" i="48"/>
  <c r="F202" i="48"/>
  <c r="I201" i="48"/>
  <c r="F201" i="48"/>
  <c r="I200" i="48"/>
  <c r="F200" i="48"/>
  <c r="I199" i="48"/>
  <c r="F199" i="48"/>
  <c r="I198" i="48"/>
  <c r="F198" i="48"/>
  <c r="I197" i="48"/>
  <c r="F197" i="48"/>
  <c r="I196" i="48"/>
  <c r="F196" i="48"/>
  <c r="J195" i="48"/>
  <c r="I195" i="48"/>
  <c r="G195" i="48"/>
  <c r="F195" i="48"/>
  <c r="J194" i="48"/>
  <c r="I194" i="48"/>
  <c r="F194" i="48"/>
  <c r="G194" i="48" s="1"/>
  <c r="J193" i="48"/>
  <c r="I193" i="48"/>
  <c r="F193" i="48"/>
  <c r="G193" i="48" s="1"/>
  <c r="J192" i="48"/>
  <c r="I192" i="48"/>
  <c r="G192" i="48"/>
  <c r="F192" i="48"/>
  <c r="I191" i="48"/>
  <c r="F191" i="48"/>
  <c r="I190" i="48"/>
  <c r="F190" i="48"/>
  <c r="I189" i="48"/>
  <c r="F189" i="48"/>
  <c r="I188" i="48"/>
  <c r="F188" i="48"/>
  <c r="I187" i="48"/>
  <c r="F187" i="48"/>
  <c r="I186" i="48"/>
  <c r="F186" i="48"/>
  <c r="I185" i="48"/>
  <c r="I184" i="48"/>
  <c r="J184" i="48" s="1"/>
  <c r="G184" i="48"/>
  <c r="F184" i="48"/>
  <c r="J183" i="48"/>
  <c r="I183" i="48"/>
  <c r="F183" i="48"/>
  <c r="G183" i="48" s="1"/>
  <c r="I182" i="48"/>
  <c r="F182" i="48"/>
  <c r="I181" i="48"/>
  <c r="F181" i="48"/>
  <c r="I180" i="48"/>
  <c r="F180" i="48"/>
  <c r="I179" i="48"/>
  <c r="F179" i="48"/>
  <c r="I178" i="48"/>
  <c r="F178" i="48"/>
  <c r="I177" i="48"/>
  <c r="F177" i="48"/>
  <c r="I176" i="48"/>
  <c r="F176" i="48"/>
  <c r="I175" i="48"/>
  <c r="F175" i="48"/>
  <c r="I174" i="48"/>
  <c r="F174" i="48"/>
  <c r="I173" i="48"/>
  <c r="F173" i="48"/>
  <c r="I172" i="48"/>
  <c r="F172" i="48"/>
  <c r="I171" i="48"/>
  <c r="F171" i="48"/>
  <c r="I170" i="48"/>
  <c r="F170" i="48"/>
  <c r="I169" i="48"/>
  <c r="F169" i="48"/>
  <c r="I168" i="48"/>
  <c r="F168" i="48"/>
  <c r="I167" i="48"/>
  <c r="F167" i="48"/>
  <c r="I166" i="48"/>
  <c r="F166" i="48"/>
  <c r="B165" i="48"/>
  <c r="I164" i="48"/>
  <c r="F164" i="48"/>
  <c r="E164" i="48"/>
  <c r="I163" i="48"/>
  <c r="F163" i="48"/>
  <c r="I162" i="48"/>
  <c r="F162" i="48"/>
  <c r="I161" i="48"/>
  <c r="F161" i="48"/>
  <c r="I160" i="48"/>
  <c r="F160" i="48"/>
  <c r="I159" i="48"/>
  <c r="F159" i="48"/>
  <c r="I158" i="48"/>
  <c r="F158" i="48"/>
  <c r="I157" i="48"/>
  <c r="F157" i="48"/>
  <c r="I156" i="48"/>
  <c r="F156" i="48"/>
  <c r="I155" i="48"/>
  <c r="F155" i="48"/>
  <c r="I154" i="48"/>
  <c r="F154" i="48"/>
  <c r="I153" i="48"/>
  <c r="F153" i="48"/>
  <c r="I152" i="48"/>
  <c r="F152" i="48"/>
  <c r="I151" i="48"/>
  <c r="F151" i="48"/>
  <c r="I150" i="48"/>
  <c r="F150" i="48"/>
  <c r="I149" i="48"/>
  <c r="F149" i="48"/>
  <c r="I148" i="48"/>
  <c r="F148" i="48"/>
  <c r="I147" i="48"/>
  <c r="F147" i="48"/>
  <c r="I146" i="48"/>
  <c r="F146" i="48"/>
  <c r="E146" i="48"/>
  <c r="J146" i="48" s="1"/>
  <c r="I145" i="48"/>
  <c r="F145" i="48"/>
  <c r="I144" i="48"/>
  <c r="F144" i="48"/>
  <c r="I143" i="48"/>
  <c r="F143" i="48"/>
  <c r="I142" i="48"/>
  <c r="F142" i="48"/>
  <c r="I141" i="48"/>
  <c r="F141" i="48"/>
  <c r="I140" i="48"/>
  <c r="F140" i="48"/>
  <c r="B139" i="48"/>
  <c r="J136" i="48"/>
  <c r="I136" i="48"/>
  <c r="F136" i="48"/>
  <c r="G136" i="48" s="1"/>
  <c r="I135" i="48"/>
  <c r="J135" i="48" s="1"/>
  <c r="G135" i="48"/>
  <c r="F135" i="48"/>
  <c r="J134" i="48"/>
  <c r="I134" i="48"/>
  <c r="G134" i="48"/>
  <c r="F134" i="48"/>
  <c r="J133" i="48"/>
  <c r="I133" i="48"/>
  <c r="F133" i="48"/>
  <c r="G133" i="48" s="1"/>
  <c r="I132" i="48"/>
  <c r="J132" i="48" s="1"/>
  <c r="G132" i="48"/>
  <c r="F132" i="48"/>
  <c r="J131" i="48"/>
  <c r="I131" i="48"/>
  <c r="G131" i="48"/>
  <c r="F131" i="48"/>
  <c r="J130" i="48"/>
  <c r="I130" i="48"/>
  <c r="F130" i="48"/>
  <c r="G130" i="48" s="1"/>
  <c r="I129" i="48"/>
  <c r="J129" i="48" s="1"/>
  <c r="G129" i="48"/>
  <c r="J128" i="48"/>
  <c r="I128" i="48"/>
  <c r="G128" i="48"/>
  <c r="F128" i="48"/>
  <c r="J127" i="48"/>
  <c r="I127" i="48"/>
  <c r="F127" i="48"/>
  <c r="G127" i="48" s="1"/>
  <c r="B126" i="48"/>
  <c r="I125" i="48"/>
  <c r="J125" i="48" s="1"/>
  <c r="F125" i="48"/>
  <c r="G125" i="48" s="1"/>
  <c r="I124" i="48"/>
  <c r="J124" i="48" s="1"/>
  <c r="F124" i="48"/>
  <c r="G124" i="48" s="1"/>
  <c r="J123" i="48"/>
  <c r="I123" i="48"/>
  <c r="G123" i="48"/>
  <c r="F123" i="48"/>
  <c r="J122" i="48"/>
  <c r="I122" i="48"/>
  <c r="F122" i="48"/>
  <c r="G122" i="48" s="1"/>
  <c r="I121" i="48"/>
  <c r="J121" i="48" s="1"/>
  <c r="F121" i="48"/>
  <c r="G121" i="48" s="1"/>
  <c r="J120" i="48"/>
  <c r="I120" i="48"/>
  <c r="G120" i="48"/>
  <c r="F120" i="48"/>
  <c r="I119" i="48"/>
  <c r="J119" i="48" s="1"/>
  <c r="F119" i="48"/>
  <c r="G119" i="48" s="1"/>
  <c r="I118" i="48"/>
  <c r="J118" i="48" s="1"/>
  <c r="F118" i="48"/>
  <c r="G118" i="48" s="1"/>
  <c r="J117" i="48"/>
  <c r="I117" i="48"/>
  <c r="F117" i="48"/>
  <c r="G117" i="48" s="1"/>
  <c r="J116" i="48"/>
  <c r="I116" i="48"/>
  <c r="F116" i="48"/>
  <c r="G116" i="48" s="1"/>
  <c r="I115" i="48"/>
  <c r="J115" i="48" s="1"/>
  <c r="F115" i="48"/>
  <c r="G115" i="48" s="1"/>
  <c r="J114" i="48"/>
  <c r="I114" i="48"/>
  <c r="F114" i="48"/>
  <c r="G114" i="48" s="1"/>
  <c r="I113" i="48"/>
  <c r="J113" i="48" s="1"/>
  <c r="F113" i="48"/>
  <c r="G113" i="48" s="1"/>
  <c r="I112" i="48"/>
  <c r="J112" i="48" s="1"/>
  <c r="F112" i="48"/>
  <c r="G112" i="48" s="1"/>
  <c r="J111" i="48"/>
  <c r="I111" i="48"/>
  <c r="F111" i="48"/>
  <c r="G111" i="48" s="1"/>
  <c r="I110" i="48"/>
  <c r="J110" i="48" s="1"/>
  <c r="F110" i="48"/>
  <c r="G110" i="48" s="1"/>
  <c r="I109" i="48"/>
  <c r="J109" i="48" s="1"/>
  <c r="F109" i="48"/>
  <c r="G109" i="48" s="1"/>
  <c r="J108" i="48"/>
  <c r="I108" i="48"/>
  <c r="F108" i="48"/>
  <c r="G108" i="48" s="1"/>
  <c r="J107" i="48"/>
  <c r="I107" i="48"/>
  <c r="F107" i="48"/>
  <c r="G107" i="48" s="1"/>
  <c r="I106" i="48"/>
  <c r="J106" i="48" s="1"/>
  <c r="F106" i="48"/>
  <c r="G106" i="48" s="1"/>
  <c r="B105" i="48"/>
  <c r="I104" i="48"/>
  <c r="J104" i="48" s="1"/>
  <c r="F104" i="48"/>
  <c r="G104" i="48" s="1"/>
  <c r="J103" i="48"/>
  <c r="I103" i="48"/>
  <c r="G103" i="48"/>
  <c r="F103" i="48"/>
  <c r="J102" i="48"/>
  <c r="I102" i="48"/>
  <c r="G102" i="48"/>
  <c r="F102" i="48"/>
  <c r="I101" i="48"/>
  <c r="J101" i="48" s="1"/>
  <c r="F101" i="48"/>
  <c r="G101" i="48" s="1"/>
  <c r="J100" i="48"/>
  <c r="I100" i="48"/>
  <c r="G100" i="48"/>
  <c r="F100" i="48"/>
  <c r="J99" i="48"/>
  <c r="I99" i="48"/>
  <c r="G99" i="48"/>
  <c r="F99" i="48"/>
  <c r="E99" i="48"/>
  <c r="I98" i="48"/>
  <c r="J98" i="48" s="1"/>
  <c r="F98" i="48"/>
  <c r="G98" i="48" s="1"/>
  <c r="B97" i="48"/>
  <c r="J96" i="48"/>
  <c r="I96" i="48"/>
  <c r="G96" i="48"/>
  <c r="F96" i="48"/>
  <c r="J95" i="48"/>
  <c r="I95" i="48"/>
  <c r="F95" i="48"/>
  <c r="G95" i="48" s="1"/>
  <c r="I94" i="48"/>
  <c r="J94" i="48" s="1"/>
  <c r="G94" i="48"/>
  <c r="F94" i="48"/>
  <c r="J93" i="48"/>
  <c r="I93" i="48"/>
  <c r="G93" i="48"/>
  <c r="F93" i="48"/>
  <c r="J92" i="48"/>
  <c r="I92" i="48"/>
  <c r="F92" i="48"/>
  <c r="G92" i="48" s="1"/>
  <c r="I91" i="48"/>
  <c r="J91" i="48" s="1"/>
  <c r="G91" i="48"/>
  <c r="F91" i="48"/>
  <c r="J90" i="48"/>
  <c r="I90" i="48"/>
  <c r="G90" i="48"/>
  <c r="F90" i="48"/>
  <c r="J89" i="48"/>
  <c r="I89" i="48"/>
  <c r="F89" i="48"/>
  <c r="G89" i="48" s="1"/>
  <c r="I88" i="48"/>
  <c r="J88" i="48" s="1"/>
  <c r="G88" i="48"/>
  <c r="F88" i="48"/>
  <c r="B87" i="48"/>
  <c r="I86" i="48"/>
  <c r="F86" i="48"/>
  <c r="I85" i="48"/>
  <c r="F85" i="48"/>
  <c r="E85" i="48"/>
  <c r="I84" i="48"/>
  <c r="F84" i="48"/>
  <c r="I83" i="48"/>
  <c r="F83" i="48"/>
  <c r="I82" i="48"/>
  <c r="F82" i="48"/>
  <c r="I81" i="48"/>
  <c r="F81" i="48"/>
  <c r="I80" i="48"/>
  <c r="F80" i="48"/>
  <c r="J79" i="48"/>
  <c r="I79" i="48"/>
  <c r="G79" i="48"/>
  <c r="F79" i="48"/>
  <c r="I78" i="48"/>
  <c r="F78" i="48"/>
  <c r="I77" i="48"/>
  <c r="J77" i="48" s="1"/>
  <c r="F77" i="48"/>
  <c r="G77" i="48" s="1"/>
  <c r="I76" i="48"/>
  <c r="F76" i="48"/>
  <c r="I75" i="48"/>
  <c r="F75" i="48"/>
  <c r="I74" i="48"/>
  <c r="F74" i="48"/>
  <c r="I73" i="48"/>
  <c r="F73" i="48"/>
  <c r="I72" i="48"/>
  <c r="F72" i="48"/>
  <c r="I71" i="48"/>
  <c r="F71" i="48"/>
  <c r="I70" i="48"/>
  <c r="G70" i="48"/>
  <c r="F70" i="48"/>
  <c r="E70" i="48"/>
  <c r="J70" i="48" s="1"/>
  <c r="B69" i="48"/>
  <c r="I68" i="48"/>
  <c r="J68" i="48" s="1"/>
  <c r="F68" i="48"/>
  <c r="G68" i="48" s="1"/>
  <c r="J67" i="48"/>
  <c r="I67" i="48"/>
  <c r="G67" i="48"/>
  <c r="F67" i="48"/>
  <c r="I66" i="48"/>
  <c r="J66" i="48" s="1"/>
  <c r="G66" i="48"/>
  <c r="F66" i="48"/>
  <c r="I65" i="48"/>
  <c r="J65" i="48" s="1"/>
  <c r="F65" i="48"/>
  <c r="G65" i="48" s="1"/>
  <c r="J64" i="48"/>
  <c r="I64" i="48"/>
  <c r="G64" i="48"/>
  <c r="F64" i="48"/>
  <c r="I63" i="48"/>
  <c r="J63" i="48" s="1"/>
  <c r="F63" i="48"/>
  <c r="G63" i="48" s="1"/>
  <c r="I62" i="48"/>
  <c r="J62" i="48" s="1"/>
  <c r="F62" i="48"/>
  <c r="G62" i="48" s="1"/>
  <c r="J61" i="48"/>
  <c r="I61" i="48"/>
  <c r="G61" i="48"/>
  <c r="F61" i="48"/>
  <c r="B60" i="48"/>
  <c r="J59" i="48"/>
  <c r="I59" i="48"/>
  <c r="G59" i="48"/>
  <c r="F59" i="48"/>
  <c r="J58" i="48"/>
  <c r="I58" i="48"/>
  <c r="G58" i="48"/>
  <c r="F58" i="48"/>
  <c r="I57" i="48"/>
  <c r="F57" i="48"/>
  <c r="I56" i="48"/>
  <c r="F56" i="48"/>
  <c r="I55" i="48"/>
  <c r="F55" i="48"/>
  <c r="I54" i="48"/>
  <c r="F54" i="48"/>
  <c r="I53" i="48"/>
  <c r="F53" i="48"/>
  <c r="I52" i="48"/>
  <c r="F52" i="48"/>
  <c r="I51" i="48"/>
  <c r="F51" i="48"/>
  <c r="I50" i="48"/>
  <c r="F50" i="48"/>
  <c r="I49" i="48"/>
  <c r="F49" i="48"/>
  <c r="I48" i="48"/>
  <c r="F48" i="48"/>
  <c r="I47" i="48"/>
  <c r="F47" i="48"/>
  <c r="I46" i="48"/>
  <c r="F46" i="48"/>
  <c r="I45" i="48"/>
  <c r="J45" i="48" s="1"/>
  <c r="F45" i="48"/>
  <c r="G45" i="48" s="1"/>
  <c r="I44" i="48"/>
  <c r="F44" i="48"/>
  <c r="I43" i="48"/>
  <c r="J43" i="48" s="1"/>
  <c r="G43" i="48"/>
  <c r="F43" i="48"/>
  <c r="I42" i="48"/>
  <c r="F42" i="48"/>
  <c r="I41" i="48"/>
  <c r="F41" i="48"/>
  <c r="I40" i="48"/>
  <c r="F40" i="48"/>
  <c r="I39" i="48"/>
  <c r="F39" i="48"/>
  <c r="I38" i="48"/>
  <c r="F38" i="48"/>
  <c r="I37" i="48"/>
  <c r="F37" i="48"/>
  <c r="I36" i="48"/>
  <c r="F36" i="48"/>
  <c r="I35" i="48"/>
  <c r="J35" i="48" s="1"/>
  <c r="F35" i="48"/>
  <c r="G35" i="48" s="1"/>
  <c r="I34" i="48"/>
  <c r="J34" i="48" s="1"/>
  <c r="G34" i="48"/>
  <c r="F34" i="48"/>
  <c r="B33" i="48"/>
  <c r="I32" i="48"/>
  <c r="F32" i="48"/>
  <c r="I31" i="48"/>
  <c r="J31" i="48" s="1"/>
  <c r="G31" i="48"/>
  <c r="F31" i="48"/>
  <c r="I30" i="48"/>
  <c r="F30" i="48"/>
  <c r="E30" i="48"/>
  <c r="G30" i="48" s="1"/>
  <c r="I29" i="48"/>
  <c r="J29" i="48" s="1"/>
  <c r="F29" i="48"/>
  <c r="G29" i="48" s="1"/>
  <c r="E29" i="48"/>
  <c r="I28" i="48"/>
  <c r="F28" i="48"/>
  <c r="I27" i="48"/>
  <c r="F27" i="48"/>
  <c r="I26" i="48"/>
  <c r="F26" i="48"/>
  <c r="E26" i="48"/>
  <c r="I25" i="48"/>
  <c r="F25" i="48"/>
  <c r="I24" i="48"/>
  <c r="F24" i="48"/>
  <c r="I23" i="48"/>
  <c r="F23" i="48"/>
  <c r="I22" i="48"/>
  <c r="F22" i="48"/>
  <c r="I21" i="48"/>
  <c r="F21" i="48"/>
  <c r="I20" i="48"/>
  <c r="F20" i="48"/>
  <c r="I19" i="48"/>
  <c r="F19" i="48"/>
  <c r="I18" i="48"/>
  <c r="F18" i="48"/>
  <c r="I17" i="48"/>
  <c r="F17" i="48"/>
  <c r="I16" i="48"/>
  <c r="F16" i="48"/>
  <c r="I15" i="48"/>
  <c r="F15" i="48"/>
  <c r="I14" i="48"/>
  <c r="J14" i="48" s="1"/>
  <c r="G14" i="48"/>
  <c r="F14" i="48"/>
  <c r="E14" i="48"/>
  <c r="I13" i="48"/>
  <c r="F13" i="48"/>
  <c r="I12" i="48"/>
  <c r="F12" i="48"/>
  <c r="E12" i="48"/>
  <c r="B11" i="48"/>
  <c r="I7" i="48"/>
  <c r="F7" i="48"/>
  <c r="A6" i="48" s="1"/>
  <c r="E298" i="48" s="1"/>
  <c r="C5" i="48"/>
  <c r="E266" i="48"/>
  <c r="E283" i="48"/>
  <c r="G283" i="48" s="1"/>
  <c r="C238" i="25"/>
  <c r="C239" i="25"/>
  <c r="J217" i="51" l="1"/>
  <c r="J212" i="49"/>
  <c r="G212" i="50"/>
  <c r="G216" i="50"/>
  <c r="J216" i="50"/>
  <c r="J316" i="49"/>
  <c r="G212" i="49"/>
  <c r="J217" i="49"/>
  <c r="J314" i="48"/>
  <c r="G215" i="48"/>
  <c r="E196" i="48"/>
  <c r="J196" i="48" s="1"/>
  <c r="J218" i="51"/>
  <c r="J372" i="51"/>
  <c r="U5" i="51" s="1"/>
  <c r="B362" i="51"/>
  <c r="J211" i="51"/>
  <c r="G215" i="51"/>
  <c r="B10" i="51"/>
  <c r="G214" i="51"/>
  <c r="J313" i="51"/>
  <c r="J137" i="51"/>
  <c r="U1" i="51" s="1"/>
  <c r="E319" i="51"/>
  <c r="J319" i="51" s="1"/>
  <c r="J316" i="51"/>
  <c r="G218" i="51"/>
  <c r="J215" i="51"/>
  <c r="G314" i="51"/>
  <c r="J317" i="51"/>
  <c r="J314" i="51"/>
  <c r="J212" i="51"/>
  <c r="G216" i="51"/>
  <c r="J216" i="51"/>
  <c r="G315" i="51"/>
  <c r="G318" i="51"/>
  <c r="G213" i="51"/>
  <c r="B137" i="51"/>
  <c r="B362" i="50"/>
  <c r="J316" i="50"/>
  <c r="J217" i="50"/>
  <c r="G218" i="50"/>
  <c r="J218" i="50"/>
  <c r="G314" i="50"/>
  <c r="J314" i="50"/>
  <c r="J214" i="50"/>
  <c r="G316" i="50"/>
  <c r="J313" i="50"/>
  <c r="B138" i="50"/>
  <c r="J137" i="50"/>
  <c r="U1" i="50" s="1"/>
  <c r="B10" i="50"/>
  <c r="J212" i="50"/>
  <c r="G318" i="50"/>
  <c r="J318" i="50"/>
  <c r="G213" i="50"/>
  <c r="J227" i="50"/>
  <c r="G315" i="50"/>
  <c r="G319" i="50"/>
  <c r="G214" i="50"/>
  <c r="G137" i="49"/>
  <c r="T1" i="49" s="1"/>
  <c r="G213" i="49"/>
  <c r="J218" i="49"/>
  <c r="G214" i="49"/>
  <c r="J214" i="49"/>
  <c r="G218" i="49"/>
  <c r="G318" i="49"/>
  <c r="G215" i="49"/>
  <c r="J318" i="49"/>
  <c r="J211" i="49"/>
  <c r="J215" i="49"/>
  <c r="G319" i="49"/>
  <c r="G216" i="49"/>
  <c r="J216" i="49"/>
  <c r="J313" i="49"/>
  <c r="J227" i="49"/>
  <c r="B10" i="49"/>
  <c r="J217" i="48"/>
  <c r="G315" i="48"/>
  <c r="J218" i="48"/>
  <c r="J315" i="48"/>
  <c r="J215" i="48"/>
  <c r="G216" i="48"/>
  <c r="G316" i="48"/>
  <c r="J214" i="48"/>
  <c r="G212" i="48"/>
  <c r="G313" i="48"/>
  <c r="G213" i="48"/>
  <c r="B10" i="48"/>
  <c r="B137" i="48" s="1"/>
  <c r="G227" i="48"/>
  <c r="B362" i="48"/>
  <c r="B362" i="49"/>
  <c r="B249" i="50"/>
  <c r="B249" i="48"/>
  <c r="B249" i="49"/>
  <c r="B249" i="51"/>
  <c r="B248" i="49"/>
  <c r="B248" i="48"/>
  <c r="B138" i="51"/>
  <c r="B138" i="49"/>
  <c r="B248" i="50"/>
  <c r="B248" i="51"/>
  <c r="B138" i="48"/>
  <c r="G30" i="51"/>
  <c r="J31" i="51"/>
  <c r="J12" i="51"/>
  <c r="E47" i="50"/>
  <c r="G47" i="50" s="1"/>
  <c r="E199" i="50"/>
  <c r="G199" i="50" s="1"/>
  <c r="E301" i="50"/>
  <c r="J301" i="50" s="1"/>
  <c r="E169" i="50"/>
  <c r="J169" i="50" s="1"/>
  <c r="E191" i="50"/>
  <c r="G191" i="50" s="1"/>
  <c r="G181" i="50"/>
  <c r="G281" i="50"/>
  <c r="G286" i="50"/>
  <c r="J281" i="50"/>
  <c r="J286" i="50"/>
  <c r="G329" i="50"/>
  <c r="E37" i="50"/>
  <c r="G37" i="50" s="1"/>
  <c r="E207" i="50"/>
  <c r="G207" i="50" s="1"/>
  <c r="E54" i="50"/>
  <c r="J54" i="50" s="1"/>
  <c r="E294" i="50"/>
  <c r="G294" i="50" s="1"/>
  <c r="E289" i="50"/>
  <c r="J289" i="50" s="1"/>
  <c r="E306" i="50"/>
  <c r="G306" i="50" s="1"/>
  <c r="J283" i="49"/>
  <c r="G329" i="49"/>
  <c r="J284" i="49"/>
  <c r="G281" i="49"/>
  <c r="J329" i="49"/>
  <c r="J281" i="49"/>
  <c r="J286" i="49"/>
  <c r="E172" i="48"/>
  <c r="G172" i="48" s="1"/>
  <c r="G304" i="48"/>
  <c r="J12" i="48"/>
  <c r="E50" i="48"/>
  <c r="J50" i="48" s="1"/>
  <c r="E57" i="48"/>
  <c r="J57" i="48" s="1"/>
  <c r="E47" i="48"/>
  <c r="G47" i="48" s="1"/>
  <c r="E42" i="48"/>
  <c r="J42" i="48" s="1"/>
  <c r="G23" i="51"/>
  <c r="J23" i="51"/>
  <c r="G82" i="49"/>
  <c r="G26" i="48"/>
  <c r="J232" i="51"/>
  <c r="G274" i="51"/>
  <c r="E21" i="51"/>
  <c r="J21" i="51" s="1"/>
  <c r="J152" i="51"/>
  <c r="E14" i="51"/>
  <c r="E26" i="51"/>
  <c r="J75" i="51"/>
  <c r="J235" i="51"/>
  <c r="E331" i="51"/>
  <c r="G331" i="51" s="1"/>
  <c r="E271" i="51"/>
  <c r="G271" i="51" s="1"/>
  <c r="E259" i="51"/>
  <c r="G259" i="51" s="1"/>
  <c r="E242" i="51"/>
  <c r="G242" i="51" s="1"/>
  <c r="E237" i="51"/>
  <c r="G237" i="51" s="1"/>
  <c r="E225" i="51"/>
  <c r="G225" i="51" s="1"/>
  <c r="E161" i="51"/>
  <c r="G161" i="51" s="1"/>
  <c r="E149" i="51"/>
  <c r="G149" i="51" s="1"/>
  <c r="E82" i="51"/>
  <c r="G82" i="51" s="1"/>
  <c r="E278" i="51"/>
  <c r="E266" i="51"/>
  <c r="G266" i="51" s="1"/>
  <c r="E254" i="51"/>
  <c r="E232" i="51"/>
  <c r="G232" i="51" s="1"/>
  <c r="E220" i="51"/>
  <c r="G220" i="51" s="1"/>
  <c r="E156" i="51"/>
  <c r="E144" i="51"/>
  <c r="G144" i="51" s="1"/>
  <c r="E72" i="51"/>
  <c r="G72" i="51" s="1"/>
  <c r="E333" i="51"/>
  <c r="E321" i="51"/>
  <c r="E273" i="51"/>
  <c r="E261" i="51"/>
  <c r="E163" i="51"/>
  <c r="E84" i="51"/>
  <c r="E280" i="51"/>
  <c r="J280" i="51" s="1"/>
  <c r="E256" i="51"/>
  <c r="J256" i="51" s="1"/>
  <c r="E244" i="51"/>
  <c r="J244" i="51" s="1"/>
  <c r="E234" i="51"/>
  <c r="J234" i="51" s="1"/>
  <c r="E222" i="51"/>
  <c r="J222" i="51" s="1"/>
  <c r="E158" i="51"/>
  <c r="J158" i="51" s="1"/>
  <c r="E146" i="51"/>
  <c r="J146" i="51" s="1"/>
  <c r="E74" i="51"/>
  <c r="J74" i="51" s="1"/>
  <c r="E323" i="51"/>
  <c r="J323" i="51" s="1"/>
  <c r="E275" i="51"/>
  <c r="J275" i="51" s="1"/>
  <c r="E263" i="51"/>
  <c r="J263" i="51" s="1"/>
  <c r="E251" i="51"/>
  <c r="J251" i="51" s="1"/>
  <c r="E229" i="51"/>
  <c r="J229" i="51" s="1"/>
  <c r="E153" i="51"/>
  <c r="E141" i="51"/>
  <c r="E86" i="51"/>
  <c r="E270" i="51"/>
  <c r="J270" i="51" s="1"/>
  <c r="E258" i="51"/>
  <c r="J258" i="51" s="1"/>
  <c r="E241" i="51"/>
  <c r="J241" i="51" s="1"/>
  <c r="E236" i="51"/>
  <c r="E224" i="51"/>
  <c r="J224" i="51" s="1"/>
  <c r="E160" i="51"/>
  <c r="G160" i="51" s="1"/>
  <c r="E148" i="51"/>
  <c r="J148" i="51" s="1"/>
  <c r="E81" i="51"/>
  <c r="G81" i="51" s="1"/>
  <c r="E76" i="51"/>
  <c r="E325" i="51"/>
  <c r="E277" i="51"/>
  <c r="G277" i="51" s="1"/>
  <c r="E265" i="51"/>
  <c r="G265" i="51" s="1"/>
  <c r="E253" i="51"/>
  <c r="G253" i="51" s="1"/>
  <c r="E231" i="51"/>
  <c r="G231" i="51" s="1"/>
  <c r="E155" i="51"/>
  <c r="E143" i="51"/>
  <c r="E71" i="51"/>
  <c r="G71" i="51" s="1"/>
  <c r="E332" i="51"/>
  <c r="J332" i="51" s="1"/>
  <c r="E272" i="51"/>
  <c r="E260" i="51"/>
  <c r="J260" i="51" s="1"/>
  <c r="E238" i="51"/>
  <c r="E226" i="51"/>
  <c r="G226" i="51" s="1"/>
  <c r="E162" i="51"/>
  <c r="G162" i="51" s="1"/>
  <c r="E150" i="51"/>
  <c r="J150" i="51" s="1"/>
  <c r="E83" i="51"/>
  <c r="J83" i="51" s="1"/>
  <c r="E279" i="51"/>
  <c r="J279" i="51" s="1"/>
  <c r="E267" i="51"/>
  <c r="J267" i="51" s="1"/>
  <c r="E255" i="51"/>
  <c r="J255" i="51" s="1"/>
  <c r="E233" i="51"/>
  <c r="J233" i="51" s="1"/>
  <c r="E221" i="51"/>
  <c r="J221" i="51" s="1"/>
  <c r="E157" i="51"/>
  <c r="J157" i="51" s="1"/>
  <c r="E145" i="51"/>
  <c r="J145" i="51" s="1"/>
  <c r="E78" i="51"/>
  <c r="J78" i="51" s="1"/>
  <c r="E73" i="51"/>
  <c r="J73" i="51" s="1"/>
  <c r="E324" i="51"/>
  <c r="G324" i="51" s="1"/>
  <c r="E276" i="51"/>
  <c r="G276" i="51" s="1"/>
  <c r="E264" i="51"/>
  <c r="G264" i="51" s="1"/>
  <c r="E252" i="51"/>
  <c r="G252" i="51" s="1"/>
  <c r="E230" i="51"/>
  <c r="J230" i="51" s="1"/>
  <c r="E154" i="51"/>
  <c r="G154" i="51" s="1"/>
  <c r="E142" i="51"/>
  <c r="G142" i="51" s="1"/>
  <c r="J274" i="51"/>
  <c r="E19" i="51"/>
  <c r="G19" i="51" s="1"/>
  <c r="G31" i="51"/>
  <c r="G76" i="51"/>
  <c r="E80" i="51"/>
  <c r="G80" i="51" s="1"/>
  <c r="J226" i="51"/>
  <c r="G236" i="51"/>
  <c r="G245" i="51"/>
  <c r="E24" i="51"/>
  <c r="G24" i="51" s="1"/>
  <c r="J76" i="51"/>
  <c r="E85" i="51"/>
  <c r="E159" i="51"/>
  <c r="J159" i="51" s="1"/>
  <c r="J236" i="51"/>
  <c r="G241" i="51"/>
  <c r="J245" i="51"/>
  <c r="E257" i="51"/>
  <c r="J257" i="51" s="1"/>
  <c r="E322" i="51"/>
  <c r="J331" i="51"/>
  <c r="A6" i="51"/>
  <c r="E17" i="51"/>
  <c r="J17" i="51" s="1"/>
  <c r="E29" i="51"/>
  <c r="J29" i="51" s="1"/>
  <c r="E43" i="51"/>
  <c r="G43" i="51" s="1"/>
  <c r="J80" i="51"/>
  <c r="G85" i="51"/>
  <c r="E140" i="51"/>
  <c r="J140" i="51" s="1"/>
  <c r="J149" i="51"/>
  <c r="G159" i="51"/>
  <c r="E164" i="51"/>
  <c r="G164" i="51" s="1"/>
  <c r="E262" i="51"/>
  <c r="E268" i="51" s="1"/>
  <c r="J268" i="51" s="1"/>
  <c r="G281" i="51"/>
  <c r="G322" i="51"/>
  <c r="G327" i="51"/>
  <c r="G255" i="51"/>
  <c r="J225" i="51"/>
  <c r="J284" i="51"/>
  <c r="E22" i="51"/>
  <c r="J22" i="51" s="1"/>
  <c r="E32" i="51"/>
  <c r="J32" i="51" s="1"/>
  <c r="J85" i="51"/>
  <c r="J154" i="51"/>
  <c r="E223" i="51"/>
  <c r="G223" i="51" s="1"/>
  <c r="J227" i="51"/>
  <c r="J252" i="51"/>
  <c r="G262" i="51"/>
  <c r="G267" i="51"/>
  <c r="G272" i="51"/>
  <c r="J281" i="51"/>
  <c r="G286" i="51"/>
  <c r="J322" i="51"/>
  <c r="G157" i="51"/>
  <c r="G75" i="51"/>
  <c r="G148" i="51"/>
  <c r="G270" i="51"/>
  <c r="E15" i="51"/>
  <c r="E27" i="51"/>
  <c r="J81" i="51"/>
  <c r="E228" i="51"/>
  <c r="J262" i="51"/>
  <c r="J272" i="51"/>
  <c r="J286" i="51"/>
  <c r="G152" i="51"/>
  <c r="J162" i="51"/>
  <c r="E240" i="51"/>
  <c r="J240" i="51" s="1"/>
  <c r="E283" i="51"/>
  <c r="G283" i="51" s="1"/>
  <c r="E326" i="51"/>
  <c r="E285" i="51"/>
  <c r="E151" i="51"/>
  <c r="E328" i="51"/>
  <c r="J328" i="51" s="1"/>
  <c r="E330" i="51"/>
  <c r="J330" i="51" s="1"/>
  <c r="E282" i="51"/>
  <c r="J282" i="51" s="1"/>
  <c r="E34" i="51"/>
  <c r="G34" i="51" s="1"/>
  <c r="E284" i="51"/>
  <c r="G284" i="51" s="1"/>
  <c r="E327" i="51"/>
  <c r="J327" i="51" s="1"/>
  <c r="E70" i="51"/>
  <c r="J70" i="51" s="1"/>
  <c r="J203" i="51"/>
  <c r="G203" i="51"/>
  <c r="E20" i="51"/>
  <c r="G20" i="51" s="1"/>
  <c r="G73" i="51"/>
  <c r="G146" i="51"/>
  <c r="J160" i="51"/>
  <c r="J223" i="51"/>
  <c r="G228" i="51"/>
  <c r="G238" i="51"/>
  <c r="G263" i="51"/>
  <c r="J277" i="51"/>
  <c r="J161" i="51"/>
  <c r="J142" i="51"/>
  <c r="G260" i="51"/>
  <c r="E13" i="51"/>
  <c r="G13" i="51" s="1"/>
  <c r="E25" i="51"/>
  <c r="G25" i="51" s="1"/>
  <c r="G78" i="51"/>
  <c r="J228" i="51"/>
  <c r="J238" i="51"/>
  <c r="E329" i="51"/>
  <c r="J329" i="51" s="1"/>
  <c r="G235" i="51"/>
  <c r="E18" i="51"/>
  <c r="J18" i="51" s="1"/>
  <c r="G74" i="51"/>
  <c r="E147" i="51"/>
  <c r="J147" i="51" s="1"/>
  <c r="G229" i="51"/>
  <c r="E269" i="51"/>
  <c r="G269" i="51" s="1"/>
  <c r="G329" i="51"/>
  <c r="G137" i="51"/>
  <c r="T1" i="51" s="1"/>
  <c r="B137" i="50"/>
  <c r="J21" i="50"/>
  <c r="G223" i="50"/>
  <c r="J257" i="50"/>
  <c r="E72" i="50"/>
  <c r="G72" i="50"/>
  <c r="E82" i="50"/>
  <c r="G82" i="50" s="1"/>
  <c r="E161" i="50"/>
  <c r="J161" i="50" s="1"/>
  <c r="G215" i="50"/>
  <c r="G161" i="50"/>
  <c r="E14" i="50"/>
  <c r="G14" i="50" s="1"/>
  <c r="G137" i="50"/>
  <c r="J181" i="50"/>
  <c r="G269" i="50"/>
  <c r="E274" i="50"/>
  <c r="J283" i="50"/>
  <c r="G308" i="50"/>
  <c r="J215" i="50"/>
  <c r="E235" i="50"/>
  <c r="E240" i="50"/>
  <c r="J269" i="50"/>
  <c r="G274" i="50"/>
  <c r="J308" i="50"/>
  <c r="G235" i="50"/>
  <c r="G240" i="50"/>
  <c r="E245" i="50"/>
  <c r="J245" i="50" s="1"/>
  <c r="J274" i="50"/>
  <c r="J72" i="50"/>
  <c r="J235" i="50"/>
  <c r="J240" i="50"/>
  <c r="G245" i="50"/>
  <c r="E149" i="50"/>
  <c r="J149" i="50" s="1"/>
  <c r="G222" i="50"/>
  <c r="G266" i="50"/>
  <c r="E142" i="50"/>
  <c r="G142" i="50" s="1"/>
  <c r="E21" i="50"/>
  <c r="E154" i="50"/>
  <c r="G154" i="50" s="1"/>
  <c r="J174" i="50"/>
  <c r="G174" i="50"/>
  <c r="J222" i="50"/>
  <c r="J329" i="50"/>
  <c r="E324" i="50"/>
  <c r="J324" i="50" s="1"/>
  <c r="E276" i="50"/>
  <c r="G276" i="50" s="1"/>
  <c r="E264" i="50"/>
  <c r="G264" i="50" s="1"/>
  <c r="E252" i="50"/>
  <c r="E230" i="50"/>
  <c r="J230" i="50" s="1"/>
  <c r="E156" i="50"/>
  <c r="E144" i="50"/>
  <c r="J144" i="50" s="1"/>
  <c r="E28" i="50"/>
  <c r="J28" i="50" s="1"/>
  <c r="E16" i="50"/>
  <c r="E331" i="50"/>
  <c r="G331" i="50" s="1"/>
  <c r="E271" i="50"/>
  <c r="G271" i="50" s="1"/>
  <c r="E259" i="50"/>
  <c r="G259" i="50" s="1"/>
  <c r="E242" i="50"/>
  <c r="G242" i="50" s="1"/>
  <c r="E237" i="50"/>
  <c r="G237" i="50" s="1"/>
  <c r="E225" i="50"/>
  <c r="G225" i="50" s="1"/>
  <c r="E163" i="50"/>
  <c r="G163" i="50" s="1"/>
  <c r="E84" i="50"/>
  <c r="G84" i="50" s="1"/>
  <c r="E74" i="50"/>
  <c r="G74" i="50" s="1"/>
  <c r="E23" i="50"/>
  <c r="G23" i="50" s="1"/>
  <c r="E278" i="50"/>
  <c r="J278" i="50" s="1"/>
  <c r="E266" i="50"/>
  <c r="J266" i="50" s="1"/>
  <c r="E254" i="50"/>
  <c r="G254" i="50" s="1"/>
  <c r="E232" i="50"/>
  <c r="J232" i="50" s="1"/>
  <c r="E220" i="50"/>
  <c r="J220" i="50" s="1"/>
  <c r="E158" i="50"/>
  <c r="J158" i="50" s="1"/>
  <c r="E146" i="50"/>
  <c r="J146" i="50" s="1"/>
  <c r="E18" i="50"/>
  <c r="G18" i="50" s="1"/>
  <c r="E333" i="50"/>
  <c r="E321" i="50"/>
  <c r="E273" i="50"/>
  <c r="E261" i="50"/>
  <c r="E153" i="50"/>
  <c r="E141" i="50"/>
  <c r="E86" i="50"/>
  <c r="E76" i="50"/>
  <c r="E25" i="50"/>
  <c r="E13" i="50"/>
  <c r="E280" i="50"/>
  <c r="G280" i="50" s="1"/>
  <c r="E256" i="50"/>
  <c r="J256" i="50" s="1"/>
  <c r="E244" i="50"/>
  <c r="J244" i="50" s="1"/>
  <c r="E234" i="50"/>
  <c r="J234" i="50" s="1"/>
  <c r="E222" i="50"/>
  <c r="E160" i="50"/>
  <c r="G160" i="50" s="1"/>
  <c r="E148" i="50"/>
  <c r="J148" i="50" s="1"/>
  <c r="E81" i="50"/>
  <c r="J81" i="50" s="1"/>
  <c r="E71" i="50"/>
  <c r="J71" i="50" s="1"/>
  <c r="E20" i="50"/>
  <c r="J20" i="50" s="1"/>
  <c r="E323" i="50"/>
  <c r="E275" i="50"/>
  <c r="E263" i="50"/>
  <c r="E251" i="50"/>
  <c r="E229" i="50"/>
  <c r="E155" i="50"/>
  <c r="E143" i="50"/>
  <c r="E32" i="50"/>
  <c r="E27" i="50"/>
  <c r="E15" i="50"/>
  <c r="E322" i="50"/>
  <c r="J322" i="50" s="1"/>
  <c r="E270" i="50"/>
  <c r="J270" i="50" s="1"/>
  <c r="E258" i="50"/>
  <c r="J258" i="50" s="1"/>
  <c r="E241" i="50"/>
  <c r="G241" i="50" s="1"/>
  <c r="E236" i="50"/>
  <c r="G236" i="50" s="1"/>
  <c r="E224" i="50"/>
  <c r="J224" i="50" s="1"/>
  <c r="E162" i="50"/>
  <c r="G162" i="50" s="1"/>
  <c r="E150" i="50"/>
  <c r="G150" i="50" s="1"/>
  <c r="E83" i="50"/>
  <c r="G83" i="50" s="1"/>
  <c r="E78" i="50"/>
  <c r="J78" i="50" s="1"/>
  <c r="E73" i="50"/>
  <c r="J73" i="50" s="1"/>
  <c r="E22" i="50"/>
  <c r="G22" i="50" s="1"/>
  <c r="E364" i="50"/>
  <c r="J364" i="50" s="1"/>
  <c r="J372" i="50" s="1"/>
  <c r="U6" i="50" s="1"/>
  <c r="E325" i="50"/>
  <c r="J325" i="50" s="1"/>
  <c r="E277" i="50"/>
  <c r="E265" i="50"/>
  <c r="E253" i="50"/>
  <c r="E231" i="50"/>
  <c r="E157" i="50"/>
  <c r="E145" i="50"/>
  <c r="E17" i="50"/>
  <c r="E332" i="50"/>
  <c r="J332" i="50" s="1"/>
  <c r="E272" i="50"/>
  <c r="G272" i="50" s="1"/>
  <c r="E260" i="50"/>
  <c r="G260" i="50" s="1"/>
  <c r="E238" i="50"/>
  <c r="G238" i="50" s="1"/>
  <c r="E226" i="50"/>
  <c r="G226" i="50" s="1"/>
  <c r="E164" i="50"/>
  <c r="J164" i="50" s="1"/>
  <c r="E152" i="50"/>
  <c r="G152" i="50" s="1"/>
  <c r="E140" i="50"/>
  <c r="J140" i="50" s="1"/>
  <c r="E85" i="50"/>
  <c r="J85" i="50" s="1"/>
  <c r="E75" i="50"/>
  <c r="G75" i="50" s="1"/>
  <c r="E24" i="50"/>
  <c r="J24" i="50" s="1"/>
  <c r="E279" i="50"/>
  <c r="J279" i="50" s="1"/>
  <c r="E267" i="50"/>
  <c r="J267" i="50" s="1"/>
  <c r="E255" i="50"/>
  <c r="J255" i="50" s="1"/>
  <c r="E233" i="50"/>
  <c r="J233" i="50" s="1"/>
  <c r="E221" i="50"/>
  <c r="J221" i="50" s="1"/>
  <c r="E159" i="50"/>
  <c r="J159" i="50" s="1"/>
  <c r="E147" i="50"/>
  <c r="J147" i="50" s="1"/>
  <c r="E80" i="50"/>
  <c r="J80" i="50" s="1"/>
  <c r="E19" i="50"/>
  <c r="J19" i="50" s="1"/>
  <c r="E228" i="50"/>
  <c r="G228" i="50" s="1"/>
  <c r="G21" i="50"/>
  <c r="E26" i="50"/>
  <c r="G26" i="50" s="1"/>
  <c r="G159" i="50"/>
  <c r="E223" i="50"/>
  <c r="J223" i="50" s="1"/>
  <c r="G232" i="50"/>
  <c r="G257" i="50"/>
  <c r="E262" i="50"/>
  <c r="E268" i="50" s="1"/>
  <c r="G268" i="50" s="1"/>
  <c r="J271" i="50"/>
  <c r="G364" i="50"/>
  <c r="G372" i="50" s="1"/>
  <c r="T6" i="50" s="1"/>
  <c r="E42" i="50"/>
  <c r="J42" i="50" s="1"/>
  <c r="E52" i="50"/>
  <c r="J52" i="50" s="1"/>
  <c r="E70" i="50"/>
  <c r="J70" i="50" s="1"/>
  <c r="E167" i="50"/>
  <c r="J167" i="50" s="1"/>
  <c r="J179" i="50"/>
  <c r="E189" i="50"/>
  <c r="J189" i="50" s="1"/>
  <c r="E197" i="50"/>
  <c r="J197" i="50" s="1"/>
  <c r="E299" i="50"/>
  <c r="J299" i="50" s="1"/>
  <c r="J311" i="50"/>
  <c r="E327" i="50"/>
  <c r="J327" i="50" s="1"/>
  <c r="E57" i="50"/>
  <c r="J57" i="50" s="1"/>
  <c r="E172" i="50"/>
  <c r="G172" i="50" s="1"/>
  <c r="E202" i="50"/>
  <c r="J202" i="50" s="1"/>
  <c r="E284" i="50"/>
  <c r="G284" i="50" s="1"/>
  <c r="E292" i="50"/>
  <c r="G292" i="50" s="1"/>
  <c r="G304" i="50"/>
  <c r="E29" i="50"/>
  <c r="E40" i="50"/>
  <c r="E50" i="50"/>
  <c r="E187" i="50"/>
  <c r="E297" i="50"/>
  <c r="J309" i="50"/>
  <c r="E55" i="50"/>
  <c r="G55" i="50" s="1"/>
  <c r="E170" i="50"/>
  <c r="G170" i="50" s="1"/>
  <c r="J182" i="50"/>
  <c r="E200" i="50"/>
  <c r="G200" i="50" s="1"/>
  <c r="E282" i="50"/>
  <c r="G282" i="50" s="1"/>
  <c r="E290" i="50"/>
  <c r="G290" i="50" s="1"/>
  <c r="E302" i="50"/>
  <c r="G302" i="50" s="1"/>
  <c r="E330" i="50"/>
  <c r="G330" i="50" s="1"/>
  <c r="E38" i="50"/>
  <c r="E48" i="50"/>
  <c r="E175" i="50"/>
  <c r="E185" i="50"/>
  <c r="E208" i="50"/>
  <c r="E295" i="50"/>
  <c r="E307" i="50"/>
  <c r="G317" i="50"/>
  <c r="E53" i="50"/>
  <c r="J53" i="50" s="1"/>
  <c r="E168" i="50"/>
  <c r="J168" i="50" s="1"/>
  <c r="J180" i="50"/>
  <c r="E190" i="50"/>
  <c r="J190" i="50" s="1"/>
  <c r="E198" i="50"/>
  <c r="J198" i="50" s="1"/>
  <c r="E288" i="50"/>
  <c r="J288" i="50" s="1"/>
  <c r="E300" i="50"/>
  <c r="J300" i="50" s="1"/>
  <c r="E328" i="50"/>
  <c r="G328" i="50" s="1"/>
  <c r="E36" i="50"/>
  <c r="E46" i="50"/>
  <c r="E173" i="50"/>
  <c r="E206" i="50"/>
  <c r="E285" i="50"/>
  <c r="E293" i="50"/>
  <c r="E305" i="50"/>
  <c r="E30" i="50"/>
  <c r="E41" i="50"/>
  <c r="G41" i="50" s="1"/>
  <c r="E51" i="50"/>
  <c r="J166" i="50"/>
  <c r="E178" i="50"/>
  <c r="G178" i="50" s="1"/>
  <c r="E188" i="50"/>
  <c r="J188" i="50" s="1"/>
  <c r="E196" i="50"/>
  <c r="J196" i="50" s="1"/>
  <c r="E298" i="50"/>
  <c r="G298" i="50" s="1"/>
  <c r="E310" i="50"/>
  <c r="J310" i="50" s="1"/>
  <c r="E326" i="50"/>
  <c r="J326" i="50" s="1"/>
  <c r="E56" i="50"/>
  <c r="G56" i="50" s="1"/>
  <c r="E151" i="50"/>
  <c r="G151" i="50" s="1"/>
  <c r="E171" i="50"/>
  <c r="G171" i="50" s="1"/>
  <c r="E201" i="50"/>
  <c r="G201" i="50" s="1"/>
  <c r="E291" i="50"/>
  <c r="G291" i="50" s="1"/>
  <c r="E303" i="50"/>
  <c r="G303" i="50" s="1"/>
  <c r="E39" i="50"/>
  <c r="J39" i="50" s="1"/>
  <c r="E44" i="50"/>
  <c r="E49" i="50"/>
  <c r="J49" i="50" s="1"/>
  <c r="E176" i="50"/>
  <c r="J186" i="50"/>
  <c r="E296" i="50"/>
  <c r="G296" i="50" s="1"/>
  <c r="G16" i="49"/>
  <c r="G262" i="49"/>
  <c r="E268" i="49"/>
  <c r="J268" i="49" s="1"/>
  <c r="B137" i="49"/>
  <c r="E47" i="49"/>
  <c r="G72" i="49"/>
  <c r="J72" i="49"/>
  <c r="J137" i="49"/>
  <c r="E152" i="49"/>
  <c r="J152" i="49" s="1"/>
  <c r="E161" i="49"/>
  <c r="E199" i="49"/>
  <c r="J199" i="49" s="1"/>
  <c r="G14" i="49"/>
  <c r="G181" i="49"/>
  <c r="E57" i="49"/>
  <c r="G57" i="49" s="1"/>
  <c r="J82" i="49"/>
  <c r="J161" i="49"/>
  <c r="E191" i="49"/>
  <c r="G191" i="49" s="1"/>
  <c r="G235" i="49"/>
  <c r="G240" i="49"/>
  <c r="E245" i="49"/>
  <c r="J269" i="49"/>
  <c r="E289" i="49"/>
  <c r="J289" i="49" s="1"/>
  <c r="E140" i="49"/>
  <c r="J140" i="49" s="1"/>
  <c r="J235" i="49"/>
  <c r="J240" i="49"/>
  <c r="G245" i="49"/>
  <c r="J274" i="49"/>
  <c r="E308" i="49"/>
  <c r="J308" i="49" s="1"/>
  <c r="E296" i="49"/>
  <c r="J186" i="49"/>
  <c r="E176" i="49"/>
  <c r="J176" i="49" s="1"/>
  <c r="E49" i="49"/>
  <c r="J49" i="49" s="1"/>
  <c r="E44" i="49"/>
  <c r="J44" i="49" s="1"/>
  <c r="E39" i="49"/>
  <c r="J39" i="49" s="1"/>
  <c r="J304" i="49"/>
  <c r="E303" i="49"/>
  <c r="G303" i="49" s="1"/>
  <c r="E291" i="49"/>
  <c r="G291" i="49" s="1"/>
  <c r="E201" i="49"/>
  <c r="G201" i="49" s="1"/>
  <c r="E171" i="49"/>
  <c r="G171" i="49" s="1"/>
  <c r="E56" i="49"/>
  <c r="G56" i="49" s="1"/>
  <c r="E292" i="49"/>
  <c r="J292" i="49" s="1"/>
  <c r="E202" i="49"/>
  <c r="G202" i="49" s="1"/>
  <c r="E310" i="49"/>
  <c r="J310" i="49" s="1"/>
  <c r="E298" i="49"/>
  <c r="J298" i="49" s="1"/>
  <c r="E196" i="49"/>
  <c r="J196" i="49" s="1"/>
  <c r="E188" i="49"/>
  <c r="J188" i="49" s="1"/>
  <c r="E178" i="49"/>
  <c r="J178" i="49" s="1"/>
  <c r="G166" i="49"/>
  <c r="E51" i="49"/>
  <c r="E41" i="49"/>
  <c r="G41" i="49" s="1"/>
  <c r="E305" i="49"/>
  <c r="E293" i="49"/>
  <c r="E206" i="49"/>
  <c r="E173" i="49"/>
  <c r="E46" i="49"/>
  <c r="E36" i="49"/>
  <c r="E172" i="49"/>
  <c r="J172" i="49" s="1"/>
  <c r="E300" i="49"/>
  <c r="G300" i="49" s="1"/>
  <c r="E288" i="49"/>
  <c r="G288" i="49" s="1"/>
  <c r="E198" i="49"/>
  <c r="G198" i="49" s="1"/>
  <c r="E190" i="49"/>
  <c r="J190" i="49" s="1"/>
  <c r="G180" i="49"/>
  <c r="E168" i="49"/>
  <c r="J168" i="49" s="1"/>
  <c r="E53" i="49"/>
  <c r="J53" i="49" s="1"/>
  <c r="E307" i="49"/>
  <c r="E295" i="49"/>
  <c r="E208" i="49"/>
  <c r="E185" i="49"/>
  <c r="E175" i="49"/>
  <c r="E48" i="49"/>
  <c r="E38" i="49"/>
  <c r="E302" i="49"/>
  <c r="J302" i="49" s="1"/>
  <c r="E290" i="49"/>
  <c r="G290" i="49" s="1"/>
  <c r="E200" i="49"/>
  <c r="G200" i="49" s="1"/>
  <c r="E170" i="49"/>
  <c r="J170" i="49" s="1"/>
  <c r="E55" i="49"/>
  <c r="G55" i="49" s="1"/>
  <c r="E297" i="49"/>
  <c r="E187" i="49"/>
  <c r="J187" i="49" s="1"/>
  <c r="J177" i="49"/>
  <c r="E50" i="49"/>
  <c r="E40" i="49"/>
  <c r="J311" i="49"/>
  <c r="E299" i="49"/>
  <c r="J299" i="49" s="1"/>
  <c r="E197" i="49"/>
  <c r="G197" i="49" s="1"/>
  <c r="E189" i="49"/>
  <c r="J189" i="49" s="1"/>
  <c r="G179" i="49"/>
  <c r="E167" i="49"/>
  <c r="G167" i="49" s="1"/>
  <c r="E52" i="49"/>
  <c r="J52" i="49" s="1"/>
  <c r="E42" i="49"/>
  <c r="J42" i="49" s="1"/>
  <c r="J24" i="49"/>
  <c r="E37" i="49"/>
  <c r="G140" i="49"/>
  <c r="E149" i="49"/>
  <c r="G182" i="49"/>
  <c r="G236" i="49"/>
  <c r="G241" i="49"/>
  <c r="J245" i="49"/>
  <c r="G149" i="49"/>
  <c r="J182" i="49"/>
  <c r="J236" i="49"/>
  <c r="J241" i="49"/>
  <c r="J294" i="49"/>
  <c r="E21" i="49"/>
  <c r="E54" i="49"/>
  <c r="G54" i="49" s="1"/>
  <c r="E75" i="49"/>
  <c r="G75" i="49" s="1"/>
  <c r="J149" i="49"/>
  <c r="E154" i="49"/>
  <c r="E223" i="49"/>
  <c r="J223" i="49" s="1"/>
  <c r="E257" i="49"/>
  <c r="G257" i="49" s="1"/>
  <c r="J12" i="49"/>
  <c r="G21" i="49"/>
  <c r="E169" i="49"/>
  <c r="J169" i="49" s="1"/>
  <c r="J314" i="49"/>
  <c r="G161" i="49"/>
  <c r="E324" i="49"/>
  <c r="J324" i="49" s="1"/>
  <c r="E276" i="49"/>
  <c r="E264" i="49"/>
  <c r="E252" i="49"/>
  <c r="E230" i="49"/>
  <c r="J230" i="49" s="1"/>
  <c r="E156" i="49"/>
  <c r="E144" i="49"/>
  <c r="J144" i="49" s="1"/>
  <c r="E28" i="49"/>
  <c r="J28" i="49" s="1"/>
  <c r="E16" i="49"/>
  <c r="J16" i="49" s="1"/>
  <c r="E226" i="49"/>
  <c r="J226" i="49" s="1"/>
  <c r="E331" i="49"/>
  <c r="G331" i="49" s="1"/>
  <c r="E271" i="49"/>
  <c r="G271" i="49" s="1"/>
  <c r="E259" i="49"/>
  <c r="G259" i="49" s="1"/>
  <c r="E242" i="49"/>
  <c r="G242" i="49" s="1"/>
  <c r="E237" i="49"/>
  <c r="G237" i="49" s="1"/>
  <c r="E225" i="49"/>
  <c r="G225" i="49" s="1"/>
  <c r="E163" i="49"/>
  <c r="G163" i="49" s="1"/>
  <c r="E84" i="49"/>
  <c r="G84" i="49" s="1"/>
  <c r="E74" i="49"/>
  <c r="G74" i="49" s="1"/>
  <c r="E23" i="49"/>
  <c r="G23" i="49" s="1"/>
  <c r="E272" i="49"/>
  <c r="G272" i="49" s="1"/>
  <c r="E278" i="49"/>
  <c r="J278" i="49" s="1"/>
  <c r="E266" i="49"/>
  <c r="J266" i="49" s="1"/>
  <c r="E254" i="49"/>
  <c r="J254" i="49" s="1"/>
  <c r="E232" i="49"/>
  <c r="J232" i="49" s="1"/>
  <c r="E220" i="49"/>
  <c r="J220" i="49" s="1"/>
  <c r="E158" i="49"/>
  <c r="J158" i="49" s="1"/>
  <c r="E146" i="49"/>
  <c r="J146" i="49" s="1"/>
  <c r="E18" i="49"/>
  <c r="E333" i="49"/>
  <c r="E321" i="49"/>
  <c r="E273" i="49"/>
  <c r="E261" i="49"/>
  <c r="E153" i="49"/>
  <c r="E141" i="49"/>
  <c r="E86" i="49"/>
  <c r="E76" i="49"/>
  <c r="E25" i="49"/>
  <c r="E13" i="49"/>
  <c r="E280" i="49"/>
  <c r="J280" i="49" s="1"/>
  <c r="E256" i="49"/>
  <c r="J256" i="49" s="1"/>
  <c r="E244" i="49"/>
  <c r="G244" i="49" s="1"/>
  <c r="E234" i="49"/>
  <c r="G234" i="49" s="1"/>
  <c r="E222" i="49"/>
  <c r="G222" i="49" s="1"/>
  <c r="E160" i="49"/>
  <c r="J160" i="49" s="1"/>
  <c r="E148" i="49"/>
  <c r="G148" i="49" s="1"/>
  <c r="E81" i="49"/>
  <c r="J81" i="49" s="1"/>
  <c r="E71" i="49"/>
  <c r="J71" i="49" s="1"/>
  <c r="E20" i="49"/>
  <c r="J20" i="49" s="1"/>
  <c r="E323" i="49"/>
  <c r="E275" i="49"/>
  <c r="E263" i="49"/>
  <c r="E251" i="49"/>
  <c r="E229" i="49"/>
  <c r="E155" i="49"/>
  <c r="E143" i="49"/>
  <c r="E32" i="49"/>
  <c r="E27" i="49"/>
  <c r="E15" i="49"/>
  <c r="E270" i="49"/>
  <c r="G270" i="49" s="1"/>
  <c r="E258" i="49"/>
  <c r="G258" i="49" s="1"/>
  <c r="E241" i="49"/>
  <c r="E236" i="49"/>
  <c r="E224" i="49"/>
  <c r="J224" i="49" s="1"/>
  <c r="E162" i="49"/>
  <c r="G162" i="49" s="1"/>
  <c r="E150" i="49"/>
  <c r="J150" i="49" s="1"/>
  <c r="E83" i="49"/>
  <c r="J83" i="49" s="1"/>
  <c r="E78" i="49"/>
  <c r="J78" i="49" s="1"/>
  <c r="E73" i="49"/>
  <c r="G73" i="49" s="1"/>
  <c r="E22" i="49"/>
  <c r="J22" i="49" s="1"/>
  <c r="E364" i="49"/>
  <c r="J364" i="49" s="1"/>
  <c r="J372" i="49" s="1"/>
  <c r="U6" i="49" s="1"/>
  <c r="E325" i="49"/>
  <c r="E277" i="49"/>
  <c r="E265" i="49"/>
  <c r="E253" i="49"/>
  <c r="E231" i="49"/>
  <c r="E157" i="49"/>
  <c r="J157" i="49" s="1"/>
  <c r="E145" i="49"/>
  <c r="J145" i="49" s="1"/>
  <c r="E17" i="49"/>
  <c r="E332" i="49"/>
  <c r="J332" i="49" s="1"/>
  <c r="E260" i="49"/>
  <c r="J260" i="49" s="1"/>
  <c r="E238" i="49"/>
  <c r="J238" i="49" s="1"/>
  <c r="E279" i="49"/>
  <c r="J279" i="49" s="1"/>
  <c r="E267" i="49"/>
  <c r="J267" i="49" s="1"/>
  <c r="E255" i="49"/>
  <c r="J255" i="49" s="1"/>
  <c r="E233" i="49"/>
  <c r="J233" i="49" s="1"/>
  <c r="E221" i="49"/>
  <c r="J221" i="49" s="1"/>
  <c r="E159" i="49"/>
  <c r="J159" i="49" s="1"/>
  <c r="E147" i="49"/>
  <c r="G147" i="49" s="1"/>
  <c r="E80" i="49"/>
  <c r="J80" i="49" s="1"/>
  <c r="E19" i="49"/>
  <c r="J19" i="49" s="1"/>
  <c r="E322" i="49"/>
  <c r="G322" i="49" s="1"/>
  <c r="J21" i="49"/>
  <c r="E26" i="49"/>
  <c r="G71" i="49"/>
  <c r="J75" i="49"/>
  <c r="E85" i="49"/>
  <c r="G85" i="49" s="1"/>
  <c r="E164" i="49"/>
  <c r="G164" i="49" s="1"/>
  <c r="E228" i="49"/>
  <c r="G228" i="49" s="1"/>
  <c r="J237" i="49"/>
  <c r="J242" i="49"/>
  <c r="E301" i="49"/>
  <c r="J301" i="49" s="1"/>
  <c r="J328" i="49"/>
  <c r="G22" i="49"/>
  <c r="E142" i="49"/>
  <c r="E207" i="49"/>
  <c r="G207" i="49" s="1"/>
  <c r="G238" i="49"/>
  <c r="J262" i="49"/>
  <c r="J272" i="49"/>
  <c r="E306" i="49"/>
  <c r="G306" i="49" s="1"/>
  <c r="G364" i="49"/>
  <c r="G372" i="49" s="1"/>
  <c r="T6" i="49" s="1"/>
  <c r="E70" i="49"/>
  <c r="J70" i="49" s="1"/>
  <c r="E327" i="49"/>
  <c r="J327" i="49" s="1"/>
  <c r="E29" i="49"/>
  <c r="E282" i="49"/>
  <c r="J282" i="49" s="1"/>
  <c r="E330" i="49"/>
  <c r="G330" i="49" s="1"/>
  <c r="G317" i="49"/>
  <c r="E328" i="49"/>
  <c r="G328" i="49" s="1"/>
  <c r="E285" i="49"/>
  <c r="G315" i="49"/>
  <c r="E30" i="49"/>
  <c r="E326" i="49"/>
  <c r="G326" i="49" s="1"/>
  <c r="E151" i="49"/>
  <c r="G151" i="49" s="1"/>
  <c r="G266" i="48"/>
  <c r="J266" i="48"/>
  <c r="G298" i="48"/>
  <c r="J298" i="48"/>
  <c r="G272" i="48"/>
  <c r="E19" i="48"/>
  <c r="G19" i="48" s="1"/>
  <c r="J85" i="48"/>
  <c r="G146" i="48"/>
  <c r="E260" i="48"/>
  <c r="G260" i="48" s="1"/>
  <c r="J277" i="48"/>
  <c r="G309" i="48"/>
  <c r="G278" i="48"/>
  <c r="J278" i="48"/>
  <c r="E51" i="48"/>
  <c r="G164" i="48"/>
  <c r="E178" i="48"/>
  <c r="J178" i="48" s="1"/>
  <c r="E202" i="48"/>
  <c r="J202" i="48" s="1"/>
  <c r="E226" i="48"/>
  <c r="J226" i="48" s="1"/>
  <c r="G238" i="48"/>
  <c r="E292" i="48"/>
  <c r="G292" i="48" s="1"/>
  <c r="G326" i="48"/>
  <c r="G281" i="48"/>
  <c r="J325" i="48"/>
  <c r="G325" i="48"/>
  <c r="J272" i="48"/>
  <c r="J30" i="48"/>
  <c r="G12" i="48"/>
  <c r="E40" i="48"/>
  <c r="J40" i="48" s="1"/>
  <c r="J164" i="48"/>
  <c r="J211" i="48"/>
  <c r="G211" i="48"/>
  <c r="G226" i="48"/>
  <c r="J238" i="48"/>
  <c r="J265" i="48"/>
  <c r="E297" i="48"/>
  <c r="G297" i="48" s="1"/>
  <c r="E310" i="48"/>
  <c r="J263" i="48"/>
  <c r="E152" i="48"/>
  <c r="J152" i="48" s="1"/>
  <c r="E187" i="48"/>
  <c r="E253" i="48"/>
  <c r="G253" i="48" s="1"/>
  <c r="G257" i="48"/>
  <c r="J317" i="48"/>
  <c r="G15" i="48"/>
  <c r="E324" i="48"/>
  <c r="E276" i="48"/>
  <c r="E264" i="48"/>
  <c r="E252" i="48"/>
  <c r="E230" i="48"/>
  <c r="E156" i="48"/>
  <c r="E144" i="48"/>
  <c r="E28" i="48"/>
  <c r="E16" i="48"/>
  <c r="E331" i="48"/>
  <c r="G331" i="48" s="1"/>
  <c r="E271" i="48"/>
  <c r="G271" i="48" s="1"/>
  <c r="E259" i="48"/>
  <c r="G259" i="48" s="1"/>
  <c r="E242" i="48"/>
  <c r="G242" i="48" s="1"/>
  <c r="E237" i="48"/>
  <c r="G237" i="48" s="1"/>
  <c r="E225" i="48"/>
  <c r="G225" i="48" s="1"/>
  <c r="E163" i="48"/>
  <c r="G163" i="48" s="1"/>
  <c r="E84" i="48"/>
  <c r="J84" i="48" s="1"/>
  <c r="E74" i="48"/>
  <c r="J74" i="48" s="1"/>
  <c r="E23" i="48"/>
  <c r="J23" i="48" s="1"/>
  <c r="E333" i="48"/>
  <c r="J333" i="48" s="1"/>
  <c r="E321" i="48"/>
  <c r="J321" i="48" s="1"/>
  <c r="E273" i="48"/>
  <c r="J273" i="48" s="1"/>
  <c r="E261" i="48"/>
  <c r="J261" i="48" s="1"/>
  <c r="E153" i="48"/>
  <c r="J153" i="48" s="1"/>
  <c r="E141" i="48"/>
  <c r="J141" i="48" s="1"/>
  <c r="E86" i="48"/>
  <c r="J86" i="48" s="1"/>
  <c r="E76" i="48"/>
  <c r="J76" i="48" s="1"/>
  <c r="E25" i="48"/>
  <c r="E13" i="48"/>
  <c r="E280" i="48"/>
  <c r="E256" i="48"/>
  <c r="E244" i="48"/>
  <c r="G244" i="48" s="1"/>
  <c r="E234" i="48"/>
  <c r="E222" i="48"/>
  <c r="E160" i="48"/>
  <c r="G160" i="48" s="1"/>
  <c r="E148" i="48"/>
  <c r="G148" i="48" s="1"/>
  <c r="E81" i="48"/>
  <c r="E71" i="48"/>
  <c r="E20" i="48"/>
  <c r="E323" i="48"/>
  <c r="G323" i="48" s="1"/>
  <c r="E275" i="48"/>
  <c r="E263" i="48"/>
  <c r="E251" i="48"/>
  <c r="G251" i="48" s="1"/>
  <c r="E229" i="48"/>
  <c r="G229" i="48" s="1"/>
  <c r="E155" i="48"/>
  <c r="G155" i="48" s="1"/>
  <c r="E143" i="48"/>
  <c r="G143" i="48" s="1"/>
  <c r="E32" i="48"/>
  <c r="J32" i="48" s="1"/>
  <c r="E27" i="48"/>
  <c r="J27" i="48" s="1"/>
  <c r="E15" i="48"/>
  <c r="J15" i="48" s="1"/>
  <c r="E270" i="48"/>
  <c r="J270" i="48" s="1"/>
  <c r="E258" i="48"/>
  <c r="J258" i="48" s="1"/>
  <c r="E241" i="48"/>
  <c r="J241" i="48" s="1"/>
  <c r="E236" i="48"/>
  <c r="J236" i="48" s="1"/>
  <c r="E224" i="48"/>
  <c r="J224" i="48" s="1"/>
  <c r="E162" i="48"/>
  <c r="J162" i="48" s="1"/>
  <c r="E150" i="48"/>
  <c r="J150" i="48" s="1"/>
  <c r="E83" i="48"/>
  <c r="J83" i="48" s="1"/>
  <c r="E78" i="48"/>
  <c r="J78" i="48" s="1"/>
  <c r="E73" i="48"/>
  <c r="J73" i="48" s="1"/>
  <c r="E22" i="48"/>
  <c r="J22" i="48" s="1"/>
  <c r="E364" i="48"/>
  <c r="G364" i="48" s="1"/>
  <c r="G372" i="48" s="1"/>
  <c r="T6" i="48" s="1"/>
  <c r="E279" i="48"/>
  <c r="E267" i="48"/>
  <c r="J267" i="48" s="1"/>
  <c r="E255" i="48"/>
  <c r="J255" i="48" s="1"/>
  <c r="E233" i="48"/>
  <c r="J233" i="48" s="1"/>
  <c r="E221" i="48"/>
  <c r="E159" i="48"/>
  <c r="J159" i="48" s="1"/>
  <c r="E147" i="48"/>
  <c r="J147" i="48" s="1"/>
  <c r="E80" i="48"/>
  <c r="G80" i="48" s="1"/>
  <c r="E322" i="48"/>
  <c r="G322" i="48" s="1"/>
  <c r="E274" i="48"/>
  <c r="G274" i="48" s="1"/>
  <c r="E262" i="48"/>
  <c r="J262" i="48" s="1"/>
  <c r="E228" i="48"/>
  <c r="G228" i="48" s="1"/>
  <c r="E154" i="48"/>
  <c r="G154" i="48" s="1"/>
  <c r="E142" i="48"/>
  <c r="G142" i="48" s="1"/>
  <c r="E257" i="48"/>
  <c r="J257" i="48" s="1"/>
  <c r="E245" i="48"/>
  <c r="J245" i="48" s="1"/>
  <c r="E240" i="48"/>
  <c r="J240" i="48" s="1"/>
  <c r="E235" i="48"/>
  <c r="J235" i="48" s="1"/>
  <c r="E223" i="48"/>
  <c r="J223" i="48" s="1"/>
  <c r="E161" i="48"/>
  <c r="J161" i="48" s="1"/>
  <c r="E149" i="48"/>
  <c r="J149" i="48" s="1"/>
  <c r="E82" i="48"/>
  <c r="J82" i="48" s="1"/>
  <c r="E72" i="48"/>
  <c r="J72" i="48" s="1"/>
  <c r="E21" i="48"/>
  <c r="J21" i="48" s="1"/>
  <c r="G13" i="48"/>
  <c r="E17" i="48"/>
  <c r="J17" i="48" s="1"/>
  <c r="E24" i="48"/>
  <c r="G24" i="48" s="1"/>
  <c r="E37" i="48"/>
  <c r="G37" i="48" s="1"/>
  <c r="E75" i="48"/>
  <c r="G152" i="48"/>
  <c r="E157" i="48"/>
  <c r="J157" i="48" s="1"/>
  <c r="J166" i="48"/>
  <c r="E231" i="48"/>
  <c r="G235" i="48"/>
  <c r="G275" i="48"/>
  <c r="J283" i="48"/>
  <c r="G318" i="48"/>
  <c r="E319" i="48"/>
  <c r="J318" i="48"/>
  <c r="J25" i="48"/>
  <c r="G141" i="48"/>
  <c r="G220" i="48"/>
  <c r="G85" i="48"/>
  <c r="J26" i="48"/>
  <c r="J13" i="48"/>
  <c r="E41" i="48"/>
  <c r="E52" i="48"/>
  <c r="J52" i="48" s="1"/>
  <c r="G75" i="48"/>
  <c r="G218" i="48"/>
  <c r="G223" i="48"/>
  <c r="J253" i="48"/>
  <c r="J275" i="48"/>
  <c r="J323" i="48"/>
  <c r="E332" i="48"/>
  <c r="J332" i="48" s="1"/>
  <c r="J177" i="48"/>
  <c r="G177" i="48"/>
  <c r="E308" i="48"/>
  <c r="E296" i="48"/>
  <c r="E176" i="48"/>
  <c r="E49" i="48"/>
  <c r="G49" i="48" s="1"/>
  <c r="E44" i="48"/>
  <c r="G44" i="48" s="1"/>
  <c r="E39" i="48"/>
  <c r="G39" i="48" s="1"/>
  <c r="E303" i="48"/>
  <c r="G303" i="48" s="1"/>
  <c r="E291" i="48"/>
  <c r="G291" i="48" s="1"/>
  <c r="E201" i="48"/>
  <c r="G201" i="48" s="1"/>
  <c r="E171" i="48"/>
  <c r="G171" i="48" s="1"/>
  <c r="E56" i="48"/>
  <c r="G56" i="48" s="1"/>
  <c r="E305" i="48"/>
  <c r="J305" i="48" s="1"/>
  <c r="E293" i="48"/>
  <c r="J293" i="48" s="1"/>
  <c r="E206" i="48"/>
  <c r="J206" i="48" s="1"/>
  <c r="E173" i="48"/>
  <c r="J173" i="48" s="1"/>
  <c r="E46" i="48"/>
  <c r="G46" i="48" s="1"/>
  <c r="E36" i="48"/>
  <c r="G36" i="48" s="1"/>
  <c r="E300" i="48"/>
  <c r="E288" i="48"/>
  <c r="E198" i="48"/>
  <c r="E190" i="48"/>
  <c r="G190" i="48" s="1"/>
  <c r="G180" i="48"/>
  <c r="E168" i="48"/>
  <c r="G168" i="48" s="1"/>
  <c r="E53" i="48"/>
  <c r="E307" i="48"/>
  <c r="J307" i="48" s="1"/>
  <c r="E295" i="48"/>
  <c r="G295" i="48" s="1"/>
  <c r="E208" i="48"/>
  <c r="G208" i="48" s="1"/>
  <c r="G185" i="48"/>
  <c r="E175" i="48"/>
  <c r="G175" i="48" s="1"/>
  <c r="E48" i="48"/>
  <c r="G48" i="48" s="1"/>
  <c r="E38" i="48"/>
  <c r="G38" i="48" s="1"/>
  <c r="E302" i="48"/>
  <c r="J302" i="48" s="1"/>
  <c r="E290" i="48"/>
  <c r="J290" i="48" s="1"/>
  <c r="E200" i="48"/>
  <c r="J200" i="48" s="1"/>
  <c r="J182" i="48"/>
  <c r="E170" i="48"/>
  <c r="J170" i="48" s="1"/>
  <c r="E55" i="48"/>
  <c r="J55" i="48" s="1"/>
  <c r="E299" i="48"/>
  <c r="J299" i="48" s="1"/>
  <c r="E197" i="48"/>
  <c r="J189" i="48"/>
  <c r="E167" i="48"/>
  <c r="E306" i="48"/>
  <c r="G306" i="48" s="1"/>
  <c r="E294" i="48"/>
  <c r="G294" i="48" s="1"/>
  <c r="E207" i="48"/>
  <c r="G207" i="48" s="1"/>
  <c r="G174" i="48"/>
  <c r="E301" i="48"/>
  <c r="J301" i="48" s="1"/>
  <c r="E289" i="48"/>
  <c r="G289" i="48" s="1"/>
  <c r="E199" i="48"/>
  <c r="G199" i="48" s="1"/>
  <c r="E191" i="48"/>
  <c r="J191" i="48" s="1"/>
  <c r="J181" i="48"/>
  <c r="E169" i="48"/>
  <c r="J169" i="48" s="1"/>
  <c r="E54" i="48"/>
  <c r="J54" i="48" s="1"/>
  <c r="J75" i="48"/>
  <c r="E140" i="48"/>
  <c r="J140" i="48" s="1"/>
  <c r="E188" i="48"/>
  <c r="J188" i="48" s="1"/>
  <c r="E254" i="48"/>
  <c r="G258" i="48"/>
  <c r="G332" i="48"/>
  <c r="J364" i="48"/>
  <c r="J372" i="48" s="1"/>
  <c r="U6" i="48" s="1"/>
  <c r="G285" i="48"/>
  <c r="J259" i="48"/>
  <c r="G86" i="48"/>
  <c r="E18" i="48"/>
  <c r="G25" i="48"/>
  <c r="G137" i="48"/>
  <c r="G76" i="48"/>
  <c r="G84" i="48"/>
  <c r="G140" i="48"/>
  <c r="E145" i="48"/>
  <c r="J145" i="48" s="1"/>
  <c r="E158" i="48"/>
  <c r="J158" i="48" s="1"/>
  <c r="G162" i="48"/>
  <c r="E232" i="48"/>
  <c r="J232" i="48" s="1"/>
  <c r="G236" i="48"/>
  <c r="G263" i="48"/>
  <c r="J284" i="48"/>
  <c r="J137" i="48"/>
  <c r="E269" i="48"/>
  <c r="G269" i="48" s="1"/>
  <c r="J281" i="48"/>
  <c r="E329" i="48"/>
  <c r="G329" i="48" s="1"/>
  <c r="E286" i="48"/>
  <c r="G286" i="48" s="1"/>
  <c r="E327" i="48"/>
  <c r="E282" i="48"/>
  <c r="J282" i="48" s="1"/>
  <c r="E330" i="48"/>
  <c r="J330" i="48" s="1"/>
  <c r="E328" i="48"/>
  <c r="G328" i="48" s="1"/>
  <c r="E285" i="48"/>
  <c r="J285" i="48" s="1"/>
  <c r="E151" i="48"/>
  <c r="G151" i="48" s="1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B436" i="43"/>
  <c r="J37" i="50" l="1"/>
  <c r="G319" i="51"/>
  <c r="G54" i="50"/>
  <c r="J294" i="50"/>
  <c r="G50" i="48"/>
  <c r="J304" i="48"/>
  <c r="G196" i="48"/>
  <c r="J199" i="50"/>
  <c r="J207" i="50"/>
  <c r="J172" i="48"/>
  <c r="J191" i="50"/>
  <c r="G53" i="49"/>
  <c r="G292" i="49"/>
  <c r="G178" i="49"/>
  <c r="J54" i="49"/>
  <c r="J55" i="49"/>
  <c r="G169" i="50"/>
  <c r="G301" i="50"/>
  <c r="G168" i="49"/>
  <c r="J43" i="51"/>
  <c r="J175" i="48"/>
  <c r="J168" i="48"/>
  <c r="J303" i="50"/>
  <c r="J179" i="49"/>
  <c r="B383" i="51"/>
  <c r="G268" i="51"/>
  <c r="B373" i="50"/>
  <c r="B373" i="48"/>
  <c r="B373" i="49"/>
  <c r="G170" i="49"/>
  <c r="J47" i="48"/>
  <c r="J300" i="49"/>
  <c r="G311" i="49"/>
  <c r="J38" i="48"/>
  <c r="G40" i="48"/>
  <c r="G188" i="49"/>
  <c r="G57" i="48"/>
  <c r="G177" i="49"/>
  <c r="G288" i="50"/>
  <c r="J47" i="50"/>
  <c r="G169" i="49"/>
  <c r="G166" i="48"/>
  <c r="G196" i="49"/>
  <c r="J34" i="51"/>
  <c r="G328" i="51"/>
  <c r="G289" i="50"/>
  <c r="J298" i="50"/>
  <c r="J201" i="50"/>
  <c r="J284" i="50"/>
  <c r="G198" i="50"/>
  <c r="G196" i="50"/>
  <c r="J306" i="50"/>
  <c r="J181" i="49"/>
  <c r="J197" i="49"/>
  <c r="G304" i="49"/>
  <c r="J201" i="49"/>
  <c r="J200" i="49"/>
  <c r="G282" i="49"/>
  <c r="J191" i="49"/>
  <c r="G190" i="49"/>
  <c r="J180" i="49"/>
  <c r="G289" i="49"/>
  <c r="G299" i="49"/>
  <c r="G301" i="49"/>
  <c r="J290" i="49"/>
  <c r="J291" i="49"/>
  <c r="G178" i="48"/>
  <c r="G206" i="48"/>
  <c r="G181" i="48"/>
  <c r="J190" i="48"/>
  <c r="J37" i="48"/>
  <c r="G305" i="48"/>
  <c r="J294" i="48"/>
  <c r="G290" i="48"/>
  <c r="J39" i="48"/>
  <c r="J297" i="48"/>
  <c r="J199" i="48"/>
  <c r="J171" i="48"/>
  <c r="G330" i="48"/>
  <c r="J329" i="48"/>
  <c r="G299" i="48"/>
  <c r="G42" i="48"/>
  <c r="G258" i="51"/>
  <c r="G21" i="51"/>
  <c r="J237" i="51"/>
  <c r="G150" i="51"/>
  <c r="J231" i="51"/>
  <c r="J220" i="51"/>
  <c r="G145" i="51"/>
  <c r="J271" i="51"/>
  <c r="G222" i="51"/>
  <c r="G280" i="51"/>
  <c r="G279" i="51"/>
  <c r="G18" i="51"/>
  <c r="J164" i="51"/>
  <c r="J276" i="51"/>
  <c r="G257" i="51"/>
  <c r="G244" i="51"/>
  <c r="J259" i="51"/>
  <c r="J253" i="51"/>
  <c r="G83" i="51"/>
  <c r="J242" i="51"/>
  <c r="G234" i="51"/>
  <c r="J260" i="50"/>
  <c r="G278" i="50"/>
  <c r="J259" i="50"/>
  <c r="G244" i="50"/>
  <c r="G164" i="50"/>
  <c r="J225" i="50"/>
  <c r="J226" i="50"/>
  <c r="J162" i="50"/>
  <c r="J75" i="50"/>
  <c r="G148" i="50"/>
  <c r="G220" i="50"/>
  <c r="J14" i="50"/>
  <c r="G24" i="50"/>
  <c r="G73" i="50"/>
  <c r="J22" i="50"/>
  <c r="G19" i="50"/>
  <c r="G258" i="50"/>
  <c r="G233" i="49"/>
  <c r="G268" i="49"/>
  <c r="G159" i="49"/>
  <c r="G150" i="49"/>
  <c r="G280" i="49"/>
  <c r="G226" i="49"/>
  <c r="G224" i="49"/>
  <c r="J163" i="49"/>
  <c r="G267" i="49"/>
  <c r="G81" i="49"/>
  <c r="G152" i="49"/>
  <c r="J258" i="49"/>
  <c r="G19" i="49"/>
  <c r="J73" i="49"/>
  <c r="G278" i="49"/>
  <c r="G146" i="49"/>
  <c r="J85" i="49"/>
  <c r="G232" i="49"/>
  <c r="J331" i="49"/>
  <c r="J162" i="49"/>
  <c r="J271" i="48"/>
  <c r="G78" i="48"/>
  <c r="G27" i="48"/>
  <c r="J322" i="48"/>
  <c r="J24" i="48"/>
  <c r="J242" i="48"/>
  <c r="G157" i="48"/>
  <c r="J244" i="48"/>
  <c r="G149" i="48"/>
  <c r="G153" i="48"/>
  <c r="J331" i="48"/>
  <c r="G158" i="48"/>
  <c r="J148" i="48"/>
  <c r="J160" i="48"/>
  <c r="G22" i="48"/>
  <c r="G32" i="48"/>
  <c r="J143" i="48"/>
  <c r="G273" i="48"/>
  <c r="G17" i="48"/>
  <c r="G82" i="48"/>
  <c r="G72" i="48"/>
  <c r="G255" i="48"/>
  <c r="G261" i="51"/>
  <c r="J261" i="51"/>
  <c r="G330" i="51"/>
  <c r="J269" i="51"/>
  <c r="G282" i="51"/>
  <c r="G163" i="51"/>
  <c r="J163" i="51"/>
  <c r="G278" i="51"/>
  <c r="J278" i="51"/>
  <c r="G221" i="51"/>
  <c r="J14" i="51"/>
  <c r="G14" i="51"/>
  <c r="G230" i="51"/>
  <c r="J19" i="51"/>
  <c r="J283" i="51"/>
  <c r="G140" i="51"/>
  <c r="G332" i="51"/>
  <c r="J143" i="51"/>
  <c r="G143" i="51"/>
  <c r="G321" i="51"/>
  <c r="J321" i="51"/>
  <c r="G275" i="51"/>
  <c r="G233" i="51"/>
  <c r="G151" i="51"/>
  <c r="J151" i="51"/>
  <c r="J155" i="51"/>
  <c r="G155" i="51"/>
  <c r="G333" i="51"/>
  <c r="J333" i="51"/>
  <c r="G32" i="51"/>
  <c r="J24" i="51"/>
  <c r="J82" i="51"/>
  <c r="G285" i="51"/>
  <c r="J285" i="51"/>
  <c r="G323" i="51"/>
  <c r="J265" i="51"/>
  <c r="G22" i="51"/>
  <c r="J20" i="51"/>
  <c r="G326" i="51"/>
  <c r="J326" i="51"/>
  <c r="G256" i="51"/>
  <c r="G158" i="51"/>
  <c r="J13" i="51"/>
  <c r="G27" i="51"/>
  <c r="J27" i="51"/>
  <c r="J86" i="51"/>
  <c r="G86" i="51"/>
  <c r="G156" i="51"/>
  <c r="J156" i="51"/>
  <c r="G251" i="51"/>
  <c r="J144" i="51"/>
  <c r="G29" i="51"/>
  <c r="G273" i="51"/>
  <c r="J273" i="51"/>
  <c r="G15" i="51"/>
  <c r="J15" i="51"/>
  <c r="J141" i="51"/>
  <c r="G141" i="51"/>
  <c r="G240" i="51"/>
  <c r="J25" i="51"/>
  <c r="G70" i="51"/>
  <c r="G147" i="51"/>
  <c r="J325" i="51"/>
  <c r="G325" i="51"/>
  <c r="J153" i="51"/>
  <c r="G153" i="51"/>
  <c r="J324" i="51"/>
  <c r="G224" i="51"/>
  <c r="J71" i="51"/>
  <c r="G254" i="51"/>
  <c r="J254" i="51"/>
  <c r="J264" i="51"/>
  <c r="E303" i="51"/>
  <c r="E291" i="51"/>
  <c r="E199" i="51"/>
  <c r="E191" i="51"/>
  <c r="E181" i="51"/>
  <c r="E169" i="51"/>
  <c r="E57" i="51"/>
  <c r="E40" i="51"/>
  <c r="E310" i="51"/>
  <c r="E298" i="51"/>
  <c r="E176" i="51"/>
  <c r="E52" i="51"/>
  <c r="E305" i="51"/>
  <c r="E293" i="51"/>
  <c r="E206" i="51"/>
  <c r="E201" i="51"/>
  <c r="E171" i="51"/>
  <c r="E59" i="51"/>
  <c r="E47" i="51"/>
  <c r="E42" i="51"/>
  <c r="E300" i="51"/>
  <c r="E288" i="51"/>
  <c r="E196" i="51"/>
  <c r="E188" i="51"/>
  <c r="E178" i="51"/>
  <c r="E54" i="51"/>
  <c r="E37" i="51"/>
  <c r="E307" i="51"/>
  <c r="E295" i="51"/>
  <c r="E208" i="51"/>
  <c r="E173" i="51"/>
  <c r="E49" i="51"/>
  <c r="E44" i="51"/>
  <c r="E302" i="51"/>
  <c r="E290" i="51"/>
  <c r="E198" i="51"/>
  <c r="E190" i="51"/>
  <c r="E180" i="51"/>
  <c r="E168" i="51"/>
  <c r="E56" i="51"/>
  <c r="E39" i="51"/>
  <c r="E297" i="51"/>
  <c r="E185" i="51"/>
  <c r="E175" i="51"/>
  <c r="E51" i="51"/>
  <c r="E292" i="51"/>
  <c r="E200" i="51"/>
  <c r="E182" i="51"/>
  <c r="E170" i="51"/>
  <c r="E58" i="51"/>
  <c r="E46" i="51"/>
  <c r="E299" i="51"/>
  <c r="E187" i="51"/>
  <c r="E177" i="51"/>
  <c r="E53" i="51"/>
  <c r="E308" i="51"/>
  <c r="E296" i="51"/>
  <c r="E204" i="51"/>
  <c r="E174" i="51"/>
  <c r="E50" i="51"/>
  <c r="E167" i="51"/>
  <c r="E38" i="51"/>
  <c r="E48" i="51"/>
  <c r="E41" i="51"/>
  <c r="E207" i="51"/>
  <c r="E306" i="51"/>
  <c r="E202" i="51"/>
  <c r="E189" i="51"/>
  <c r="E36" i="51"/>
  <c r="E294" i="51"/>
  <c r="E301" i="51"/>
  <c r="E197" i="51"/>
  <c r="E179" i="51"/>
  <c r="E172" i="51"/>
  <c r="E55" i="51"/>
  <c r="G84" i="51"/>
  <c r="J84" i="51"/>
  <c r="J26" i="51"/>
  <c r="G26" i="51"/>
  <c r="J72" i="51"/>
  <c r="J266" i="51"/>
  <c r="G17" i="51"/>
  <c r="G190" i="50"/>
  <c r="J38" i="50"/>
  <c r="G38" i="50"/>
  <c r="J177" i="50"/>
  <c r="G177" i="50"/>
  <c r="G80" i="50"/>
  <c r="J27" i="50"/>
  <c r="G27" i="50"/>
  <c r="G153" i="50"/>
  <c r="J153" i="50"/>
  <c r="J236" i="50"/>
  <c r="G234" i="50"/>
  <c r="G256" i="50"/>
  <c r="G168" i="50"/>
  <c r="G322" i="50"/>
  <c r="J56" i="50"/>
  <c r="J82" i="50"/>
  <c r="J302" i="50"/>
  <c r="G224" i="50"/>
  <c r="J272" i="50"/>
  <c r="G262" i="50"/>
  <c r="G71" i="50"/>
  <c r="J18" i="50"/>
  <c r="J40" i="50"/>
  <c r="G40" i="50"/>
  <c r="G144" i="50"/>
  <c r="G293" i="50"/>
  <c r="J293" i="50"/>
  <c r="J29" i="50"/>
  <c r="G29" i="50"/>
  <c r="J145" i="50"/>
  <c r="G145" i="50"/>
  <c r="J155" i="50"/>
  <c r="G155" i="50"/>
  <c r="G321" i="50"/>
  <c r="J321" i="50"/>
  <c r="G180" i="50"/>
  <c r="G188" i="50"/>
  <c r="G270" i="50"/>
  <c r="J83" i="50"/>
  <c r="G327" i="50"/>
  <c r="J268" i="50"/>
  <c r="J55" i="50"/>
  <c r="J242" i="50"/>
  <c r="G202" i="50"/>
  <c r="G332" i="50"/>
  <c r="J254" i="50"/>
  <c r="G78" i="50"/>
  <c r="J143" i="50"/>
  <c r="G143" i="50"/>
  <c r="J156" i="50"/>
  <c r="G156" i="50"/>
  <c r="J151" i="50"/>
  <c r="G285" i="50"/>
  <c r="J285" i="50"/>
  <c r="J157" i="50"/>
  <c r="G157" i="50"/>
  <c r="J229" i="50"/>
  <c r="G229" i="50"/>
  <c r="G333" i="50"/>
  <c r="J333" i="50"/>
  <c r="J252" i="50"/>
  <c r="G252" i="50"/>
  <c r="G310" i="50"/>
  <c r="J150" i="50"/>
  <c r="G57" i="50"/>
  <c r="G279" i="50"/>
  <c r="G182" i="50"/>
  <c r="T1" i="50"/>
  <c r="G326" i="50"/>
  <c r="G166" i="50"/>
  <c r="G197" i="50"/>
  <c r="J170" i="50"/>
  <c r="J178" i="50"/>
  <c r="G206" i="50"/>
  <c r="J206" i="50"/>
  <c r="J231" i="50"/>
  <c r="G231" i="50"/>
  <c r="J251" i="50"/>
  <c r="G251" i="50"/>
  <c r="J163" i="50"/>
  <c r="G300" i="50"/>
  <c r="J74" i="50"/>
  <c r="J200" i="50"/>
  <c r="J26" i="50"/>
  <c r="G52" i="50"/>
  <c r="J172" i="50"/>
  <c r="J23" i="50"/>
  <c r="J238" i="50"/>
  <c r="J160" i="50"/>
  <c r="J330" i="50"/>
  <c r="G189" i="50"/>
  <c r="G39" i="50"/>
  <c r="G30" i="50"/>
  <c r="J30" i="50"/>
  <c r="J32" i="50"/>
  <c r="G32" i="50"/>
  <c r="J176" i="50"/>
  <c r="G176" i="50"/>
  <c r="G173" i="50"/>
  <c r="J173" i="50"/>
  <c r="J307" i="50"/>
  <c r="G307" i="50"/>
  <c r="G179" i="50"/>
  <c r="J253" i="50"/>
  <c r="G253" i="50"/>
  <c r="J263" i="50"/>
  <c r="G263" i="50"/>
  <c r="J290" i="50"/>
  <c r="G53" i="50"/>
  <c r="J328" i="50"/>
  <c r="J171" i="50"/>
  <c r="J228" i="50"/>
  <c r="J292" i="50"/>
  <c r="G146" i="50"/>
  <c r="G325" i="50"/>
  <c r="G28" i="50"/>
  <c r="J262" i="50"/>
  <c r="G305" i="50"/>
  <c r="J305" i="50"/>
  <c r="J17" i="50"/>
  <c r="G17" i="50"/>
  <c r="G273" i="50"/>
  <c r="J273" i="50"/>
  <c r="G46" i="50"/>
  <c r="J46" i="50"/>
  <c r="J295" i="50"/>
  <c r="G295" i="50"/>
  <c r="J265" i="50"/>
  <c r="G265" i="50"/>
  <c r="J275" i="50"/>
  <c r="G275" i="50"/>
  <c r="G13" i="50"/>
  <c r="J13" i="50"/>
  <c r="G149" i="50"/>
  <c r="J280" i="50"/>
  <c r="J304" i="50"/>
  <c r="J264" i="50"/>
  <c r="J152" i="50"/>
  <c r="J237" i="50"/>
  <c r="J282" i="50"/>
  <c r="G311" i="50"/>
  <c r="J44" i="50"/>
  <c r="G44" i="50"/>
  <c r="G36" i="50"/>
  <c r="J36" i="50"/>
  <c r="J208" i="50"/>
  <c r="G208" i="50"/>
  <c r="J277" i="50"/>
  <c r="G277" i="50"/>
  <c r="J323" i="50"/>
  <c r="G323" i="50"/>
  <c r="G25" i="50"/>
  <c r="J25" i="50"/>
  <c r="J84" i="50"/>
  <c r="G158" i="50"/>
  <c r="G309" i="50"/>
  <c r="G42" i="50"/>
  <c r="J142" i="50"/>
  <c r="G167" i="50"/>
  <c r="J291" i="50"/>
  <c r="J154" i="50"/>
  <c r="G49" i="50"/>
  <c r="J50" i="50"/>
  <c r="G50" i="50"/>
  <c r="G261" i="50"/>
  <c r="J261" i="50"/>
  <c r="J185" i="50"/>
  <c r="G185" i="50"/>
  <c r="G76" i="50"/>
  <c r="J76" i="50"/>
  <c r="G324" i="50"/>
  <c r="G221" i="50"/>
  <c r="G255" i="50"/>
  <c r="J296" i="50"/>
  <c r="J276" i="50"/>
  <c r="J175" i="50"/>
  <c r="G175" i="50"/>
  <c r="J297" i="50"/>
  <c r="G297" i="50"/>
  <c r="G140" i="50"/>
  <c r="G86" i="50"/>
  <c r="J86" i="50"/>
  <c r="G70" i="50"/>
  <c r="G299" i="50"/>
  <c r="G81" i="50"/>
  <c r="J331" i="50"/>
  <c r="G186" i="50"/>
  <c r="G51" i="50"/>
  <c r="J51" i="50"/>
  <c r="J48" i="50"/>
  <c r="G48" i="50"/>
  <c r="J187" i="50"/>
  <c r="G187" i="50"/>
  <c r="G85" i="50"/>
  <c r="J15" i="50"/>
  <c r="G15" i="50"/>
  <c r="G141" i="50"/>
  <c r="J141" i="50"/>
  <c r="J16" i="50"/>
  <c r="G16" i="50"/>
  <c r="J241" i="50"/>
  <c r="G20" i="50"/>
  <c r="G147" i="50"/>
  <c r="G233" i="50"/>
  <c r="G267" i="50"/>
  <c r="J41" i="50"/>
  <c r="G230" i="50"/>
  <c r="J143" i="49"/>
  <c r="G143" i="49"/>
  <c r="J297" i="49"/>
  <c r="G297" i="49"/>
  <c r="J222" i="49"/>
  <c r="J295" i="49"/>
  <c r="G295" i="49"/>
  <c r="J32" i="49"/>
  <c r="G32" i="49"/>
  <c r="G261" i="49"/>
  <c r="J261" i="49"/>
  <c r="G160" i="49"/>
  <c r="G199" i="49"/>
  <c r="J57" i="49"/>
  <c r="J185" i="49"/>
  <c r="G185" i="49"/>
  <c r="G36" i="49"/>
  <c r="J36" i="49"/>
  <c r="G83" i="49"/>
  <c r="G78" i="49"/>
  <c r="J234" i="49"/>
  <c r="G302" i="49"/>
  <c r="G285" i="49"/>
  <c r="J285" i="49"/>
  <c r="G46" i="49"/>
  <c r="J46" i="49"/>
  <c r="J155" i="49"/>
  <c r="G155" i="49"/>
  <c r="G321" i="49"/>
  <c r="J321" i="49"/>
  <c r="J37" i="49"/>
  <c r="G37" i="49"/>
  <c r="J309" i="49"/>
  <c r="G309" i="49"/>
  <c r="G173" i="49"/>
  <c r="J173" i="49"/>
  <c r="J229" i="49"/>
  <c r="G229" i="49"/>
  <c r="G333" i="49"/>
  <c r="J333" i="49"/>
  <c r="J156" i="49"/>
  <c r="G156" i="49"/>
  <c r="G145" i="49"/>
  <c r="J307" i="49"/>
  <c r="G307" i="49"/>
  <c r="G206" i="49"/>
  <c r="J206" i="49"/>
  <c r="J296" i="49"/>
  <c r="G296" i="49"/>
  <c r="J259" i="49"/>
  <c r="G221" i="49"/>
  <c r="G52" i="49"/>
  <c r="G189" i="49"/>
  <c r="J166" i="49"/>
  <c r="J47" i="49"/>
  <c r="G47" i="49"/>
  <c r="J142" i="49"/>
  <c r="G142" i="49"/>
  <c r="J251" i="49"/>
  <c r="G251" i="49"/>
  <c r="G18" i="49"/>
  <c r="J18" i="49"/>
  <c r="J84" i="49"/>
  <c r="G332" i="49"/>
  <c r="G187" i="49"/>
  <c r="J326" i="49"/>
  <c r="G20" i="49"/>
  <c r="G293" i="49"/>
  <c r="J293" i="49"/>
  <c r="J225" i="49"/>
  <c r="J330" i="49"/>
  <c r="G254" i="49"/>
  <c r="G308" i="49"/>
  <c r="G28" i="49"/>
  <c r="G273" i="49"/>
  <c r="J273" i="49"/>
  <c r="J231" i="49"/>
  <c r="G231" i="49"/>
  <c r="J263" i="49"/>
  <c r="G263" i="49"/>
  <c r="J252" i="49"/>
  <c r="G252" i="49"/>
  <c r="G310" i="49"/>
  <c r="G327" i="49"/>
  <c r="G298" i="49"/>
  <c r="G305" i="49"/>
  <c r="J305" i="49"/>
  <c r="J56" i="49"/>
  <c r="J288" i="49"/>
  <c r="G186" i="49"/>
  <c r="J29" i="49"/>
  <c r="G29" i="49"/>
  <c r="J257" i="49"/>
  <c r="J253" i="49"/>
  <c r="G253" i="49"/>
  <c r="J275" i="49"/>
  <c r="G275" i="49"/>
  <c r="G13" i="49"/>
  <c r="J13" i="49"/>
  <c r="J264" i="49"/>
  <c r="G264" i="49"/>
  <c r="G42" i="49"/>
  <c r="J154" i="49"/>
  <c r="G154" i="49"/>
  <c r="J303" i="49"/>
  <c r="G172" i="49"/>
  <c r="G220" i="49"/>
  <c r="G144" i="49"/>
  <c r="G80" i="49"/>
  <c r="J265" i="49"/>
  <c r="G265" i="49"/>
  <c r="J323" i="49"/>
  <c r="G323" i="49"/>
  <c r="G25" i="49"/>
  <c r="J25" i="49"/>
  <c r="J276" i="49"/>
  <c r="G276" i="49"/>
  <c r="J271" i="49"/>
  <c r="G158" i="49"/>
  <c r="J167" i="49"/>
  <c r="J147" i="49"/>
  <c r="G51" i="49"/>
  <c r="J51" i="49"/>
  <c r="G279" i="49"/>
  <c r="J171" i="49"/>
  <c r="J207" i="49"/>
  <c r="G44" i="49"/>
  <c r="G174" i="49"/>
  <c r="J174" i="49"/>
  <c r="J322" i="49"/>
  <c r="J17" i="49"/>
  <c r="G17" i="49"/>
  <c r="J277" i="49"/>
  <c r="G277" i="49"/>
  <c r="G76" i="49"/>
  <c r="J76" i="49"/>
  <c r="J151" i="49"/>
  <c r="U1" i="49"/>
  <c r="J198" i="49"/>
  <c r="J41" i="49"/>
  <c r="G39" i="49"/>
  <c r="J23" i="49"/>
  <c r="J325" i="49"/>
  <c r="G325" i="49"/>
  <c r="G86" i="49"/>
  <c r="J86" i="49"/>
  <c r="J244" i="49"/>
  <c r="G223" i="49"/>
  <c r="G70" i="49"/>
  <c r="J74" i="49"/>
  <c r="J270" i="49"/>
  <c r="J40" i="49"/>
  <c r="G40" i="49"/>
  <c r="J38" i="49"/>
  <c r="G38" i="49"/>
  <c r="G157" i="49"/>
  <c r="G260" i="49"/>
  <c r="J202" i="49"/>
  <c r="J228" i="49"/>
  <c r="J15" i="49"/>
  <c r="G15" i="49"/>
  <c r="G141" i="49"/>
  <c r="J141" i="49"/>
  <c r="G266" i="49"/>
  <c r="G256" i="49"/>
  <c r="J50" i="49"/>
  <c r="G50" i="49"/>
  <c r="J48" i="49"/>
  <c r="G48" i="49"/>
  <c r="J148" i="49"/>
  <c r="G255" i="49"/>
  <c r="G324" i="49"/>
  <c r="G176" i="49"/>
  <c r="G49" i="49"/>
  <c r="J208" i="49"/>
  <c r="G208" i="49"/>
  <c r="G30" i="49"/>
  <c r="J30" i="49"/>
  <c r="J164" i="49"/>
  <c r="J26" i="49"/>
  <c r="G26" i="49"/>
  <c r="J27" i="49"/>
  <c r="G27" i="49"/>
  <c r="G153" i="49"/>
  <c r="J153" i="49"/>
  <c r="J175" i="49"/>
  <c r="G175" i="49"/>
  <c r="J306" i="49"/>
  <c r="G230" i="49"/>
  <c r="J327" i="48"/>
  <c r="G327" i="48"/>
  <c r="J53" i="48"/>
  <c r="G53" i="48"/>
  <c r="G83" i="48"/>
  <c r="J28" i="48"/>
  <c r="G28" i="48"/>
  <c r="G321" i="48"/>
  <c r="G232" i="48"/>
  <c r="G293" i="48"/>
  <c r="J256" i="48"/>
  <c r="G256" i="48"/>
  <c r="G144" i="48"/>
  <c r="J144" i="48"/>
  <c r="G202" i="48"/>
  <c r="G23" i="48"/>
  <c r="J260" i="48"/>
  <c r="G51" i="48"/>
  <c r="J51" i="48"/>
  <c r="G73" i="48"/>
  <c r="G145" i="48"/>
  <c r="G233" i="48"/>
  <c r="G230" i="48"/>
  <c r="J230" i="48"/>
  <c r="J274" i="48"/>
  <c r="G301" i="48"/>
  <c r="G245" i="48"/>
  <c r="G282" i="48"/>
  <c r="J46" i="48"/>
  <c r="G21" i="48"/>
  <c r="G159" i="48"/>
  <c r="J234" i="48"/>
  <c r="G234" i="48"/>
  <c r="J198" i="48"/>
  <c r="G198" i="48"/>
  <c r="G252" i="48"/>
  <c r="J252" i="48"/>
  <c r="G270" i="48"/>
  <c r="J291" i="48"/>
  <c r="J180" i="48"/>
  <c r="G54" i="48"/>
  <c r="J269" i="48"/>
  <c r="G188" i="48"/>
  <c r="G55" i="48"/>
  <c r="J221" i="48"/>
  <c r="G221" i="48"/>
  <c r="J280" i="48"/>
  <c r="G280" i="48"/>
  <c r="J292" i="48"/>
  <c r="J155" i="48"/>
  <c r="G307" i="48"/>
  <c r="J167" i="48"/>
  <c r="G167" i="48"/>
  <c r="J288" i="48"/>
  <c r="G288" i="48"/>
  <c r="J231" i="48"/>
  <c r="G231" i="48"/>
  <c r="J20" i="48"/>
  <c r="G20" i="48"/>
  <c r="G264" i="48"/>
  <c r="J264" i="48"/>
  <c r="J36" i="48"/>
  <c r="J151" i="48"/>
  <c r="J286" i="48"/>
  <c r="J328" i="48"/>
  <c r="J289" i="48"/>
  <c r="J56" i="48"/>
  <c r="J49" i="48"/>
  <c r="G296" i="48"/>
  <c r="J296" i="48"/>
  <c r="J16" i="48"/>
  <c r="G16" i="48"/>
  <c r="U1" i="48"/>
  <c r="J179" i="48"/>
  <c r="G179" i="48"/>
  <c r="J300" i="48"/>
  <c r="G300" i="48"/>
  <c r="J306" i="48"/>
  <c r="G333" i="48"/>
  <c r="J174" i="48"/>
  <c r="J279" i="48"/>
  <c r="G279" i="48"/>
  <c r="J71" i="48"/>
  <c r="G71" i="48"/>
  <c r="G276" i="48"/>
  <c r="J276" i="48"/>
  <c r="G74" i="48"/>
  <c r="G224" i="48"/>
  <c r="G182" i="48"/>
  <c r="J225" i="48"/>
  <c r="J251" i="48"/>
  <c r="J295" i="48"/>
  <c r="G267" i="48"/>
  <c r="G189" i="48"/>
  <c r="G302" i="48"/>
  <c r="J48" i="48"/>
  <c r="G170" i="48"/>
  <c r="J81" i="48"/>
  <c r="G81" i="48"/>
  <c r="G324" i="48"/>
  <c r="J324" i="48"/>
  <c r="G261" i="48"/>
  <c r="J229" i="48"/>
  <c r="J208" i="48"/>
  <c r="J201" i="48"/>
  <c r="J237" i="48"/>
  <c r="G150" i="48"/>
  <c r="G52" i="48"/>
  <c r="J44" i="48"/>
  <c r="T1" i="48"/>
  <c r="G308" i="48"/>
  <c r="J308" i="48"/>
  <c r="G254" i="48"/>
  <c r="J254" i="48"/>
  <c r="J197" i="48"/>
  <c r="G197" i="48"/>
  <c r="G41" i="48"/>
  <c r="J41" i="48"/>
  <c r="E268" i="48"/>
  <c r="G262" i="48"/>
  <c r="J154" i="48"/>
  <c r="G169" i="48"/>
  <c r="G173" i="48"/>
  <c r="J185" i="48"/>
  <c r="G147" i="48"/>
  <c r="G240" i="48"/>
  <c r="G176" i="48"/>
  <c r="J176" i="48"/>
  <c r="G161" i="48"/>
  <c r="J303" i="48"/>
  <c r="G191" i="48"/>
  <c r="G18" i="48"/>
  <c r="J18" i="48"/>
  <c r="G156" i="48"/>
  <c r="J156" i="48"/>
  <c r="G310" i="48"/>
  <c r="J310" i="48"/>
  <c r="J80" i="48"/>
  <c r="J207" i="48"/>
  <c r="J311" i="48"/>
  <c r="G311" i="48"/>
  <c r="G186" i="48"/>
  <c r="J186" i="48"/>
  <c r="J319" i="48"/>
  <c r="G319" i="48"/>
  <c r="J222" i="48"/>
  <c r="G222" i="48"/>
  <c r="G200" i="48"/>
  <c r="J187" i="48"/>
  <c r="G187" i="48"/>
  <c r="G241" i="48"/>
  <c r="J19" i="48"/>
  <c r="J228" i="48"/>
  <c r="J309" i="48"/>
  <c r="J142" i="48"/>
  <c r="J163" i="48"/>
  <c r="C244" i="25"/>
  <c r="J248" i="50" l="1"/>
  <c r="U2" i="50" s="1"/>
  <c r="J362" i="49"/>
  <c r="U3" i="49" s="1"/>
  <c r="G362" i="50"/>
  <c r="T3" i="50" s="1"/>
  <c r="J362" i="50"/>
  <c r="U3" i="50" s="1"/>
  <c r="G248" i="50"/>
  <c r="G248" i="49"/>
  <c r="T2" i="49" s="1"/>
  <c r="J248" i="49"/>
  <c r="U2" i="49" s="1"/>
  <c r="G362" i="49"/>
  <c r="T3" i="49" s="1"/>
  <c r="G248" i="48"/>
  <c r="T2" i="48" s="1"/>
  <c r="J248" i="48"/>
  <c r="U2" i="48" s="1"/>
  <c r="J307" i="51"/>
  <c r="G307" i="51"/>
  <c r="G289" i="51"/>
  <c r="J289" i="51"/>
  <c r="J48" i="51"/>
  <c r="G48" i="51"/>
  <c r="J311" i="51"/>
  <c r="G311" i="51"/>
  <c r="G309" i="51"/>
  <c r="J309" i="51"/>
  <c r="J208" i="51"/>
  <c r="G208" i="51"/>
  <c r="G47" i="51"/>
  <c r="J47" i="51"/>
  <c r="G40" i="51"/>
  <c r="J40" i="51"/>
  <c r="J38" i="51"/>
  <c r="G38" i="51"/>
  <c r="J197" i="51"/>
  <c r="G197" i="51"/>
  <c r="G50" i="51"/>
  <c r="J50" i="51"/>
  <c r="G170" i="51"/>
  <c r="J170" i="51"/>
  <c r="G168" i="51"/>
  <c r="J168" i="51"/>
  <c r="J37" i="51"/>
  <c r="G37" i="51"/>
  <c r="G201" i="51"/>
  <c r="J201" i="51"/>
  <c r="G181" i="51"/>
  <c r="J181" i="51"/>
  <c r="J295" i="51"/>
  <c r="G295" i="51"/>
  <c r="G171" i="51"/>
  <c r="J171" i="51"/>
  <c r="J301" i="51"/>
  <c r="G301" i="51"/>
  <c r="G174" i="51"/>
  <c r="J174" i="51"/>
  <c r="J182" i="51"/>
  <c r="G182" i="51"/>
  <c r="G180" i="51"/>
  <c r="J180" i="51"/>
  <c r="J54" i="51"/>
  <c r="G54" i="51"/>
  <c r="G206" i="51"/>
  <c r="J206" i="51"/>
  <c r="G191" i="51"/>
  <c r="J191" i="51"/>
  <c r="G294" i="51"/>
  <c r="J294" i="51"/>
  <c r="G204" i="51"/>
  <c r="J204" i="51"/>
  <c r="G200" i="51"/>
  <c r="J200" i="51"/>
  <c r="G190" i="51"/>
  <c r="J190" i="51"/>
  <c r="J166" i="51"/>
  <c r="G166" i="51"/>
  <c r="G293" i="51"/>
  <c r="J293" i="51"/>
  <c r="G199" i="51"/>
  <c r="J199" i="51"/>
  <c r="J172" i="51"/>
  <c r="G172" i="51"/>
  <c r="J179" i="51"/>
  <c r="G179" i="51"/>
  <c r="J36" i="51"/>
  <c r="G36" i="51"/>
  <c r="G296" i="51"/>
  <c r="J296" i="51"/>
  <c r="G292" i="51"/>
  <c r="J292" i="51"/>
  <c r="G198" i="51"/>
  <c r="J198" i="51"/>
  <c r="J178" i="51"/>
  <c r="G178" i="51"/>
  <c r="G305" i="51"/>
  <c r="J305" i="51"/>
  <c r="G291" i="51"/>
  <c r="J291" i="51"/>
  <c r="G59" i="51"/>
  <c r="J59" i="51"/>
  <c r="G56" i="51"/>
  <c r="J56" i="51"/>
  <c r="J189" i="51"/>
  <c r="G189" i="51"/>
  <c r="G308" i="51"/>
  <c r="J308" i="51"/>
  <c r="J304" i="51"/>
  <c r="G304" i="51"/>
  <c r="J290" i="51"/>
  <c r="G290" i="51"/>
  <c r="J188" i="51"/>
  <c r="G188" i="51"/>
  <c r="G52" i="51"/>
  <c r="J52" i="51"/>
  <c r="G303" i="51"/>
  <c r="J303" i="51"/>
  <c r="G57" i="51"/>
  <c r="J57" i="51"/>
  <c r="J202" i="51"/>
  <c r="G202" i="51"/>
  <c r="J53" i="51"/>
  <c r="G53" i="51"/>
  <c r="G51" i="51"/>
  <c r="J51" i="51"/>
  <c r="G302" i="51"/>
  <c r="J302" i="51"/>
  <c r="J196" i="51"/>
  <c r="G196" i="51"/>
  <c r="G176" i="51"/>
  <c r="J176" i="51"/>
  <c r="G46" i="51"/>
  <c r="J46" i="51"/>
  <c r="G58" i="51"/>
  <c r="J58" i="51"/>
  <c r="G169" i="51"/>
  <c r="J169" i="51"/>
  <c r="G306" i="51"/>
  <c r="J306" i="51"/>
  <c r="J177" i="51"/>
  <c r="G177" i="51"/>
  <c r="J175" i="51"/>
  <c r="G175" i="51"/>
  <c r="J44" i="51"/>
  <c r="G44" i="51"/>
  <c r="J288" i="51"/>
  <c r="G288" i="51"/>
  <c r="G186" i="51"/>
  <c r="J186" i="51"/>
  <c r="G167" i="51"/>
  <c r="J167" i="51"/>
  <c r="J207" i="51"/>
  <c r="G207" i="51"/>
  <c r="J187" i="51"/>
  <c r="G187" i="51"/>
  <c r="J185" i="51"/>
  <c r="G185" i="51"/>
  <c r="J49" i="51"/>
  <c r="G49" i="51"/>
  <c r="J300" i="51"/>
  <c r="G300" i="51"/>
  <c r="G298" i="51"/>
  <c r="J298" i="51"/>
  <c r="J39" i="51"/>
  <c r="G39" i="51"/>
  <c r="G55" i="51"/>
  <c r="J55" i="51"/>
  <c r="G41" i="51"/>
  <c r="J41" i="51"/>
  <c r="J299" i="51"/>
  <c r="G299" i="51"/>
  <c r="G297" i="51"/>
  <c r="J297" i="51"/>
  <c r="J173" i="51"/>
  <c r="G173" i="51"/>
  <c r="G42" i="51"/>
  <c r="J42" i="51"/>
  <c r="G310" i="51"/>
  <c r="J310" i="51"/>
  <c r="J268" i="48"/>
  <c r="J362" i="48" s="1"/>
  <c r="G268" i="48"/>
  <c r="G362" i="48" s="1"/>
  <c r="T3" i="48" s="1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40" i="25"/>
  <c r="C241" i="25"/>
  <c r="C242" i="25"/>
  <c r="C243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J362" i="51" l="1"/>
  <c r="U3" i="51" s="1"/>
  <c r="G362" i="51"/>
  <c r="T3" i="51" s="1"/>
  <c r="G248" i="51"/>
  <c r="T2" i="51" s="1"/>
  <c r="J248" i="51"/>
  <c r="U2" i="51" s="1"/>
  <c r="T2" i="50"/>
  <c r="G373" i="50"/>
  <c r="J373" i="50"/>
  <c r="J373" i="49"/>
  <c r="G373" i="49"/>
  <c r="U3" i="48"/>
  <c r="J373" i="48"/>
  <c r="G373" i="48"/>
  <c r="C5" i="43"/>
  <c r="C6" i="43"/>
  <c r="C7" i="43"/>
  <c r="C8" i="43"/>
  <c r="C9" i="43"/>
  <c r="G383" i="51" l="1"/>
  <c r="G385" i="51" s="1"/>
  <c r="J383" i="51"/>
  <c r="U7" i="51" s="1"/>
  <c r="U7" i="50"/>
  <c r="J375" i="50"/>
  <c r="U8" i="50" s="1"/>
  <c r="G375" i="50"/>
  <c r="T7" i="50"/>
  <c r="J375" i="49"/>
  <c r="U8" i="49" s="1"/>
  <c r="U7" i="49"/>
  <c r="G375" i="49"/>
  <c r="T7" i="49"/>
  <c r="G375" i="48"/>
  <c r="T7" i="48"/>
  <c r="J375" i="48"/>
  <c r="U8" i="48" s="1"/>
  <c r="U7" i="48"/>
  <c r="C9" i="25"/>
  <c r="T7" i="51" l="1"/>
  <c r="J385" i="51"/>
  <c r="U8" i="51" s="1"/>
  <c r="B385" i="51"/>
  <c r="T8" i="51"/>
  <c r="D8" i="51"/>
  <c r="T8" i="50"/>
  <c r="B375" i="50"/>
  <c r="D8" i="50"/>
  <c r="D8" i="49"/>
  <c r="T8" i="49"/>
  <c r="B375" i="49"/>
  <c r="D8" i="48"/>
  <c r="T8" i="48"/>
  <c r="B375" i="48"/>
  <c r="B14" i="45"/>
  <c r="B15" i="45" s="1"/>
  <c r="I400" i="13" l="1"/>
  <c r="I400" i="11"/>
  <c r="J383" i="15"/>
  <c r="J373" i="15"/>
  <c r="J241" i="21" l="1"/>
  <c r="J136" i="21"/>
  <c r="J128" i="21"/>
  <c r="J120" i="21"/>
  <c r="J113" i="21"/>
  <c r="J55" i="21"/>
  <c r="J80" i="18"/>
  <c r="J70" i="18"/>
  <c r="J22" i="18"/>
  <c r="J374" i="19"/>
  <c r="J372" i="10"/>
  <c r="U6" i="10" s="1"/>
  <c r="J372" i="16"/>
  <c r="J454" i="13"/>
  <c r="J444" i="13"/>
  <c r="U5" i="13" s="1"/>
  <c r="J454" i="11"/>
  <c r="J444" i="11"/>
  <c r="U12" i="13"/>
  <c r="U11" i="13"/>
  <c r="U10" i="13"/>
  <c r="U6" i="15"/>
  <c r="U5" i="15"/>
  <c r="J400" i="13"/>
  <c r="J400" i="11"/>
  <c r="I7" i="10"/>
  <c r="I7" i="16"/>
  <c r="J372" i="2"/>
  <c r="U5" i="2" s="1"/>
  <c r="J382" i="2"/>
  <c r="U6" i="2" s="1"/>
  <c r="B21" i="45"/>
  <c r="B18" i="45"/>
  <c r="U6" i="16" l="1"/>
  <c r="U6" i="13"/>
  <c r="U1" i="18"/>
  <c r="U6" i="19"/>
  <c r="U6" i="11"/>
  <c r="C6" i="25"/>
  <c r="C7" i="25"/>
  <c r="C8" i="25"/>
  <c r="U3" i="18" l="1"/>
  <c r="B340" i="34"/>
  <c r="B185" i="21" l="1"/>
  <c r="J231" i="21" s="1"/>
  <c r="B159" i="21"/>
  <c r="B121" i="21"/>
  <c r="B120" i="21"/>
  <c r="B114" i="21"/>
  <c r="B113" i="21"/>
  <c r="B56" i="21"/>
  <c r="B55" i="21"/>
  <c r="B11" i="21"/>
  <c r="B231" i="21" l="1"/>
  <c r="B158" i="21"/>
  <c r="B241" i="21"/>
  <c r="B232" i="21"/>
  <c r="B147" i="21"/>
  <c r="B142" i="21"/>
  <c r="B138" i="21"/>
  <c r="B136" i="21"/>
  <c r="B129" i="21"/>
  <c r="B128" i="21"/>
  <c r="B80" i="18"/>
  <c r="B71" i="18"/>
  <c r="B70" i="18"/>
  <c r="B23" i="18"/>
  <c r="B11" i="18"/>
  <c r="B22" i="18" s="1"/>
  <c r="B374" i="19"/>
  <c r="B365" i="19"/>
  <c r="B356" i="19"/>
  <c r="B336" i="19"/>
  <c r="B322" i="19"/>
  <c r="B314" i="19"/>
  <c r="B289" i="19"/>
  <c r="B252" i="19"/>
  <c r="B221" i="19"/>
  <c r="B211" i="19"/>
  <c r="B167" i="19"/>
  <c r="B141" i="19"/>
  <c r="B128" i="19"/>
  <c r="B107" i="19"/>
  <c r="B99" i="19"/>
  <c r="B89" i="19"/>
  <c r="B71" i="19"/>
  <c r="B62" i="19"/>
  <c r="B35" i="19"/>
  <c r="B11" i="19"/>
  <c r="B372" i="10"/>
  <c r="B363" i="10"/>
  <c r="B354" i="10"/>
  <c r="B334" i="10"/>
  <c r="B320" i="10"/>
  <c r="B312" i="10"/>
  <c r="B287" i="10"/>
  <c r="B250" i="10"/>
  <c r="B219" i="10"/>
  <c r="B209" i="10"/>
  <c r="B165" i="10"/>
  <c r="J248" i="10" s="1"/>
  <c r="B139" i="10"/>
  <c r="B126" i="10"/>
  <c r="B105" i="10"/>
  <c r="B97" i="10"/>
  <c r="B87" i="10"/>
  <c r="B69" i="10"/>
  <c r="B60" i="10"/>
  <c r="B33" i="10"/>
  <c r="J137" i="10" s="1"/>
  <c r="U1" i="10" s="1"/>
  <c r="B11" i="10"/>
  <c r="B372" i="16"/>
  <c r="B363" i="16"/>
  <c r="B354" i="16"/>
  <c r="B334" i="16"/>
  <c r="B320" i="16"/>
  <c r="B312" i="16"/>
  <c r="B287" i="16"/>
  <c r="B250" i="16"/>
  <c r="B219" i="16"/>
  <c r="B209" i="16"/>
  <c r="B165" i="16"/>
  <c r="B139" i="16"/>
  <c r="B126" i="16"/>
  <c r="B105" i="16"/>
  <c r="B97" i="16"/>
  <c r="B87" i="16"/>
  <c r="B69" i="16"/>
  <c r="B60" i="16"/>
  <c r="B33" i="16"/>
  <c r="B11" i="16"/>
  <c r="B454" i="13"/>
  <c r="B445" i="13"/>
  <c r="B444" i="13"/>
  <c r="B383" i="13"/>
  <c r="B373" i="13"/>
  <c r="B353" i="13"/>
  <c r="B339" i="13"/>
  <c r="B331" i="13"/>
  <c r="B287" i="13"/>
  <c r="B250" i="13"/>
  <c r="B219" i="13"/>
  <c r="B209" i="13"/>
  <c r="B165" i="13"/>
  <c r="B139" i="13"/>
  <c r="B126" i="13"/>
  <c r="B105" i="13"/>
  <c r="B97" i="13"/>
  <c r="B87" i="13"/>
  <c r="B69" i="13"/>
  <c r="B60" i="13"/>
  <c r="B33" i="13"/>
  <c r="B11" i="13"/>
  <c r="B454" i="11"/>
  <c r="B445" i="11"/>
  <c r="B444" i="11"/>
  <c r="B383" i="11"/>
  <c r="B373" i="11"/>
  <c r="B353" i="11"/>
  <c r="B339" i="11"/>
  <c r="B331" i="11"/>
  <c r="B287" i="11"/>
  <c r="B250" i="11"/>
  <c r="B219" i="11"/>
  <c r="B209" i="11"/>
  <c r="B165" i="11"/>
  <c r="J248" i="11" s="1"/>
  <c r="B139" i="11"/>
  <c r="B126" i="11"/>
  <c r="B105" i="11"/>
  <c r="B97" i="11"/>
  <c r="B87" i="11"/>
  <c r="B69" i="11"/>
  <c r="B60" i="11"/>
  <c r="B33" i="11"/>
  <c r="J137" i="11" s="1"/>
  <c r="U1" i="11" s="1"/>
  <c r="B11" i="11"/>
  <c r="B383" i="15"/>
  <c r="B382" i="2"/>
  <c r="B373" i="2"/>
  <c r="B363" i="2"/>
  <c r="B372" i="2"/>
  <c r="B354" i="2"/>
  <c r="B334" i="2"/>
  <c r="B320" i="2"/>
  <c r="B312" i="2"/>
  <c r="B287" i="2"/>
  <c r="B250" i="2"/>
  <c r="B219" i="2"/>
  <c r="B209" i="2"/>
  <c r="B165" i="2"/>
  <c r="B139" i="2"/>
  <c r="B126" i="2"/>
  <c r="B105" i="2"/>
  <c r="B97" i="2"/>
  <c r="B87" i="2"/>
  <c r="B69" i="2"/>
  <c r="B60" i="2"/>
  <c r="B33" i="2"/>
  <c r="B11" i="2"/>
  <c r="B374" i="15"/>
  <c r="B373" i="15"/>
  <c r="B363" i="15"/>
  <c r="B354" i="15"/>
  <c r="B334" i="15"/>
  <c r="B320" i="15"/>
  <c r="B312" i="15"/>
  <c r="B287" i="15"/>
  <c r="B250" i="15"/>
  <c r="B219" i="15"/>
  <c r="B209" i="15"/>
  <c r="B165" i="15"/>
  <c r="B139" i="15"/>
  <c r="B126" i="15"/>
  <c r="B105" i="15"/>
  <c r="B97" i="15"/>
  <c r="B87" i="15"/>
  <c r="B69" i="15"/>
  <c r="B60" i="15"/>
  <c r="B33" i="15"/>
  <c r="B11" i="15"/>
  <c r="B138" i="15" l="1"/>
  <c r="B157" i="21"/>
  <c r="J362" i="15"/>
  <c r="U3" i="15" s="1"/>
  <c r="G362" i="15"/>
  <c r="B248" i="16"/>
  <c r="B140" i="19"/>
  <c r="J248" i="15"/>
  <c r="U2" i="15" s="1"/>
  <c r="J382" i="11"/>
  <c r="J362" i="10"/>
  <c r="J137" i="15"/>
  <c r="G137" i="15"/>
  <c r="J362" i="2"/>
  <c r="J157" i="21"/>
  <c r="J242" i="21" s="1"/>
  <c r="U1" i="21" s="1"/>
  <c r="J139" i="19"/>
  <c r="U1" i="19" s="1"/>
  <c r="J250" i="19"/>
  <c r="J364" i="19"/>
  <c r="B248" i="10"/>
  <c r="B362" i="10"/>
  <c r="J137" i="16"/>
  <c r="U1" i="16" s="1"/>
  <c r="J248" i="16"/>
  <c r="J362" i="16"/>
  <c r="J137" i="13"/>
  <c r="U1" i="13" s="1"/>
  <c r="J248" i="13"/>
  <c r="J382" i="13"/>
  <c r="U3" i="13" s="1"/>
  <c r="B249" i="13"/>
  <c r="B137" i="11"/>
  <c r="B248" i="11"/>
  <c r="B137" i="15"/>
  <c r="B362" i="15"/>
  <c r="B137" i="2"/>
  <c r="B248" i="2"/>
  <c r="B362" i="2"/>
  <c r="B362" i="16"/>
  <c r="B10" i="15"/>
  <c r="B138" i="2"/>
  <c r="B138" i="10"/>
  <c r="B10" i="19"/>
  <c r="B139" i="19" s="1"/>
  <c r="B10" i="2"/>
  <c r="B10" i="11"/>
  <c r="B364" i="19"/>
  <c r="B248" i="15"/>
  <c r="B250" i="19"/>
  <c r="B249" i="11"/>
  <c r="B248" i="13"/>
  <c r="B10" i="16"/>
  <c r="B137" i="16" s="1"/>
  <c r="B249" i="2"/>
  <c r="B138" i="11"/>
  <c r="B138" i="13"/>
  <c r="B137" i="21"/>
  <c r="B242" i="21" s="1"/>
  <c r="B382" i="11"/>
  <c r="B382" i="13"/>
  <c r="B10" i="18"/>
  <c r="B81" i="18" s="1"/>
  <c r="B10" i="21"/>
  <c r="B249" i="10"/>
  <c r="B10" i="10"/>
  <c r="B249" i="16"/>
  <c r="B138" i="16"/>
  <c r="B249" i="15"/>
  <c r="E292" i="25"/>
  <c r="B292" i="43" s="1"/>
  <c r="E293" i="25"/>
  <c r="B293" i="43" s="1"/>
  <c r="E294" i="25"/>
  <c r="B294" i="43" l="1"/>
  <c r="E294" i="43" s="1"/>
  <c r="J384" i="15"/>
  <c r="J386" i="15" s="1"/>
  <c r="U1" i="15"/>
  <c r="U3" i="2"/>
  <c r="B455" i="11"/>
  <c r="B383" i="2"/>
  <c r="F296" i="19"/>
  <c r="E292" i="43"/>
  <c r="F294" i="15"/>
  <c r="F295" i="10"/>
  <c r="E293" i="43"/>
  <c r="F296" i="16"/>
  <c r="F298" i="19"/>
  <c r="F296" i="10"/>
  <c r="F296" i="15"/>
  <c r="F295" i="15"/>
  <c r="F294" i="16"/>
  <c r="B137" i="10"/>
  <c r="B373" i="10" s="1"/>
  <c r="F294" i="2"/>
  <c r="F295" i="16"/>
  <c r="F294" i="10"/>
  <c r="F297" i="19"/>
  <c r="F295" i="2"/>
  <c r="B373" i="16"/>
  <c r="E355" i="10"/>
  <c r="E355" i="16"/>
  <c r="E26" i="25"/>
  <c r="E27" i="25"/>
  <c r="I296" i="15" l="1"/>
  <c r="I296" i="16"/>
  <c r="I298" i="19"/>
  <c r="I314" i="11"/>
  <c r="I296" i="10"/>
  <c r="I296" i="2"/>
  <c r="B192" i="34"/>
  <c r="I314" i="13"/>
  <c r="B27" i="43"/>
  <c r="E27" i="43" s="1"/>
  <c r="B26" i="43"/>
  <c r="E26" i="43" s="1"/>
  <c r="I294" i="15"/>
  <c r="I294" i="16"/>
  <c r="I294" i="10"/>
  <c r="I296" i="19"/>
  <c r="I294" i="2"/>
  <c r="I295" i="16"/>
  <c r="I295" i="15"/>
  <c r="I295" i="10"/>
  <c r="I297" i="19"/>
  <c r="I295" i="2"/>
  <c r="B29" i="33"/>
  <c r="F33" i="19"/>
  <c r="F34" i="19"/>
  <c r="B30" i="33"/>
  <c r="B404" i="34" l="1"/>
  <c r="I34" i="19"/>
  <c r="B403" i="34"/>
  <c r="I33" i="19"/>
  <c r="G55" i="21"/>
  <c r="E213" i="25"/>
  <c r="E128" i="25"/>
  <c r="E203" i="25"/>
  <c r="E161" i="25"/>
  <c r="E151" i="25"/>
  <c r="B128" i="43" l="1"/>
  <c r="E128" i="43" s="1"/>
  <c r="B213" i="43"/>
  <c r="E213" i="43" s="1"/>
  <c r="B203" i="43"/>
  <c r="E203" i="43" s="1"/>
  <c r="B161" i="43"/>
  <c r="E161" i="43" s="1"/>
  <c r="B151" i="43"/>
  <c r="E151" i="43" s="1"/>
  <c r="B155" i="33"/>
  <c r="F221" i="16"/>
  <c r="F221" i="10"/>
  <c r="F177" i="16"/>
  <c r="F177" i="10"/>
  <c r="F143" i="10"/>
  <c r="F143" i="16"/>
  <c r="F167" i="10"/>
  <c r="F167" i="16"/>
  <c r="F231" i="10"/>
  <c r="F231" i="16"/>
  <c r="F143" i="2"/>
  <c r="F145" i="19"/>
  <c r="F143" i="13"/>
  <c r="F143" i="11"/>
  <c r="F143" i="15"/>
  <c r="F177" i="13"/>
  <c r="F233" i="19"/>
  <c r="F231" i="2"/>
  <c r="F231" i="15"/>
  <c r="F231" i="11"/>
  <c r="F231" i="13"/>
  <c r="F177" i="2"/>
  <c r="F221" i="13"/>
  <c r="F223" i="19"/>
  <c r="F221" i="2"/>
  <c r="F221" i="15"/>
  <c r="F221" i="11"/>
  <c r="F177" i="11"/>
  <c r="F179" i="19"/>
  <c r="F177" i="15"/>
  <c r="F167" i="15"/>
  <c r="F169" i="19"/>
  <c r="F167" i="11"/>
  <c r="F167" i="13"/>
  <c r="F167" i="2"/>
  <c r="B445" i="33"/>
  <c r="G376" i="19"/>
  <c r="B376" i="19" s="1"/>
  <c r="G374" i="19"/>
  <c r="T6" i="19" s="1"/>
  <c r="E320" i="19"/>
  <c r="E319" i="19"/>
  <c r="E318" i="19"/>
  <c r="E317" i="19"/>
  <c r="E316" i="19"/>
  <c r="E315" i="19"/>
  <c r="E229" i="19"/>
  <c r="E220" i="19"/>
  <c r="E219" i="19"/>
  <c r="E218" i="19"/>
  <c r="E217" i="19"/>
  <c r="E216" i="19"/>
  <c r="E215" i="19"/>
  <c r="E214" i="19"/>
  <c r="E213" i="19"/>
  <c r="E101" i="19"/>
  <c r="G372" i="10"/>
  <c r="T6" i="10" s="1"/>
  <c r="G374" i="10"/>
  <c r="B374" i="10" s="1"/>
  <c r="E318" i="10"/>
  <c r="E317" i="10"/>
  <c r="E316" i="10"/>
  <c r="E315" i="10"/>
  <c r="E314" i="10"/>
  <c r="E313" i="10"/>
  <c r="E227" i="10"/>
  <c r="E218" i="10"/>
  <c r="E217" i="10"/>
  <c r="E216" i="10"/>
  <c r="E215" i="10"/>
  <c r="E214" i="10"/>
  <c r="E213" i="10"/>
  <c r="E212" i="10"/>
  <c r="E211" i="10"/>
  <c r="E99" i="10"/>
  <c r="G454" i="13"/>
  <c r="E439" i="13"/>
  <c r="E437" i="13"/>
  <c r="E436" i="13"/>
  <c r="F400" i="13"/>
  <c r="G456" i="11"/>
  <c r="F400" i="11"/>
  <c r="E227" i="11"/>
  <c r="G373" i="15"/>
  <c r="G384" i="2"/>
  <c r="B384" i="2" s="1"/>
  <c r="G382" i="2"/>
  <c r="I143" i="15" l="1"/>
  <c r="I143" i="10"/>
  <c r="I143" i="16"/>
  <c r="I145" i="19"/>
  <c r="I143" i="13"/>
  <c r="I143" i="11"/>
  <c r="I143" i="2"/>
  <c r="B50" i="34"/>
  <c r="I169" i="19"/>
  <c r="I167" i="10"/>
  <c r="I167" i="16"/>
  <c r="I167" i="11"/>
  <c r="I167" i="2"/>
  <c r="I167" i="13"/>
  <c r="I231" i="16"/>
  <c r="I231" i="15"/>
  <c r="I231" i="10"/>
  <c r="I231" i="11"/>
  <c r="I233" i="19"/>
  <c r="I231" i="13"/>
  <c r="I231" i="2"/>
  <c r="I221" i="10"/>
  <c r="I221" i="15"/>
  <c r="I221" i="16"/>
  <c r="I223" i="19"/>
  <c r="I221" i="13"/>
  <c r="I221" i="11"/>
  <c r="I221" i="2"/>
  <c r="I177" i="16"/>
  <c r="I177" i="15"/>
  <c r="I177" i="13"/>
  <c r="I177" i="2"/>
  <c r="I177" i="10"/>
  <c r="I179" i="19"/>
  <c r="I177" i="11"/>
  <c r="I167" i="15"/>
  <c r="E321" i="19"/>
  <c r="E319" i="10"/>
  <c r="B251" i="19"/>
  <c r="B375" i="19" s="1"/>
  <c r="G139" i="19"/>
  <c r="T1" i="19" s="1"/>
  <c r="G362" i="10"/>
  <c r="T3" i="10" s="1"/>
  <c r="G248" i="10"/>
  <c r="T2" i="10" s="1"/>
  <c r="G137" i="10"/>
  <c r="G364" i="19"/>
  <c r="T3" i="19" s="1"/>
  <c r="G250" i="19"/>
  <c r="T2" i="19" s="1"/>
  <c r="E407" i="25"/>
  <c r="E406" i="25"/>
  <c r="E405" i="25"/>
  <c r="E375" i="25"/>
  <c r="E374" i="25"/>
  <c r="E300" i="25"/>
  <c r="E299" i="25"/>
  <c r="E283" i="25"/>
  <c r="E284" i="25"/>
  <c r="E281" i="25"/>
  <c r="E280" i="25"/>
  <c r="B374" i="43" l="1"/>
  <c r="E374" i="43" s="1"/>
  <c r="B405" i="43"/>
  <c r="E405" i="43" s="1"/>
  <c r="B406" i="43"/>
  <c r="E406" i="43" s="1"/>
  <c r="B407" i="43"/>
  <c r="E407" i="43" s="1"/>
  <c r="B280" i="43"/>
  <c r="E280" i="43" s="1"/>
  <c r="B281" i="43"/>
  <c r="E281" i="43" s="1"/>
  <c r="B284" i="43"/>
  <c r="E284" i="43" s="1"/>
  <c r="B283" i="43"/>
  <c r="E283" i="43" s="1"/>
  <c r="B299" i="43"/>
  <c r="E299" i="43" s="1"/>
  <c r="B300" i="43"/>
  <c r="E300" i="43" s="1"/>
  <c r="B375" i="43"/>
  <c r="E375" i="43" s="1"/>
  <c r="U2" i="19"/>
  <c r="U2" i="10"/>
  <c r="F301" i="10"/>
  <c r="F301" i="16"/>
  <c r="F303" i="19"/>
  <c r="F366" i="15"/>
  <c r="G366" i="15" s="1"/>
  <c r="F304" i="19"/>
  <c r="F302" i="10"/>
  <c r="F302" i="16"/>
  <c r="F367" i="15"/>
  <c r="F368" i="15"/>
  <c r="B414" i="33"/>
  <c r="F365" i="2"/>
  <c r="G365" i="2" s="1"/>
  <c r="B303" i="33"/>
  <c r="F321" i="13"/>
  <c r="F302" i="2"/>
  <c r="F321" i="11"/>
  <c r="F302" i="15"/>
  <c r="B289" i="33"/>
  <c r="F306" i="11"/>
  <c r="F306" i="13"/>
  <c r="F40" i="18"/>
  <c r="B382" i="33"/>
  <c r="B415" i="33"/>
  <c r="F366" i="2"/>
  <c r="G366" i="2" s="1"/>
  <c r="B286" i="33"/>
  <c r="F303" i="13"/>
  <c r="F303" i="11"/>
  <c r="T1" i="10"/>
  <c r="G373" i="10"/>
  <c r="B288" i="33"/>
  <c r="F305" i="13"/>
  <c r="F305" i="11"/>
  <c r="B383" i="33"/>
  <c r="F41" i="18"/>
  <c r="B416" i="33"/>
  <c r="F367" i="2"/>
  <c r="G367" i="2" s="1"/>
  <c r="B285" i="33"/>
  <c r="F302" i="11"/>
  <c r="F302" i="13"/>
  <c r="B302" i="33"/>
  <c r="F320" i="13"/>
  <c r="F320" i="11"/>
  <c r="F301" i="2"/>
  <c r="F301" i="15"/>
  <c r="G375" i="19"/>
  <c r="E246" i="25"/>
  <c r="I40" i="18" l="1"/>
  <c r="J40" i="18" s="1"/>
  <c r="B277" i="34"/>
  <c r="I302" i="2"/>
  <c r="B198" i="34"/>
  <c r="I302" i="15"/>
  <c r="I321" i="13"/>
  <c r="I304" i="19"/>
  <c r="I302" i="16"/>
  <c r="I302" i="10"/>
  <c r="I321" i="11"/>
  <c r="B184" i="34"/>
  <c r="I306" i="13"/>
  <c r="I306" i="11"/>
  <c r="I302" i="13"/>
  <c r="B180" i="34"/>
  <c r="I302" i="11"/>
  <c r="B310" i="34"/>
  <c r="I367" i="15"/>
  <c r="J367" i="15" s="1"/>
  <c r="I366" i="2"/>
  <c r="J366" i="2" s="1"/>
  <c r="B278" i="34"/>
  <c r="I41" i="18"/>
  <c r="J41" i="18" s="1"/>
  <c r="I301" i="2"/>
  <c r="I301" i="15"/>
  <c r="I303" i="19"/>
  <c r="I320" i="11"/>
  <c r="I301" i="16"/>
  <c r="B197" i="34"/>
  <c r="I301" i="10"/>
  <c r="I320" i="13"/>
  <c r="I305" i="13"/>
  <c r="I305" i="11"/>
  <c r="B183" i="34"/>
  <c r="I303" i="13"/>
  <c r="I303" i="11"/>
  <c r="B181" i="34"/>
  <c r="B311" i="34"/>
  <c r="I368" i="15"/>
  <c r="J368" i="15" s="1"/>
  <c r="I367" i="2"/>
  <c r="J367" i="2" s="1"/>
  <c r="B309" i="34"/>
  <c r="I366" i="15"/>
  <c r="J366" i="15" s="1"/>
  <c r="I365" i="2"/>
  <c r="J365" i="2" s="1"/>
  <c r="B246" i="43"/>
  <c r="E246" i="43" s="1"/>
  <c r="F267" i="10"/>
  <c r="F267" i="16"/>
  <c r="B250" i="33"/>
  <c r="F269" i="19"/>
  <c r="F267" i="13"/>
  <c r="F267" i="11"/>
  <c r="F267" i="2"/>
  <c r="F267" i="15"/>
  <c r="T7" i="10"/>
  <c r="G375" i="10"/>
  <c r="G377" i="19"/>
  <c r="T7" i="19"/>
  <c r="E679" i="25"/>
  <c r="E678" i="25"/>
  <c r="E582" i="25"/>
  <c r="E439" i="11"/>
  <c r="A2" i="13"/>
  <c r="A2" i="2"/>
  <c r="A4" i="2"/>
  <c r="E245" i="2" s="1"/>
  <c r="I267" i="11" l="1"/>
  <c r="I267" i="2"/>
  <c r="I269" i="19"/>
  <c r="I267" i="10"/>
  <c r="I267" i="13"/>
  <c r="B145" i="34"/>
  <c r="I267" i="15"/>
  <c r="I267" i="16"/>
  <c r="B679" i="43"/>
  <c r="E679" i="43" s="1"/>
  <c r="I230" i="21" s="1"/>
  <c r="J230" i="21" s="1"/>
  <c r="B582" i="43"/>
  <c r="E582" i="43" s="1"/>
  <c r="B678" i="43"/>
  <c r="E678" i="43" s="1"/>
  <c r="I229" i="21" s="1"/>
  <c r="J229" i="21" s="1"/>
  <c r="E231" i="2"/>
  <c r="E162" i="2"/>
  <c r="F230" i="21"/>
  <c r="G230" i="21" s="1"/>
  <c r="F229" i="21"/>
  <c r="F122" i="21"/>
  <c r="E221" i="2"/>
  <c r="E143" i="2"/>
  <c r="B596" i="33"/>
  <c r="B375" i="10"/>
  <c r="T8" i="10"/>
  <c r="D8" i="10"/>
  <c r="B377" i="19"/>
  <c r="T8" i="19"/>
  <c r="D8" i="19"/>
  <c r="E348" i="13"/>
  <c r="E346" i="13"/>
  <c r="E347" i="13"/>
  <c r="E345" i="13"/>
  <c r="E283" i="13"/>
  <c r="E286" i="13"/>
  <c r="E284" i="13"/>
  <c r="E282" i="13"/>
  <c r="E285" i="13"/>
  <c r="E269" i="13"/>
  <c r="E281" i="13"/>
  <c r="E151" i="13"/>
  <c r="E30" i="13"/>
  <c r="E12" i="13"/>
  <c r="E29" i="13"/>
  <c r="E145" i="2"/>
  <c r="E252" i="2"/>
  <c r="E256" i="2"/>
  <c r="E260" i="2"/>
  <c r="E254" i="2"/>
  <c r="E258" i="2"/>
  <c r="E259" i="2"/>
  <c r="E253" i="2"/>
  <c r="E257" i="2"/>
  <c r="E255" i="2"/>
  <c r="E151" i="2"/>
  <c r="E31" i="2"/>
  <c r="E251" i="25"/>
  <c r="B612" i="34" l="1"/>
  <c r="I122" i="21"/>
  <c r="J122" i="21" s="1"/>
  <c r="B251" i="43"/>
  <c r="E251" i="43" s="1"/>
  <c r="G231" i="2"/>
  <c r="J231" i="2"/>
  <c r="G221" i="2"/>
  <c r="J221" i="2"/>
  <c r="G143" i="2"/>
  <c r="J143" i="2"/>
  <c r="F272" i="10"/>
  <c r="F272" i="16"/>
  <c r="B255" i="33"/>
  <c r="F274" i="19"/>
  <c r="F272" i="11"/>
  <c r="F272" i="15"/>
  <c r="F272" i="13"/>
  <c r="F272" i="2"/>
  <c r="E269" i="25"/>
  <c r="E239" i="25"/>
  <c r="F260" i="2" s="1"/>
  <c r="G260" i="2" s="1"/>
  <c r="E604" i="25"/>
  <c r="E605" i="25"/>
  <c r="E606" i="25"/>
  <c r="E602" i="25"/>
  <c r="E603" i="25"/>
  <c r="E590" i="25"/>
  <c r="E591" i="25"/>
  <c r="E584" i="25"/>
  <c r="E440" i="25"/>
  <c r="E250" i="25"/>
  <c r="E126" i="25"/>
  <c r="E255" i="25"/>
  <c r="E261" i="25"/>
  <c r="E388" i="25"/>
  <c r="E389" i="25"/>
  <c r="B150" i="34" l="1"/>
  <c r="I274" i="19"/>
  <c r="I272" i="16"/>
  <c r="I272" i="15"/>
  <c r="I272" i="13"/>
  <c r="I272" i="11"/>
  <c r="I272" i="10"/>
  <c r="I272" i="2"/>
  <c r="B604" i="43"/>
  <c r="E604" i="43" s="1"/>
  <c r="B389" i="43"/>
  <c r="E389" i="43" s="1"/>
  <c r="B250" i="43"/>
  <c r="E250" i="43" s="1"/>
  <c r="B261" i="43"/>
  <c r="E261" i="43" s="1"/>
  <c r="B388" i="43"/>
  <c r="E388" i="43" s="1"/>
  <c r="B255" i="43"/>
  <c r="E255" i="43" s="1"/>
  <c r="E440" i="43"/>
  <c r="B440" i="43"/>
  <c r="B584" i="43"/>
  <c r="E584" i="43" s="1"/>
  <c r="B590" i="43"/>
  <c r="E590" i="43" s="1"/>
  <c r="B602" i="43"/>
  <c r="E602" i="43" s="1"/>
  <c r="B606" i="43"/>
  <c r="E606" i="43" s="1"/>
  <c r="B605" i="43"/>
  <c r="E605" i="43" s="1"/>
  <c r="B269" i="43"/>
  <c r="E269" i="43" s="1"/>
  <c r="B591" i="43"/>
  <c r="E591" i="43" s="1"/>
  <c r="B603" i="43"/>
  <c r="E603" i="43" s="1"/>
  <c r="B239" i="43"/>
  <c r="E239" i="43" s="1"/>
  <c r="B126" i="43"/>
  <c r="E126" i="43" s="1"/>
  <c r="B344" i="34"/>
  <c r="I404" i="13"/>
  <c r="J404" i="13" s="1"/>
  <c r="I404" i="11"/>
  <c r="J404" i="11" s="1"/>
  <c r="F276" i="10"/>
  <c r="F276" i="16"/>
  <c r="B591" i="33"/>
  <c r="F260" i="10"/>
  <c r="F260" i="16"/>
  <c r="F141" i="10"/>
  <c r="F141" i="16"/>
  <c r="F282" i="10"/>
  <c r="F282" i="16"/>
  <c r="F271" i="10"/>
  <c r="F271" i="16"/>
  <c r="F133" i="21"/>
  <c r="G133" i="21" s="1"/>
  <c r="F150" i="21"/>
  <c r="G150" i="21" s="1"/>
  <c r="F153" i="21"/>
  <c r="G153" i="21" s="1"/>
  <c r="F151" i="21"/>
  <c r="G151" i="21" s="1"/>
  <c r="F124" i="21"/>
  <c r="F132" i="21"/>
  <c r="F149" i="21"/>
  <c r="F152" i="21"/>
  <c r="G152" i="21" s="1"/>
  <c r="B449" i="33"/>
  <c r="F404" i="13"/>
  <c r="F404" i="11"/>
  <c r="B618" i="33"/>
  <c r="B243" i="33"/>
  <c r="F262" i="19"/>
  <c r="F260" i="11"/>
  <c r="F260" i="15"/>
  <c r="F260" i="13"/>
  <c r="B259" i="33"/>
  <c r="F278" i="19"/>
  <c r="F276" i="11"/>
  <c r="F276" i="15"/>
  <c r="F276" i="13"/>
  <c r="F276" i="2"/>
  <c r="B274" i="33"/>
  <c r="F291" i="13"/>
  <c r="F291" i="11"/>
  <c r="B265" i="33"/>
  <c r="F284" i="19"/>
  <c r="F282" i="13"/>
  <c r="G282" i="13" s="1"/>
  <c r="F282" i="11"/>
  <c r="F282" i="15"/>
  <c r="F282" i="2"/>
  <c r="B254" i="33"/>
  <c r="F273" i="19"/>
  <c r="F271" i="13"/>
  <c r="F271" i="11"/>
  <c r="F271" i="15"/>
  <c r="F271" i="2"/>
  <c r="B617" i="33"/>
  <c r="B616" i="33"/>
  <c r="B397" i="33"/>
  <c r="F55" i="18"/>
  <c r="B605" i="33"/>
  <c r="B620" i="33"/>
  <c r="B396" i="33"/>
  <c r="F54" i="18"/>
  <c r="B130" i="33"/>
  <c r="F143" i="19"/>
  <c r="F141" i="13"/>
  <c r="F141" i="2"/>
  <c r="B598" i="33"/>
  <c r="B604" i="33"/>
  <c r="B619" i="33"/>
  <c r="F141" i="15"/>
  <c r="F141" i="11"/>
  <c r="E585" i="25"/>
  <c r="E583" i="25"/>
  <c r="E228" i="25"/>
  <c r="E229" i="25"/>
  <c r="E369" i="25"/>
  <c r="B291" i="34" l="1"/>
  <c r="I54" i="18"/>
  <c r="J54" i="18" s="1"/>
  <c r="B149" i="34"/>
  <c r="I271" i="10"/>
  <c r="I271" i="16"/>
  <c r="I271" i="15"/>
  <c r="I273" i="19"/>
  <c r="I271" i="13"/>
  <c r="I271" i="11"/>
  <c r="I271" i="2"/>
  <c r="B292" i="34"/>
  <c r="I55" i="18"/>
  <c r="J55" i="18" s="1"/>
  <c r="B634" i="34"/>
  <c r="I151" i="21"/>
  <c r="J151" i="21" s="1"/>
  <c r="I133" i="21"/>
  <c r="J133" i="21" s="1"/>
  <c r="B621" i="34"/>
  <c r="B607" i="34"/>
  <c r="I291" i="13"/>
  <c r="B169" i="34"/>
  <c r="I291" i="11"/>
  <c r="I152" i="21"/>
  <c r="J152" i="21" s="1"/>
  <c r="B635" i="34"/>
  <c r="B636" i="34"/>
  <c r="I153" i="21"/>
  <c r="J153" i="21" s="1"/>
  <c r="B632" i="34"/>
  <c r="I149" i="21"/>
  <c r="J149" i="21" s="1"/>
  <c r="I132" i="21"/>
  <c r="J132" i="21" s="1"/>
  <c r="B620" i="34"/>
  <c r="I276" i="11"/>
  <c r="I276" i="2"/>
  <c r="I276" i="10"/>
  <c r="I276" i="13"/>
  <c r="B154" i="34"/>
  <c r="I276" i="15"/>
  <c r="I276" i="16"/>
  <c r="I278" i="19"/>
  <c r="I282" i="11"/>
  <c r="I282" i="2"/>
  <c r="B160" i="34"/>
  <c r="I282" i="16"/>
  <c r="I282" i="13"/>
  <c r="J282" i="13" s="1"/>
  <c r="I282" i="15"/>
  <c r="I282" i="10"/>
  <c r="I284" i="19"/>
  <c r="I141" i="13"/>
  <c r="B25" i="34"/>
  <c r="I143" i="19"/>
  <c r="I141" i="16"/>
  <c r="I141" i="15"/>
  <c r="I141" i="11"/>
  <c r="I141" i="10"/>
  <c r="I150" i="21"/>
  <c r="J150" i="21" s="1"/>
  <c r="B633" i="34"/>
  <c r="B614" i="34"/>
  <c r="I124" i="21"/>
  <c r="J124" i="21" s="1"/>
  <c r="B369" i="43"/>
  <c r="E369" i="43" s="1"/>
  <c r="B585" i="43"/>
  <c r="E585" i="43" s="1"/>
  <c r="B229" i="43"/>
  <c r="E229" i="43" s="1"/>
  <c r="B228" i="43"/>
  <c r="E228" i="43" s="1"/>
  <c r="E583" i="43"/>
  <c r="I123" i="21" s="1"/>
  <c r="J123" i="21" s="1"/>
  <c r="B583" i="43"/>
  <c r="I260" i="15"/>
  <c r="I260" i="16"/>
  <c r="I260" i="11"/>
  <c r="I260" i="2"/>
  <c r="J260" i="2" s="1"/>
  <c r="B138" i="34"/>
  <c r="I260" i="10"/>
  <c r="I262" i="19"/>
  <c r="I260" i="13"/>
  <c r="I141" i="2"/>
  <c r="F246" i="10"/>
  <c r="G246" i="10" s="1"/>
  <c r="F246" i="16"/>
  <c r="F247" i="10"/>
  <c r="G247" i="10" s="1"/>
  <c r="F247" i="16"/>
  <c r="G247" i="16" s="1"/>
  <c r="F123" i="21"/>
  <c r="G123" i="21" s="1"/>
  <c r="F125" i="21"/>
  <c r="G125" i="21" s="1"/>
  <c r="B599" i="33"/>
  <c r="B377" i="33"/>
  <c r="F35" i="18"/>
  <c r="B232" i="33"/>
  <c r="F249" i="19"/>
  <c r="G249" i="19" s="1"/>
  <c r="F247" i="13"/>
  <c r="G247" i="13" s="1"/>
  <c r="F247" i="11"/>
  <c r="G247" i="11" s="1"/>
  <c r="F247" i="2"/>
  <c r="G247" i="2" s="1"/>
  <c r="F247" i="15"/>
  <c r="G247" i="15" s="1"/>
  <c r="B231" i="33"/>
  <c r="F248" i="19"/>
  <c r="G248" i="19" s="1"/>
  <c r="F246" i="13"/>
  <c r="F246" i="15"/>
  <c r="F246" i="11"/>
  <c r="F246" i="2"/>
  <c r="G124" i="21"/>
  <c r="B597" i="33"/>
  <c r="E538" i="25"/>
  <c r="E535" i="25"/>
  <c r="E531" i="25"/>
  <c r="E526" i="25"/>
  <c r="I246" i="11" l="1"/>
  <c r="J246" i="11" s="1"/>
  <c r="I246" i="13"/>
  <c r="J246" i="13" s="1"/>
  <c r="I246" i="2"/>
  <c r="J246" i="2" s="1"/>
  <c r="B126" i="34"/>
  <c r="I246" i="10"/>
  <c r="J246" i="10" s="1"/>
  <c r="I248" i="19"/>
  <c r="J248" i="19" s="1"/>
  <c r="I246" i="16"/>
  <c r="J246" i="16" s="1"/>
  <c r="I246" i="15"/>
  <c r="J246" i="15" s="1"/>
  <c r="I247" i="15"/>
  <c r="J247" i="15" s="1"/>
  <c r="I247" i="2"/>
  <c r="J247" i="2" s="1"/>
  <c r="I249" i="19"/>
  <c r="J249" i="19" s="1"/>
  <c r="B127" i="34"/>
  <c r="I247" i="16"/>
  <c r="J247" i="16" s="1"/>
  <c r="I247" i="10"/>
  <c r="J247" i="10" s="1"/>
  <c r="I247" i="11"/>
  <c r="J247" i="11" s="1"/>
  <c r="I247" i="13"/>
  <c r="J247" i="13" s="1"/>
  <c r="B615" i="34"/>
  <c r="I125" i="21"/>
  <c r="J125" i="21" s="1"/>
  <c r="B272" i="34"/>
  <c r="I35" i="18"/>
  <c r="J35" i="18" s="1"/>
  <c r="B526" i="43"/>
  <c r="E526" i="43" s="1"/>
  <c r="B531" i="43"/>
  <c r="E531" i="43" s="1"/>
  <c r="B538" i="43"/>
  <c r="E538" i="43" s="1"/>
  <c r="B613" i="34"/>
  <c r="B535" i="43"/>
  <c r="E535" i="43" s="1"/>
  <c r="F67" i="21"/>
  <c r="F74" i="21"/>
  <c r="F62" i="21"/>
  <c r="F71" i="21"/>
  <c r="B547" i="33"/>
  <c r="B535" i="33"/>
  <c r="B540" i="33"/>
  <c r="B544" i="33"/>
  <c r="E536" i="25"/>
  <c r="E537" i="25"/>
  <c r="E539" i="25"/>
  <c r="E540" i="25"/>
  <c r="E541" i="25"/>
  <c r="E542" i="25"/>
  <c r="E543" i="25"/>
  <c r="E544" i="25"/>
  <c r="E545" i="25"/>
  <c r="E546" i="25"/>
  <c r="E547" i="25"/>
  <c r="E548" i="25"/>
  <c r="E549" i="25"/>
  <c r="E550" i="25"/>
  <c r="E551" i="25"/>
  <c r="E552" i="25"/>
  <c r="E553" i="25"/>
  <c r="E554" i="25"/>
  <c r="E555" i="25"/>
  <c r="E556" i="25"/>
  <c r="E557" i="25"/>
  <c r="E558" i="25"/>
  <c r="E559" i="25"/>
  <c r="E560" i="25"/>
  <c r="E561" i="25"/>
  <c r="E562" i="25"/>
  <c r="E563" i="25"/>
  <c r="E564" i="25"/>
  <c r="E565" i="25"/>
  <c r="E566" i="25"/>
  <c r="E567" i="25"/>
  <c r="E568" i="25"/>
  <c r="E569" i="25"/>
  <c r="E570" i="25"/>
  <c r="E571" i="25"/>
  <c r="E572" i="25"/>
  <c r="E573" i="25"/>
  <c r="E574" i="25"/>
  <c r="E575" i="25"/>
  <c r="B560" i="34" l="1"/>
  <c r="I71" i="21"/>
  <c r="B563" i="34"/>
  <c r="I74" i="21"/>
  <c r="I67" i="21"/>
  <c r="B556" i="34"/>
  <c r="I62" i="21"/>
  <c r="B551" i="34"/>
  <c r="B554" i="43"/>
  <c r="E554" i="43" s="1"/>
  <c r="B537" i="43"/>
  <c r="E537" i="43" s="1"/>
  <c r="B552" i="43"/>
  <c r="E552" i="43" s="1"/>
  <c r="B551" i="43"/>
  <c r="E551" i="43" s="1"/>
  <c r="B549" i="43"/>
  <c r="E549" i="43" s="1"/>
  <c r="B570" i="43"/>
  <c r="E570" i="43" s="1"/>
  <c r="B569" i="43"/>
  <c r="E569" i="43" s="1"/>
  <c r="B553" i="43"/>
  <c r="E553" i="43" s="1"/>
  <c r="B568" i="43"/>
  <c r="E568" i="43" s="1"/>
  <c r="B567" i="43"/>
  <c r="E567" i="43" s="1"/>
  <c r="B566" i="43"/>
  <c r="E566" i="43" s="1"/>
  <c r="B564" i="43"/>
  <c r="E564" i="43" s="1"/>
  <c r="B563" i="43"/>
  <c r="E563" i="43" s="1"/>
  <c r="B560" i="43"/>
  <c r="E560" i="43" s="1"/>
  <c r="B575" i="43"/>
  <c r="E575" i="43" s="1"/>
  <c r="B571" i="43"/>
  <c r="E571" i="43" s="1"/>
  <c r="B555" i="43"/>
  <c r="E555" i="43" s="1"/>
  <c r="B539" i="43"/>
  <c r="E539" i="43" s="1"/>
  <c r="B536" i="43"/>
  <c r="E536" i="43" s="1"/>
  <c r="B550" i="43"/>
  <c r="E550" i="43" s="1"/>
  <c r="B565" i="43"/>
  <c r="E565" i="43" s="1"/>
  <c r="B548" i="43"/>
  <c r="E548" i="43" s="1"/>
  <c r="B547" i="43"/>
  <c r="E547" i="43" s="1"/>
  <c r="B562" i="43"/>
  <c r="E562" i="43" s="1"/>
  <c r="B546" i="43"/>
  <c r="E546" i="43" s="1"/>
  <c r="B561" i="43"/>
  <c r="E561" i="43" s="1"/>
  <c r="B545" i="43"/>
  <c r="E545" i="43" s="1"/>
  <c r="B544" i="43"/>
  <c r="E544" i="43" s="1"/>
  <c r="B559" i="43"/>
  <c r="E559" i="43" s="1"/>
  <c r="B543" i="43"/>
  <c r="E543" i="43" s="1"/>
  <c r="B574" i="43"/>
  <c r="E574" i="43" s="1"/>
  <c r="B558" i="43"/>
  <c r="E558" i="43" s="1"/>
  <c r="B542" i="43"/>
  <c r="E542" i="43" s="1"/>
  <c r="B573" i="43"/>
  <c r="E573" i="43" s="1"/>
  <c r="B557" i="43"/>
  <c r="E557" i="43" s="1"/>
  <c r="B541" i="43"/>
  <c r="E541" i="43" s="1"/>
  <c r="B572" i="43"/>
  <c r="E572" i="43" s="1"/>
  <c r="B556" i="43"/>
  <c r="E556" i="43" s="1"/>
  <c r="B540" i="43"/>
  <c r="E540" i="43" s="1"/>
  <c r="F111" i="21"/>
  <c r="F109" i="21"/>
  <c r="F107" i="21"/>
  <c r="F105" i="21"/>
  <c r="F103" i="21"/>
  <c r="F101" i="21"/>
  <c r="F99" i="21"/>
  <c r="F97" i="21"/>
  <c r="F95" i="21"/>
  <c r="F93" i="21"/>
  <c r="F91" i="21"/>
  <c r="F89" i="21"/>
  <c r="F87" i="21"/>
  <c r="F85" i="21"/>
  <c r="F83" i="21"/>
  <c r="F81" i="21"/>
  <c r="F79" i="21"/>
  <c r="F77" i="21"/>
  <c r="F75" i="21"/>
  <c r="F72" i="21"/>
  <c r="F110" i="21"/>
  <c r="F108" i="21"/>
  <c r="F106" i="21"/>
  <c r="F104" i="21"/>
  <c r="F102" i="21"/>
  <c r="F100" i="21"/>
  <c r="F98" i="21"/>
  <c r="F96" i="21"/>
  <c r="F94" i="21"/>
  <c r="F92" i="21"/>
  <c r="F90" i="21"/>
  <c r="F88" i="21"/>
  <c r="F86" i="21"/>
  <c r="F84" i="21"/>
  <c r="F82" i="21"/>
  <c r="F80" i="21"/>
  <c r="F78" i="21"/>
  <c r="F76" i="21"/>
  <c r="F73" i="21"/>
  <c r="B573" i="33"/>
  <c r="B561" i="33"/>
  <c r="B549" i="33"/>
  <c r="B584" i="33"/>
  <c r="B572" i="33"/>
  <c r="B564" i="33"/>
  <c r="B556" i="33"/>
  <c r="B548" i="33"/>
  <c r="B577" i="33"/>
  <c r="B565" i="33"/>
  <c r="B553" i="33"/>
  <c r="B576" i="33"/>
  <c r="B568" i="33"/>
  <c r="B560" i="33"/>
  <c r="B552" i="33"/>
  <c r="B583" i="33"/>
  <c r="B579" i="33"/>
  <c r="B575" i="33"/>
  <c r="B571" i="33"/>
  <c r="B567" i="33"/>
  <c r="B563" i="33"/>
  <c r="B559" i="33"/>
  <c r="B555" i="33"/>
  <c r="B551" i="33"/>
  <c r="B546" i="33"/>
  <c r="B581" i="33"/>
  <c r="B569" i="33"/>
  <c r="B557" i="33"/>
  <c r="B580" i="33"/>
  <c r="B582" i="33"/>
  <c r="B578" i="33"/>
  <c r="B574" i="33"/>
  <c r="B570" i="33"/>
  <c r="B566" i="33"/>
  <c r="B562" i="33"/>
  <c r="B558" i="33"/>
  <c r="B554" i="33"/>
  <c r="B550" i="33"/>
  <c r="B545" i="33"/>
  <c r="I89" i="21" l="1"/>
  <c r="B578" i="34"/>
  <c r="I83" i="21"/>
  <c r="B572" i="34"/>
  <c r="B573" i="34"/>
  <c r="I84" i="21"/>
  <c r="B566" i="34"/>
  <c r="I77" i="21"/>
  <c r="B587" i="34"/>
  <c r="I98" i="21"/>
  <c r="I76" i="21"/>
  <c r="B565" i="34"/>
  <c r="B595" i="34"/>
  <c r="I106" i="21"/>
  <c r="B576" i="34"/>
  <c r="I87" i="21"/>
  <c r="B594" i="34"/>
  <c r="I105" i="21"/>
  <c r="I92" i="21"/>
  <c r="B581" i="34"/>
  <c r="B597" i="34"/>
  <c r="I108" i="21"/>
  <c r="B590" i="34"/>
  <c r="I101" i="21"/>
  <c r="B574" i="34"/>
  <c r="I85" i="21"/>
  <c r="I86" i="21"/>
  <c r="B575" i="34"/>
  <c r="B582" i="34"/>
  <c r="I93" i="21"/>
  <c r="B561" i="34"/>
  <c r="I72" i="21"/>
  <c r="B577" i="34"/>
  <c r="I88" i="21"/>
  <c r="B598" i="34"/>
  <c r="I109" i="21"/>
  <c r="B564" i="34"/>
  <c r="I75" i="21"/>
  <c r="B562" i="34"/>
  <c r="I73" i="21"/>
  <c r="B567" i="34"/>
  <c r="I78" i="21"/>
  <c r="I91" i="21"/>
  <c r="B580" i="34"/>
  <c r="B579" i="34"/>
  <c r="I90" i="21"/>
  <c r="B583" i="34"/>
  <c r="I94" i="21"/>
  <c r="B596" i="34"/>
  <c r="I107" i="21"/>
  <c r="B599" i="34"/>
  <c r="I110" i="21"/>
  <c r="I111" i="21"/>
  <c r="B600" i="34"/>
  <c r="I79" i="21"/>
  <c r="B568" i="34"/>
  <c r="B585" i="34"/>
  <c r="I96" i="21"/>
  <c r="B584" i="34"/>
  <c r="I95" i="21"/>
  <c r="B588" i="34"/>
  <c r="I99" i="21"/>
  <c r="B569" i="34"/>
  <c r="I80" i="21"/>
  <c r="B589" i="34"/>
  <c r="I100" i="21"/>
  <c r="B570" i="34"/>
  <c r="I81" i="21"/>
  <c r="B591" i="34"/>
  <c r="I102" i="21"/>
  <c r="B586" i="34"/>
  <c r="I97" i="21"/>
  <c r="I103" i="21"/>
  <c r="B592" i="34"/>
  <c r="B571" i="34"/>
  <c r="I82" i="21"/>
  <c r="B593" i="34"/>
  <c r="I104" i="21"/>
  <c r="G231" i="21"/>
  <c r="G362" i="16" l="1"/>
  <c r="G248" i="16"/>
  <c r="G137" i="16"/>
  <c r="G248" i="15"/>
  <c r="G248" i="13"/>
  <c r="G248" i="11"/>
  <c r="B10" i="13"/>
  <c r="B137" i="13" s="1"/>
  <c r="B455" i="13" l="1"/>
  <c r="B384" i="15"/>
  <c r="C5" i="21"/>
  <c r="C5" i="18"/>
  <c r="C5" i="19"/>
  <c r="C5" i="10"/>
  <c r="C5" i="16"/>
  <c r="C5" i="13"/>
  <c r="C5" i="11"/>
  <c r="C5" i="15"/>
  <c r="C5" i="2"/>
  <c r="G82" i="18"/>
  <c r="B82" i="18" s="1"/>
  <c r="G374" i="16"/>
  <c r="B374" i="16" s="1"/>
  <c r="G456" i="13"/>
  <c r="B456" i="13" s="1"/>
  <c r="B456" i="11"/>
  <c r="G385" i="15"/>
  <c r="B385" i="15" s="1"/>
  <c r="F7" i="21" l="1"/>
  <c r="F7" i="18"/>
  <c r="F7" i="19"/>
  <c r="F7" i="10"/>
  <c r="F7" i="16"/>
  <c r="F7" i="13"/>
  <c r="E420" i="13" s="1"/>
  <c r="F7" i="11"/>
  <c r="F7" i="15"/>
  <c r="F7" i="2"/>
  <c r="A4" i="15"/>
  <c r="A2" i="15"/>
  <c r="E231" i="15" l="1"/>
  <c r="E245" i="15"/>
  <c r="G231" i="15"/>
  <c r="J231" i="15"/>
  <c r="E221" i="15"/>
  <c r="E143" i="15"/>
  <c r="E151" i="15"/>
  <c r="E286" i="15"/>
  <c r="E284" i="15"/>
  <c r="E282" i="15"/>
  <c r="J282" i="15" s="1"/>
  <c r="E269" i="15"/>
  <c r="E283" i="15"/>
  <c r="E285" i="15"/>
  <c r="E281" i="15"/>
  <c r="E266" i="15"/>
  <c r="E264" i="15"/>
  <c r="E262" i="15"/>
  <c r="E268" i="15" s="1"/>
  <c r="E260" i="15"/>
  <c r="J260" i="15" s="1"/>
  <c r="E258" i="15"/>
  <c r="E256" i="15"/>
  <c r="E254" i="15"/>
  <c r="E252" i="15"/>
  <c r="E280" i="15"/>
  <c r="E278" i="15"/>
  <c r="E276" i="15"/>
  <c r="J276" i="15" s="1"/>
  <c r="E274" i="15"/>
  <c r="E272" i="15"/>
  <c r="J272" i="15" s="1"/>
  <c r="E270" i="15"/>
  <c r="E265" i="15"/>
  <c r="E261" i="15"/>
  <c r="E259" i="15"/>
  <c r="E255" i="15"/>
  <c r="E251" i="15"/>
  <c r="E279" i="15"/>
  <c r="E273" i="15"/>
  <c r="E263" i="15"/>
  <c r="E275" i="15"/>
  <c r="E267" i="15"/>
  <c r="J267" i="15" s="1"/>
  <c r="E257" i="15"/>
  <c r="E253" i="15"/>
  <c r="E277" i="15"/>
  <c r="E271" i="15"/>
  <c r="J271" i="15" s="1"/>
  <c r="E148" i="15"/>
  <c r="E146" i="15"/>
  <c r="E145" i="15"/>
  <c r="E149" i="15"/>
  <c r="E147" i="15"/>
  <c r="E285" i="2"/>
  <c r="E283" i="2"/>
  <c r="E284" i="2"/>
  <c r="E273" i="2"/>
  <c r="E141" i="2"/>
  <c r="E277" i="2"/>
  <c r="E272" i="2"/>
  <c r="E141" i="15"/>
  <c r="G272" i="15"/>
  <c r="A6" i="15"/>
  <c r="E677" i="25"/>
  <c r="E676" i="25"/>
  <c r="E675" i="25"/>
  <c r="E674" i="25"/>
  <c r="E673" i="25"/>
  <c r="E672" i="25"/>
  <c r="E671" i="25"/>
  <c r="E670" i="25"/>
  <c r="E669" i="25"/>
  <c r="E668" i="25"/>
  <c r="E667" i="25"/>
  <c r="E666" i="25"/>
  <c r="E665" i="25"/>
  <c r="E664" i="25"/>
  <c r="E663" i="25"/>
  <c r="E662" i="25"/>
  <c r="E661" i="25"/>
  <c r="E660" i="25"/>
  <c r="E659" i="25"/>
  <c r="E658" i="25"/>
  <c r="E657" i="25"/>
  <c r="E656" i="25"/>
  <c r="E655" i="25"/>
  <c r="E654" i="25"/>
  <c r="E653" i="25"/>
  <c r="E652" i="25"/>
  <c r="E651" i="25"/>
  <c r="E650" i="25"/>
  <c r="E649" i="25"/>
  <c r="E648" i="25"/>
  <c r="E647" i="25"/>
  <c r="E646" i="25"/>
  <c r="E645" i="25"/>
  <c r="E644" i="25"/>
  <c r="E643" i="25"/>
  <c r="E642" i="25"/>
  <c r="E641" i="25"/>
  <c r="E640" i="25"/>
  <c r="E639" i="25"/>
  <c r="E638" i="25"/>
  <c r="E637" i="25"/>
  <c r="E636" i="25"/>
  <c r="E635" i="25"/>
  <c r="E634" i="25"/>
  <c r="E633" i="25"/>
  <c r="E632" i="25"/>
  <c r="E631" i="25"/>
  <c r="E630" i="25"/>
  <c r="E629" i="25"/>
  <c r="E628" i="25"/>
  <c r="E627" i="25"/>
  <c r="E626" i="25"/>
  <c r="E625" i="25"/>
  <c r="E624" i="25"/>
  <c r="E623" i="25"/>
  <c r="E622" i="25"/>
  <c r="E621" i="25"/>
  <c r="E620" i="25"/>
  <c r="E619" i="25"/>
  <c r="E618" i="25"/>
  <c r="E617" i="25"/>
  <c r="E616" i="25"/>
  <c r="E615" i="25"/>
  <c r="E614" i="25"/>
  <c r="E613" i="25"/>
  <c r="E612" i="25"/>
  <c r="E611" i="25"/>
  <c r="E610" i="25"/>
  <c r="E609" i="25"/>
  <c r="E608" i="25"/>
  <c r="E607" i="25"/>
  <c r="E601" i="25"/>
  <c r="E600" i="25"/>
  <c r="E599" i="25"/>
  <c r="E598" i="25"/>
  <c r="E597" i="25"/>
  <c r="E596" i="25"/>
  <c r="E595" i="25"/>
  <c r="E594" i="25"/>
  <c r="E593" i="25"/>
  <c r="E592" i="25"/>
  <c r="E589" i="25"/>
  <c r="E588" i="25"/>
  <c r="E587" i="25"/>
  <c r="E586" i="25"/>
  <c r="E581" i="25"/>
  <c r="E580" i="25"/>
  <c r="E579" i="25"/>
  <c r="E578" i="25"/>
  <c r="E577" i="25"/>
  <c r="E576" i="25"/>
  <c r="E534" i="25"/>
  <c r="E533" i="25"/>
  <c r="E532" i="25"/>
  <c r="E530" i="25"/>
  <c r="E529" i="25"/>
  <c r="E528" i="25"/>
  <c r="E527" i="25"/>
  <c r="E525" i="25"/>
  <c r="E524" i="25"/>
  <c r="E523" i="25"/>
  <c r="E522" i="25"/>
  <c r="E521" i="25"/>
  <c r="E520" i="25"/>
  <c r="E519" i="25"/>
  <c r="E518" i="25"/>
  <c r="E517" i="25"/>
  <c r="E516" i="25"/>
  <c r="E515" i="25"/>
  <c r="E514" i="25"/>
  <c r="E513" i="25"/>
  <c r="E512" i="25"/>
  <c r="E511" i="25"/>
  <c r="E510" i="25"/>
  <c r="E509" i="25"/>
  <c r="E508" i="25"/>
  <c r="E507" i="25"/>
  <c r="E506" i="25"/>
  <c r="E505" i="25"/>
  <c r="E504" i="25"/>
  <c r="E503" i="25"/>
  <c r="E502" i="25"/>
  <c r="E501" i="25"/>
  <c r="E500" i="25"/>
  <c r="E499" i="25"/>
  <c r="E498" i="25"/>
  <c r="E497" i="25"/>
  <c r="E496" i="25"/>
  <c r="E495" i="25"/>
  <c r="E494" i="25"/>
  <c r="E493" i="25"/>
  <c r="E492" i="25"/>
  <c r="E491" i="25"/>
  <c r="E490" i="25"/>
  <c r="E489" i="25"/>
  <c r="E488" i="25"/>
  <c r="E487" i="25"/>
  <c r="E486" i="25"/>
  <c r="E485" i="25"/>
  <c r="E484" i="25"/>
  <c r="E483" i="25"/>
  <c r="E482" i="25"/>
  <c r="E481" i="25"/>
  <c r="E480" i="25"/>
  <c r="E479" i="25"/>
  <c r="E478" i="25"/>
  <c r="E477" i="25"/>
  <c r="E476" i="25"/>
  <c r="E475" i="25"/>
  <c r="E474" i="25"/>
  <c r="E473" i="25"/>
  <c r="E472" i="25"/>
  <c r="E471" i="25"/>
  <c r="E470" i="25"/>
  <c r="E469" i="25"/>
  <c r="E468" i="25"/>
  <c r="E467" i="25"/>
  <c r="E466" i="25"/>
  <c r="E465" i="25"/>
  <c r="E464" i="25"/>
  <c r="E463" i="25"/>
  <c r="E462" i="25"/>
  <c r="E461" i="25"/>
  <c r="E460" i="25"/>
  <c r="E459" i="25"/>
  <c r="E458" i="25"/>
  <c r="E457" i="25"/>
  <c r="E456" i="25"/>
  <c r="E455" i="25"/>
  <c r="E454" i="25"/>
  <c r="E453" i="25"/>
  <c r="E452" i="25"/>
  <c r="E451" i="25"/>
  <c r="E450" i="25"/>
  <c r="E449" i="25"/>
  <c r="E448" i="25"/>
  <c r="E447" i="25"/>
  <c r="E446" i="25"/>
  <c r="E445" i="25"/>
  <c r="E444" i="25"/>
  <c r="E443" i="25"/>
  <c r="E442" i="25"/>
  <c r="E441" i="25"/>
  <c r="E439" i="25"/>
  <c r="E438" i="25"/>
  <c r="E437" i="25"/>
  <c r="E435" i="25"/>
  <c r="E434" i="25"/>
  <c r="E433" i="25"/>
  <c r="E432" i="25"/>
  <c r="E431" i="25"/>
  <c r="E430" i="25"/>
  <c r="E429" i="25"/>
  <c r="E428" i="25"/>
  <c r="E427" i="25"/>
  <c r="E426" i="25"/>
  <c r="E425" i="25"/>
  <c r="E424" i="25"/>
  <c r="E423" i="25"/>
  <c r="E422" i="25"/>
  <c r="E421" i="25"/>
  <c r="E420" i="25"/>
  <c r="E419" i="25"/>
  <c r="E418" i="25"/>
  <c r="E417" i="25"/>
  <c r="E416" i="25"/>
  <c r="E415" i="25"/>
  <c r="E414" i="25"/>
  <c r="E413" i="25"/>
  <c r="E412" i="25"/>
  <c r="E411" i="25"/>
  <c r="E410" i="25"/>
  <c r="E409" i="25"/>
  <c r="E408" i="25"/>
  <c r="E404" i="25"/>
  <c r="E403" i="25"/>
  <c r="E402" i="25"/>
  <c r="E401" i="25"/>
  <c r="E400" i="25"/>
  <c r="E399" i="25"/>
  <c r="E398" i="25"/>
  <c r="E397" i="25"/>
  <c r="E396" i="25"/>
  <c r="E395" i="25"/>
  <c r="E394" i="25"/>
  <c r="E393" i="25"/>
  <c r="E392" i="25"/>
  <c r="E391" i="25"/>
  <c r="E387" i="25"/>
  <c r="E386" i="25"/>
  <c r="E385" i="25"/>
  <c r="E384" i="25"/>
  <c r="E383" i="25"/>
  <c r="E382" i="25"/>
  <c r="E381" i="25"/>
  <c r="E380" i="25"/>
  <c r="E379" i="25"/>
  <c r="E378" i="25"/>
  <c r="E377" i="25"/>
  <c r="E376" i="25"/>
  <c r="E373" i="25"/>
  <c r="E372" i="25"/>
  <c r="E371" i="25"/>
  <c r="E370" i="25"/>
  <c r="E368" i="25"/>
  <c r="E367" i="25"/>
  <c r="E366" i="25"/>
  <c r="E365" i="25"/>
  <c r="E364" i="25"/>
  <c r="E363" i="25"/>
  <c r="E362" i="25"/>
  <c r="E361" i="25"/>
  <c r="E360" i="25"/>
  <c r="E359" i="25"/>
  <c r="E358" i="25"/>
  <c r="E357" i="25"/>
  <c r="E356" i="25"/>
  <c r="E355" i="25"/>
  <c r="E354" i="25"/>
  <c r="E353" i="25"/>
  <c r="E352" i="25"/>
  <c r="E351" i="25"/>
  <c r="E350" i="25"/>
  <c r="E349" i="25"/>
  <c r="E348" i="25"/>
  <c r="E347" i="25"/>
  <c r="E346" i="25"/>
  <c r="E345" i="25"/>
  <c r="E344" i="25"/>
  <c r="E343" i="25"/>
  <c r="E342" i="25"/>
  <c r="E341" i="25"/>
  <c r="E340" i="25"/>
  <c r="E339" i="25"/>
  <c r="E338" i="25"/>
  <c r="E337" i="25"/>
  <c r="E336" i="25"/>
  <c r="E335" i="25"/>
  <c r="E334" i="25"/>
  <c r="E333" i="25"/>
  <c r="E332" i="25"/>
  <c r="E331" i="25"/>
  <c r="E330" i="25"/>
  <c r="E329" i="25"/>
  <c r="E328" i="25"/>
  <c r="E327" i="25"/>
  <c r="E326" i="25"/>
  <c r="E325" i="25"/>
  <c r="E324" i="25"/>
  <c r="E323" i="25"/>
  <c r="E322" i="25"/>
  <c r="E321" i="25"/>
  <c r="E320" i="25"/>
  <c r="E319" i="25"/>
  <c r="E318" i="25"/>
  <c r="E317" i="25"/>
  <c r="E316" i="25"/>
  <c r="E315" i="25"/>
  <c r="E314" i="25"/>
  <c r="E313" i="25"/>
  <c r="E312" i="25"/>
  <c r="E311" i="25"/>
  <c r="E310" i="25"/>
  <c r="E309" i="25"/>
  <c r="E308" i="25"/>
  <c r="E307" i="25"/>
  <c r="E306" i="25"/>
  <c r="E305" i="25"/>
  <c r="E304" i="25"/>
  <c r="E303" i="25"/>
  <c r="E302" i="25"/>
  <c r="E301" i="25"/>
  <c r="E298" i="25"/>
  <c r="E297" i="25"/>
  <c r="E296" i="25"/>
  <c r="E295" i="25"/>
  <c r="E291" i="25"/>
  <c r="E290" i="25"/>
  <c r="E289" i="25"/>
  <c r="E288" i="25"/>
  <c r="E287" i="25"/>
  <c r="E286" i="25"/>
  <c r="E285" i="25"/>
  <c r="E282" i="25"/>
  <c r="E279" i="25"/>
  <c r="E278" i="25"/>
  <c r="E277" i="25"/>
  <c r="E276" i="25"/>
  <c r="E275" i="25"/>
  <c r="E274" i="25"/>
  <c r="E273" i="25"/>
  <c r="E272" i="25"/>
  <c r="E271" i="25"/>
  <c r="E270" i="25"/>
  <c r="E268" i="25"/>
  <c r="E267" i="25"/>
  <c r="E266" i="25"/>
  <c r="E265" i="25"/>
  <c r="E264" i="25"/>
  <c r="E263" i="25"/>
  <c r="E262" i="25"/>
  <c r="E260" i="25"/>
  <c r="E259" i="25"/>
  <c r="E258" i="25"/>
  <c r="E257" i="25"/>
  <c r="E256" i="25"/>
  <c r="E254" i="25"/>
  <c r="E253" i="25"/>
  <c r="E252" i="25"/>
  <c r="E249" i="25"/>
  <c r="E248" i="25"/>
  <c r="E247" i="25"/>
  <c r="E245" i="25"/>
  <c r="E244" i="25"/>
  <c r="E243" i="25"/>
  <c r="E242" i="25"/>
  <c r="E241" i="25"/>
  <c r="E240" i="25"/>
  <c r="E238" i="25"/>
  <c r="F259" i="2" s="1"/>
  <c r="G259" i="2" s="1"/>
  <c r="E237" i="25"/>
  <c r="E236" i="25"/>
  <c r="E235" i="25"/>
  <c r="E234" i="25"/>
  <c r="E233" i="25"/>
  <c r="E232" i="25"/>
  <c r="E231" i="25"/>
  <c r="E230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2" i="25"/>
  <c r="E211" i="25"/>
  <c r="E210" i="25"/>
  <c r="E209" i="25"/>
  <c r="E208" i="25"/>
  <c r="E207" i="25"/>
  <c r="E206" i="25"/>
  <c r="E205" i="25"/>
  <c r="E204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1" i="25"/>
  <c r="E170" i="25"/>
  <c r="E169" i="25"/>
  <c r="E168" i="25"/>
  <c r="E167" i="25"/>
  <c r="E166" i="25"/>
  <c r="E165" i="25"/>
  <c r="E164" i="25"/>
  <c r="E163" i="25"/>
  <c r="E162" i="25"/>
  <c r="E160" i="25"/>
  <c r="E159" i="25"/>
  <c r="E158" i="25"/>
  <c r="E157" i="25"/>
  <c r="E156" i="25"/>
  <c r="E155" i="25"/>
  <c r="E154" i="25"/>
  <c r="E153" i="25"/>
  <c r="E152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7" i="25"/>
  <c r="E125" i="25"/>
  <c r="B125" i="43" s="1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B105" i="43" s="1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B8" i="43" s="1"/>
  <c r="E8" i="43" s="1"/>
  <c r="B385" i="34" s="1"/>
  <c r="E7" i="25"/>
  <c r="B7" i="43" s="1"/>
  <c r="E7" i="43" s="1"/>
  <c r="B384" i="34" s="1"/>
  <c r="E6" i="25"/>
  <c r="B6" i="43" s="1"/>
  <c r="E6" i="43" s="1"/>
  <c r="B383" i="34" s="1"/>
  <c r="C5" i="25"/>
  <c r="E5" i="25" s="1"/>
  <c r="G241" i="21"/>
  <c r="G157" i="21"/>
  <c r="G136" i="21"/>
  <c r="G128" i="21"/>
  <c r="G120" i="21"/>
  <c r="A4" i="21"/>
  <c r="E65" i="21" s="1"/>
  <c r="A2" i="21"/>
  <c r="E66" i="21" s="1"/>
  <c r="G80" i="18"/>
  <c r="T3" i="18" s="1"/>
  <c r="G70" i="18"/>
  <c r="T2" i="18" s="1"/>
  <c r="E26" i="18"/>
  <c r="G22" i="18"/>
  <c r="A4" i="18"/>
  <c r="A2" i="18"/>
  <c r="A6" i="18" s="1"/>
  <c r="G372" i="16"/>
  <c r="E318" i="16"/>
  <c r="E317" i="16"/>
  <c r="E316" i="16"/>
  <c r="E315" i="16"/>
  <c r="E314" i="16"/>
  <c r="E313" i="16"/>
  <c r="T2" i="16"/>
  <c r="E227" i="16"/>
  <c r="E218" i="16"/>
  <c r="E217" i="16"/>
  <c r="E216" i="16"/>
  <c r="E215" i="16"/>
  <c r="E214" i="16"/>
  <c r="E213" i="16"/>
  <c r="E212" i="16"/>
  <c r="E211" i="16"/>
  <c r="T1" i="16"/>
  <c r="E99" i="16"/>
  <c r="E375" i="13"/>
  <c r="E337" i="13"/>
  <c r="E336" i="13"/>
  <c r="E335" i="13"/>
  <c r="E334" i="13"/>
  <c r="E333" i="13"/>
  <c r="E332" i="13"/>
  <c r="T2" i="13"/>
  <c r="E227" i="13"/>
  <c r="E218" i="13"/>
  <c r="E217" i="13"/>
  <c r="E216" i="13"/>
  <c r="E215" i="13"/>
  <c r="E214" i="13"/>
  <c r="E213" i="13"/>
  <c r="E212" i="13"/>
  <c r="E211" i="13"/>
  <c r="G137" i="13"/>
  <c r="T1" i="13" s="1"/>
  <c r="E99" i="13"/>
  <c r="E437" i="11"/>
  <c r="E436" i="11"/>
  <c r="E420" i="11"/>
  <c r="G382" i="11"/>
  <c r="T3" i="11" s="1"/>
  <c r="E375" i="11"/>
  <c r="E337" i="11"/>
  <c r="E336" i="11"/>
  <c r="E335" i="11"/>
  <c r="E334" i="11"/>
  <c r="E333" i="11"/>
  <c r="E332" i="11"/>
  <c r="T2" i="11"/>
  <c r="E218" i="11"/>
  <c r="E217" i="11"/>
  <c r="E216" i="11"/>
  <c r="E215" i="11"/>
  <c r="E214" i="11"/>
  <c r="E213" i="11"/>
  <c r="E212" i="11"/>
  <c r="E211" i="11"/>
  <c r="G137" i="11"/>
  <c r="E99" i="11"/>
  <c r="G383" i="15"/>
  <c r="T6" i="15" s="1"/>
  <c r="E318" i="15"/>
  <c r="E317" i="15"/>
  <c r="E316" i="15"/>
  <c r="E315" i="15"/>
  <c r="E314" i="15"/>
  <c r="E313" i="15"/>
  <c r="E227" i="15"/>
  <c r="E218" i="15"/>
  <c r="E217" i="15"/>
  <c r="E216" i="15"/>
  <c r="E215" i="15"/>
  <c r="E214" i="15"/>
  <c r="E213" i="15"/>
  <c r="E212" i="15"/>
  <c r="E211" i="15"/>
  <c r="E99" i="15"/>
  <c r="B200" i="43" l="1"/>
  <c r="E200" i="43" s="1"/>
  <c r="B669" i="43"/>
  <c r="E669" i="43" s="1"/>
  <c r="B403" i="43"/>
  <c r="E403" i="43" s="1"/>
  <c r="B670" i="43"/>
  <c r="E670" i="43" s="1"/>
  <c r="I221" i="21" s="1"/>
  <c r="J221" i="21" s="1"/>
  <c r="B70" i="43"/>
  <c r="E70" i="43" s="1"/>
  <c r="B186" i="43"/>
  <c r="E186" i="43" s="1"/>
  <c r="B385" i="43"/>
  <c r="E385" i="43" s="1"/>
  <c r="B671" i="43"/>
  <c r="E671" i="43" s="1"/>
  <c r="I222" i="21" s="1"/>
  <c r="J222" i="21" s="1"/>
  <c r="B171" i="43"/>
  <c r="E171" i="43" s="1"/>
  <c r="B69" i="34" s="1"/>
  <c r="B672" i="43"/>
  <c r="E672" i="43" s="1"/>
  <c r="I223" i="21" s="1"/>
  <c r="J223" i="21" s="1"/>
  <c r="B320" i="43"/>
  <c r="E320" i="43" s="1"/>
  <c r="E475" i="43"/>
  <c r="B379" i="34" s="1"/>
  <c r="B475" i="43"/>
  <c r="B282" i="43"/>
  <c r="E282" i="43" s="1"/>
  <c r="B140" i="43"/>
  <c r="E140" i="43" s="1"/>
  <c r="B158" i="43"/>
  <c r="E158" i="43" s="1"/>
  <c r="B372" i="43"/>
  <c r="E372" i="43" s="1"/>
  <c r="I38" i="18" s="1"/>
  <c r="J38" i="18" s="1"/>
  <c r="B676" i="43"/>
  <c r="E676" i="43" s="1"/>
  <c r="I227" i="21" s="1"/>
  <c r="B10" i="43"/>
  <c r="E10" i="43" s="1"/>
  <c r="B387" i="34" s="1"/>
  <c r="B192" i="43"/>
  <c r="E192" i="43" s="1"/>
  <c r="B394" i="43"/>
  <c r="E394" i="43" s="1"/>
  <c r="E11" i="43"/>
  <c r="I18" i="11" s="1"/>
  <c r="B11" i="43"/>
  <c r="B29" i="43"/>
  <c r="E29" i="43" s="1"/>
  <c r="B406" i="34" s="1"/>
  <c r="B45" i="43"/>
  <c r="E45" i="43" s="1"/>
  <c r="B61" i="43"/>
  <c r="E61" i="43" s="1"/>
  <c r="B77" i="43"/>
  <c r="E77" i="43" s="1"/>
  <c r="B93" i="43"/>
  <c r="E93" i="43" s="1"/>
  <c r="B109" i="43"/>
  <c r="E109" i="43" s="1"/>
  <c r="B486" i="34" s="1"/>
  <c r="B143" i="43"/>
  <c r="E143" i="43" s="1"/>
  <c r="B177" i="43"/>
  <c r="E177" i="43" s="1"/>
  <c r="I193" i="2" s="1"/>
  <c r="J193" i="2" s="1"/>
  <c r="B193" i="43"/>
  <c r="E193" i="43" s="1"/>
  <c r="B92" i="34" s="1"/>
  <c r="B210" i="43"/>
  <c r="E210" i="43" s="1"/>
  <c r="B227" i="43"/>
  <c r="E227" i="43" s="1"/>
  <c r="B125" i="34" s="1"/>
  <c r="B247" i="43"/>
  <c r="E247" i="43" s="1"/>
  <c r="B267" i="43"/>
  <c r="E267" i="43" s="1"/>
  <c r="B288" i="43"/>
  <c r="E288" i="43" s="1"/>
  <c r="B309" i="43"/>
  <c r="E309" i="43" s="1"/>
  <c r="B325" i="43"/>
  <c r="E325" i="43" s="1"/>
  <c r="B341" i="43"/>
  <c r="E341" i="43" s="1"/>
  <c r="I364" i="13" s="1"/>
  <c r="J364" i="13" s="1"/>
  <c r="B357" i="43"/>
  <c r="E357" i="43" s="1"/>
  <c r="I361" i="19" s="1"/>
  <c r="J361" i="19" s="1"/>
  <c r="B376" i="43"/>
  <c r="E376" i="43" s="1"/>
  <c r="B395" i="43"/>
  <c r="E395" i="43" s="1"/>
  <c r="B414" i="43"/>
  <c r="E414" i="43" s="1"/>
  <c r="B430" i="43"/>
  <c r="E430" i="43" s="1"/>
  <c r="B448" i="43"/>
  <c r="E448" i="43" s="1"/>
  <c r="B464" i="43"/>
  <c r="E464" i="43" s="1"/>
  <c r="B480" i="43"/>
  <c r="E480" i="43" s="1"/>
  <c r="B496" i="43"/>
  <c r="E496" i="43" s="1"/>
  <c r="B512" i="43"/>
  <c r="E512" i="43" s="1"/>
  <c r="E529" i="43"/>
  <c r="B554" i="34" s="1"/>
  <c r="B529" i="43"/>
  <c r="B593" i="43"/>
  <c r="E593" i="43" s="1"/>
  <c r="I135" i="21" s="1"/>
  <c r="J135" i="21" s="1"/>
  <c r="B614" i="43"/>
  <c r="E614" i="43" s="1"/>
  <c r="B644" i="34" s="1"/>
  <c r="E630" i="43"/>
  <c r="I180" i="21" s="1"/>
  <c r="B630" i="43"/>
  <c r="B646" i="43"/>
  <c r="E646" i="43" s="1"/>
  <c r="B662" i="43"/>
  <c r="E662" i="43" s="1"/>
  <c r="B12" i="43"/>
  <c r="E12" i="43" s="1"/>
  <c r="B30" i="43"/>
  <c r="E30" i="43" s="1"/>
  <c r="B46" i="43"/>
  <c r="E46" i="43" s="1"/>
  <c r="B62" i="43"/>
  <c r="E62" i="43" s="1"/>
  <c r="I70" i="15" s="1"/>
  <c r="B78" i="43"/>
  <c r="E78" i="43" s="1"/>
  <c r="B94" i="43"/>
  <c r="E94" i="43" s="1"/>
  <c r="B110" i="43"/>
  <c r="E110" i="43" s="1"/>
  <c r="B127" i="43"/>
  <c r="E127" i="43" s="1"/>
  <c r="B144" i="43"/>
  <c r="E144" i="43" s="1"/>
  <c r="E162" i="43"/>
  <c r="B60" i="34" s="1"/>
  <c r="B162" i="43"/>
  <c r="B178" i="43"/>
  <c r="E178" i="43" s="1"/>
  <c r="B194" i="43"/>
  <c r="E194" i="43" s="1"/>
  <c r="I211" i="15" s="1"/>
  <c r="J211" i="15" s="1"/>
  <c r="B211" i="43"/>
  <c r="E211" i="43" s="1"/>
  <c r="I229" i="2" s="1"/>
  <c r="E230" i="43"/>
  <c r="B230" i="43"/>
  <c r="B248" i="43"/>
  <c r="E248" i="43" s="1"/>
  <c r="B268" i="43"/>
  <c r="E268" i="43" s="1"/>
  <c r="B289" i="43"/>
  <c r="E289" i="43" s="1"/>
  <c r="I311" i="13" s="1"/>
  <c r="B310" i="43"/>
  <c r="E310" i="43" s="1"/>
  <c r="B326" i="43"/>
  <c r="E326" i="43" s="1"/>
  <c r="B342" i="43"/>
  <c r="E342" i="43" s="1"/>
  <c r="B358" i="43"/>
  <c r="E358" i="43" s="1"/>
  <c r="B261" i="34" s="1"/>
  <c r="E377" i="43"/>
  <c r="B377" i="43"/>
  <c r="B396" i="43"/>
  <c r="E396" i="43" s="1"/>
  <c r="I62" i="18" s="1"/>
  <c r="J62" i="18" s="1"/>
  <c r="B415" i="43"/>
  <c r="E415" i="43" s="1"/>
  <c r="E431" i="43"/>
  <c r="B335" i="34" s="1"/>
  <c r="B431" i="43"/>
  <c r="B449" i="43"/>
  <c r="E449" i="43" s="1"/>
  <c r="E465" i="43"/>
  <c r="B465" i="43"/>
  <c r="B481" i="43"/>
  <c r="E481" i="43" s="1"/>
  <c r="B497" i="43"/>
  <c r="E497" i="43" s="1"/>
  <c r="B513" i="43"/>
  <c r="E513" i="43" s="1"/>
  <c r="B530" i="43"/>
  <c r="E530" i="43" s="1"/>
  <c r="B594" i="43"/>
  <c r="E594" i="43" s="1"/>
  <c r="I139" i="21" s="1"/>
  <c r="J139" i="21" s="1"/>
  <c r="B615" i="43"/>
  <c r="E615" i="43" s="1"/>
  <c r="B631" i="43"/>
  <c r="E631" i="43" s="1"/>
  <c r="B647" i="43"/>
  <c r="E647" i="43" s="1"/>
  <c r="B663" i="43"/>
  <c r="E663" i="43" s="1"/>
  <c r="B18" i="43"/>
  <c r="E18" i="43" s="1"/>
  <c r="B395" i="34" s="1"/>
  <c r="B36" i="43"/>
  <c r="E36" i="43" s="1"/>
  <c r="B413" i="34" s="1"/>
  <c r="B84" i="43"/>
  <c r="E84" i="43" s="1"/>
  <c r="B100" i="43"/>
  <c r="E100" i="43" s="1"/>
  <c r="B477" i="34" s="1"/>
  <c r="B134" i="43"/>
  <c r="E134" i="43" s="1"/>
  <c r="I151" i="19" s="1"/>
  <c r="B257" i="43"/>
  <c r="E257" i="43" s="1"/>
  <c r="E348" i="43"/>
  <c r="B348" i="43"/>
  <c r="B455" i="43"/>
  <c r="E455" i="43" s="1"/>
  <c r="B19" i="43"/>
  <c r="E19" i="43" s="1"/>
  <c r="B53" i="43"/>
  <c r="E53" i="43" s="1"/>
  <c r="E69" i="43"/>
  <c r="B69" i="43"/>
  <c r="B85" i="43"/>
  <c r="E85" i="43" s="1"/>
  <c r="B462" i="34" s="1"/>
  <c r="B101" i="43"/>
  <c r="E101" i="43" s="1"/>
  <c r="B117" i="43"/>
  <c r="E117" i="43" s="1"/>
  <c r="I129" i="10" s="1"/>
  <c r="J129" i="10" s="1"/>
  <c r="B169" i="43"/>
  <c r="E169" i="43" s="1"/>
  <c r="B201" i="43"/>
  <c r="E201" i="43" s="1"/>
  <c r="B258" i="43"/>
  <c r="E258" i="43" s="1"/>
  <c r="B276" i="43"/>
  <c r="E276" i="43" s="1"/>
  <c r="B301" i="43"/>
  <c r="E301" i="43" s="1"/>
  <c r="B317" i="43"/>
  <c r="E317" i="43" s="1"/>
  <c r="B333" i="43"/>
  <c r="E333" i="43" s="1"/>
  <c r="B349" i="43"/>
  <c r="E349" i="43" s="1"/>
  <c r="I355" i="19" s="1"/>
  <c r="J355" i="19" s="1"/>
  <c r="B384" i="43"/>
  <c r="E384" i="43" s="1"/>
  <c r="B422" i="43"/>
  <c r="E422" i="43" s="1"/>
  <c r="B326" i="34" s="1"/>
  <c r="B456" i="43"/>
  <c r="E456" i="43" s="1"/>
  <c r="B360" i="34" s="1"/>
  <c r="B472" i="43"/>
  <c r="E472" i="43" s="1"/>
  <c r="B488" i="43"/>
  <c r="E488" i="43" s="1"/>
  <c r="I22" i="21" s="1"/>
  <c r="J22" i="21" s="1"/>
  <c r="B504" i="43"/>
  <c r="E504" i="43" s="1"/>
  <c r="I38" i="21" s="1"/>
  <c r="J38" i="21" s="1"/>
  <c r="B520" i="43"/>
  <c r="E520" i="43" s="1"/>
  <c r="I54" i="21" s="1"/>
  <c r="J54" i="21" s="1"/>
  <c r="B579" i="43"/>
  <c r="E579" i="43" s="1"/>
  <c r="B601" i="43"/>
  <c r="E601" i="43" s="1"/>
  <c r="B622" i="43"/>
  <c r="E622" i="43" s="1"/>
  <c r="B638" i="43"/>
  <c r="E638" i="43" s="1"/>
  <c r="B654" i="43"/>
  <c r="E654" i="43" s="1"/>
  <c r="B20" i="43"/>
  <c r="E20" i="43" s="1"/>
  <c r="B38" i="43"/>
  <c r="E38" i="43" s="1"/>
  <c r="I43" i="16" s="1"/>
  <c r="J43" i="16" s="1"/>
  <c r="B54" i="43"/>
  <c r="E54" i="43" s="1"/>
  <c r="B86" i="43"/>
  <c r="E86" i="43" s="1"/>
  <c r="B136" i="43"/>
  <c r="E136" i="43" s="1"/>
  <c r="B34" i="34" s="1"/>
  <c r="B170" i="43"/>
  <c r="E170" i="43" s="1"/>
  <c r="B259" i="43"/>
  <c r="E259" i="43" s="1"/>
  <c r="B277" i="43"/>
  <c r="E277" i="43" s="1"/>
  <c r="B302" i="43"/>
  <c r="E302" i="43" s="1"/>
  <c r="B334" i="43"/>
  <c r="E334" i="43" s="1"/>
  <c r="B366" i="43"/>
  <c r="E366" i="43" s="1"/>
  <c r="B404" i="43"/>
  <c r="E404" i="43" s="1"/>
  <c r="B457" i="43"/>
  <c r="E457" i="43" s="1"/>
  <c r="B489" i="43"/>
  <c r="E489" i="43" s="1"/>
  <c r="B514" i="34" s="1"/>
  <c r="B521" i="43"/>
  <c r="E521" i="43" s="1"/>
  <c r="E623" i="43"/>
  <c r="B623" i="43"/>
  <c r="B639" i="43"/>
  <c r="E639" i="43" s="1"/>
  <c r="B669" i="34" s="1"/>
  <c r="B655" i="43"/>
  <c r="E655" i="43" s="1"/>
  <c r="B21" i="43"/>
  <c r="E21" i="43" s="1"/>
  <c r="I28" i="2" s="1"/>
  <c r="B55" i="43"/>
  <c r="E55" i="43" s="1"/>
  <c r="I62" i="10" s="1"/>
  <c r="J62" i="10" s="1"/>
  <c r="B87" i="43"/>
  <c r="E87" i="43" s="1"/>
  <c r="B464" i="34" s="1"/>
  <c r="B103" i="43"/>
  <c r="E103" i="43" s="1"/>
  <c r="B480" i="34" s="1"/>
  <c r="B187" i="43"/>
  <c r="E187" i="43" s="1"/>
  <c r="B204" i="43"/>
  <c r="E204" i="43" s="1"/>
  <c r="B260" i="43"/>
  <c r="E260" i="43" s="1"/>
  <c r="B278" i="43"/>
  <c r="E278" i="43" s="1"/>
  <c r="B178" i="34" s="1"/>
  <c r="B303" i="43"/>
  <c r="E303" i="43" s="1"/>
  <c r="I305" i="2" s="1"/>
  <c r="B319" i="43"/>
  <c r="E319" i="43" s="1"/>
  <c r="B367" i="43"/>
  <c r="E367" i="43" s="1"/>
  <c r="B386" i="43"/>
  <c r="E386" i="43" s="1"/>
  <c r="B289" i="34" s="1"/>
  <c r="B408" i="43"/>
  <c r="E408" i="43" s="1"/>
  <c r="B424" i="43"/>
  <c r="E424" i="43" s="1"/>
  <c r="E458" i="43"/>
  <c r="I422" i="13" s="1"/>
  <c r="J422" i="13" s="1"/>
  <c r="B458" i="43"/>
  <c r="B490" i="43"/>
  <c r="E490" i="43" s="1"/>
  <c r="B506" i="43"/>
  <c r="E506" i="43" s="1"/>
  <c r="E522" i="43"/>
  <c r="B547" i="34" s="1"/>
  <c r="B522" i="43"/>
  <c r="B581" i="43"/>
  <c r="E581" i="43" s="1"/>
  <c r="B608" i="43"/>
  <c r="E608" i="43" s="1"/>
  <c r="B624" i="43"/>
  <c r="E624" i="43" s="1"/>
  <c r="B640" i="43"/>
  <c r="E640" i="43" s="1"/>
  <c r="B656" i="43"/>
  <c r="E656" i="43" s="1"/>
  <c r="B22" i="43"/>
  <c r="E22" i="43" s="1"/>
  <c r="B399" i="34" s="1"/>
  <c r="B40" i="43"/>
  <c r="E40" i="43" s="1"/>
  <c r="B72" i="43"/>
  <c r="E72" i="43" s="1"/>
  <c r="B104" i="43"/>
  <c r="E104" i="43" s="1"/>
  <c r="B120" i="43"/>
  <c r="E120" i="43" s="1"/>
  <c r="B172" i="43"/>
  <c r="E172" i="43" s="1"/>
  <c r="E241" i="43"/>
  <c r="B241" i="43"/>
  <c r="B262" i="43"/>
  <c r="E262" i="43" s="1"/>
  <c r="B279" i="43"/>
  <c r="E279" i="43" s="1"/>
  <c r="B352" i="43"/>
  <c r="E352" i="43" s="1"/>
  <c r="I356" i="15" s="1"/>
  <c r="J356" i="15" s="1"/>
  <c r="B387" i="43"/>
  <c r="E387" i="43" s="1"/>
  <c r="B409" i="43"/>
  <c r="E409" i="43" s="1"/>
  <c r="B443" i="43"/>
  <c r="E443" i="43" s="1"/>
  <c r="B507" i="43"/>
  <c r="E507" i="43" s="1"/>
  <c r="B586" i="43"/>
  <c r="E586" i="43" s="1"/>
  <c r="B616" i="34" s="1"/>
  <c r="E641" i="43"/>
  <c r="B641" i="43"/>
  <c r="B23" i="43"/>
  <c r="E23" i="43" s="1"/>
  <c r="B57" i="43"/>
  <c r="E57" i="43" s="1"/>
  <c r="B73" i="43"/>
  <c r="E73" i="43" s="1"/>
  <c r="B89" i="43"/>
  <c r="E89" i="43" s="1"/>
  <c r="I99" i="16" s="1"/>
  <c r="J99" i="16" s="1"/>
  <c r="B139" i="43"/>
  <c r="E139" i="43" s="1"/>
  <c r="I154" i="2" s="1"/>
  <c r="B156" i="43"/>
  <c r="E156" i="43" s="1"/>
  <c r="B173" i="43"/>
  <c r="E173" i="43" s="1"/>
  <c r="B189" i="43"/>
  <c r="E189" i="43" s="1"/>
  <c r="B223" i="43"/>
  <c r="E223" i="43" s="1"/>
  <c r="B242" i="43"/>
  <c r="E242" i="43" s="1"/>
  <c r="B263" i="43"/>
  <c r="E263" i="43" s="1"/>
  <c r="B305" i="43"/>
  <c r="E305" i="43" s="1"/>
  <c r="B321" i="43"/>
  <c r="E321" i="43" s="1"/>
  <c r="B337" i="43"/>
  <c r="E337" i="43" s="1"/>
  <c r="B353" i="43"/>
  <c r="E353" i="43" s="1"/>
  <c r="E370" i="43"/>
  <c r="B273" i="34" s="1"/>
  <c r="B370" i="43"/>
  <c r="B391" i="43"/>
  <c r="E391" i="43" s="1"/>
  <c r="B410" i="43"/>
  <c r="E410" i="43" s="1"/>
  <c r="B426" i="43"/>
  <c r="E426" i="43" s="1"/>
  <c r="B444" i="43"/>
  <c r="E444" i="43" s="1"/>
  <c r="B460" i="43"/>
  <c r="E460" i="43" s="1"/>
  <c r="B476" i="43"/>
  <c r="E476" i="43" s="1"/>
  <c r="B508" i="43"/>
  <c r="E508" i="43" s="1"/>
  <c r="B524" i="43"/>
  <c r="E524" i="43" s="1"/>
  <c r="B587" i="43"/>
  <c r="E587" i="43" s="1"/>
  <c r="B610" i="43"/>
  <c r="E610" i="43" s="1"/>
  <c r="B626" i="43"/>
  <c r="E626" i="43" s="1"/>
  <c r="B656" i="34" s="1"/>
  <c r="B642" i="43"/>
  <c r="E642" i="43" s="1"/>
  <c r="B658" i="43"/>
  <c r="E658" i="43" s="1"/>
  <c r="B674" i="43"/>
  <c r="E674" i="43" s="1"/>
  <c r="I225" i="21" s="1"/>
  <c r="J225" i="21" s="1"/>
  <c r="B24" i="43"/>
  <c r="E24" i="43" s="1"/>
  <c r="B401" i="34" s="1"/>
  <c r="B42" i="43"/>
  <c r="E42" i="43" s="1"/>
  <c r="B58" i="43"/>
  <c r="E58" i="43" s="1"/>
  <c r="B74" i="43"/>
  <c r="E74" i="43" s="1"/>
  <c r="B90" i="43"/>
  <c r="E90" i="43" s="1"/>
  <c r="B106" i="43"/>
  <c r="E106" i="43" s="1"/>
  <c r="I119" i="19" s="1"/>
  <c r="J119" i="19" s="1"/>
  <c r="B122" i="43"/>
  <c r="E122" i="43" s="1"/>
  <c r="I134" i="15" s="1"/>
  <c r="J134" i="15" s="1"/>
  <c r="B157" i="43"/>
  <c r="E157" i="43" s="1"/>
  <c r="B190" i="43"/>
  <c r="E190" i="43" s="1"/>
  <c r="B224" i="43"/>
  <c r="E224" i="43" s="1"/>
  <c r="B243" i="43"/>
  <c r="E243" i="43" s="1"/>
  <c r="E264" i="43"/>
  <c r="B163" i="34" s="1"/>
  <c r="B264" i="43"/>
  <c r="B285" i="43"/>
  <c r="E285" i="43" s="1"/>
  <c r="B306" i="43"/>
  <c r="E306" i="43" s="1"/>
  <c r="B322" i="43"/>
  <c r="E322" i="43" s="1"/>
  <c r="B338" i="43"/>
  <c r="E338" i="43" s="1"/>
  <c r="I361" i="11" s="1"/>
  <c r="J361" i="11" s="1"/>
  <c r="B354" i="43"/>
  <c r="E354" i="43" s="1"/>
  <c r="I358" i="16" s="1"/>
  <c r="J358" i="16" s="1"/>
  <c r="B371" i="43"/>
  <c r="E371" i="43" s="1"/>
  <c r="B274" i="34" s="1"/>
  <c r="B392" i="43"/>
  <c r="E392" i="43" s="1"/>
  <c r="B445" i="43"/>
  <c r="E445" i="43" s="1"/>
  <c r="B461" i="43"/>
  <c r="E461" i="43" s="1"/>
  <c r="B477" i="43"/>
  <c r="E477" i="43" s="1"/>
  <c r="B493" i="43"/>
  <c r="E493" i="43" s="1"/>
  <c r="B509" i="43"/>
  <c r="E509" i="43" s="1"/>
  <c r="B534" i="34" s="1"/>
  <c r="B525" i="43"/>
  <c r="E525" i="43" s="1"/>
  <c r="B588" i="43"/>
  <c r="E588" i="43" s="1"/>
  <c r="B611" i="43"/>
  <c r="E611" i="43" s="1"/>
  <c r="B627" i="43"/>
  <c r="E627" i="43" s="1"/>
  <c r="B643" i="43"/>
  <c r="E643" i="43" s="1"/>
  <c r="B659" i="43"/>
  <c r="E659" i="43" s="1"/>
  <c r="B675" i="43"/>
  <c r="E675" i="43" s="1"/>
  <c r="I226" i="21" s="1"/>
  <c r="J226" i="21" s="1"/>
  <c r="B9" i="43"/>
  <c r="E9" i="43" s="1"/>
  <c r="B386" i="34" s="1"/>
  <c r="B25" i="43"/>
  <c r="E25" i="43" s="1"/>
  <c r="B402" i="34" s="1"/>
  <c r="B43" i="43"/>
  <c r="E43" i="43" s="1"/>
  <c r="B59" i="43"/>
  <c r="E59" i="43" s="1"/>
  <c r="B436" i="34" s="1"/>
  <c r="B75" i="43"/>
  <c r="E75" i="43" s="1"/>
  <c r="B452" i="34" s="1"/>
  <c r="B91" i="43"/>
  <c r="E91" i="43" s="1"/>
  <c r="B468" i="34" s="1"/>
  <c r="B107" i="43"/>
  <c r="E107" i="43" s="1"/>
  <c r="B484" i="34" s="1"/>
  <c r="B123" i="43"/>
  <c r="E123" i="43" s="1"/>
  <c r="B500" i="34" s="1"/>
  <c r="B141" i="43"/>
  <c r="E141" i="43" s="1"/>
  <c r="B175" i="43"/>
  <c r="E175" i="43" s="1"/>
  <c r="B191" i="43"/>
  <c r="E191" i="43" s="1"/>
  <c r="B208" i="43"/>
  <c r="E208" i="43" s="1"/>
  <c r="B225" i="43"/>
  <c r="E225" i="43" s="1"/>
  <c r="B244" i="43"/>
  <c r="E244" i="43" s="1"/>
  <c r="B143" i="34" s="1"/>
  <c r="B265" i="43"/>
  <c r="E265" i="43" s="1"/>
  <c r="B307" i="43"/>
  <c r="E307" i="43" s="1"/>
  <c r="B206" i="34" s="1"/>
  <c r="B339" i="43"/>
  <c r="E339" i="43" s="1"/>
  <c r="I343" i="10" s="1"/>
  <c r="J343" i="10" s="1"/>
  <c r="B355" i="43"/>
  <c r="E355" i="43" s="1"/>
  <c r="B393" i="43"/>
  <c r="E393" i="43" s="1"/>
  <c r="B412" i="43"/>
  <c r="E412" i="43" s="1"/>
  <c r="B428" i="43"/>
  <c r="E428" i="43" s="1"/>
  <c r="B446" i="43"/>
  <c r="E446" i="43" s="1"/>
  <c r="B462" i="43"/>
  <c r="E462" i="43" s="1"/>
  <c r="B478" i="43"/>
  <c r="E478" i="43" s="1"/>
  <c r="B494" i="43"/>
  <c r="E494" i="43" s="1"/>
  <c r="B519" i="34" s="1"/>
  <c r="B510" i="43"/>
  <c r="E510" i="43" s="1"/>
  <c r="E527" i="43"/>
  <c r="B527" i="43"/>
  <c r="B589" i="43"/>
  <c r="E589" i="43" s="1"/>
  <c r="B612" i="43"/>
  <c r="E612" i="43" s="1"/>
  <c r="B628" i="43"/>
  <c r="E628" i="43" s="1"/>
  <c r="B644" i="43"/>
  <c r="E644" i="43" s="1"/>
  <c r="B660" i="43"/>
  <c r="E660" i="43" s="1"/>
  <c r="B28" i="43"/>
  <c r="E28" i="43" s="1"/>
  <c r="B405" i="34" s="1"/>
  <c r="B44" i="43"/>
  <c r="E44" i="43" s="1"/>
  <c r="B60" i="43"/>
  <c r="E60" i="43" s="1"/>
  <c r="B92" i="43"/>
  <c r="E92" i="43" s="1"/>
  <c r="B469" i="34" s="1"/>
  <c r="B108" i="43"/>
  <c r="E108" i="43" s="1"/>
  <c r="B485" i="34" s="1"/>
  <c r="B124" i="43"/>
  <c r="E124" i="43" s="1"/>
  <c r="B159" i="43"/>
  <c r="E159" i="43" s="1"/>
  <c r="B176" i="43"/>
  <c r="E176" i="43" s="1"/>
  <c r="B209" i="43"/>
  <c r="E209" i="43" s="1"/>
  <c r="B226" i="43"/>
  <c r="E226" i="43" s="1"/>
  <c r="E287" i="43"/>
  <c r="B287" i="43"/>
  <c r="B308" i="43"/>
  <c r="E308" i="43" s="1"/>
  <c r="B324" i="43"/>
  <c r="E324" i="43" s="1"/>
  <c r="B340" i="43"/>
  <c r="E340" i="43" s="1"/>
  <c r="B242" i="34" s="1"/>
  <c r="B373" i="43"/>
  <c r="E373" i="43" s="1"/>
  <c r="B276" i="34" s="1"/>
  <c r="B413" i="43"/>
  <c r="E413" i="43" s="1"/>
  <c r="I376" i="15" s="1"/>
  <c r="J376" i="15" s="1"/>
  <c r="B447" i="43"/>
  <c r="E447" i="43" s="1"/>
  <c r="B495" i="43"/>
  <c r="E495" i="43" s="1"/>
  <c r="B528" i="43"/>
  <c r="E528" i="43" s="1"/>
  <c r="B592" i="43"/>
  <c r="E592" i="43" s="1"/>
  <c r="B629" i="43"/>
  <c r="E629" i="43" s="1"/>
  <c r="B645" i="43"/>
  <c r="E645" i="43" s="1"/>
  <c r="B677" i="43"/>
  <c r="E677" i="43" s="1"/>
  <c r="I228" i="21" s="1"/>
  <c r="J228" i="21" s="1"/>
  <c r="B31" i="43"/>
  <c r="E31" i="43" s="1"/>
  <c r="B79" i="43"/>
  <c r="E79" i="43" s="1"/>
  <c r="B456" i="34" s="1"/>
  <c r="B129" i="43"/>
  <c r="E129" i="43" s="1"/>
  <c r="B212" i="43"/>
  <c r="E212" i="43" s="1"/>
  <c r="B343" i="43"/>
  <c r="E343" i="43" s="1"/>
  <c r="B14" i="43"/>
  <c r="E14" i="43" s="1"/>
  <c r="B32" i="43"/>
  <c r="E32" i="43" s="1"/>
  <c r="B48" i="43"/>
  <c r="E48" i="43" s="1"/>
  <c r="B425" i="34" s="1"/>
  <c r="B64" i="43"/>
  <c r="E64" i="43" s="1"/>
  <c r="B441" i="34" s="1"/>
  <c r="B80" i="43"/>
  <c r="E80" i="43" s="1"/>
  <c r="B457" i="34" s="1"/>
  <c r="B96" i="43"/>
  <c r="E96" i="43" s="1"/>
  <c r="B130" i="43"/>
  <c r="E130" i="43" s="1"/>
  <c r="B146" i="43"/>
  <c r="E146" i="43" s="1"/>
  <c r="B44" i="34" s="1"/>
  <c r="B180" i="43"/>
  <c r="E180" i="43" s="1"/>
  <c r="I196" i="2" s="1"/>
  <c r="B196" i="43"/>
  <c r="E196" i="43" s="1"/>
  <c r="B214" i="43"/>
  <c r="E214" i="43" s="1"/>
  <c r="I232" i="15" s="1"/>
  <c r="B232" i="43"/>
  <c r="E232" i="43" s="1"/>
  <c r="B252" i="43"/>
  <c r="E252" i="43" s="1"/>
  <c r="B271" i="43"/>
  <c r="E271" i="43" s="1"/>
  <c r="B171" i="34" s="1"/>
  <c r="E291" i="43"/>
  <c r="B291" i="43"/>
  <c r="B312" i="43"/>
  <c r="E312" i="43" s="1"/>
  <c r="B328" i="43"/>
  <c r="E328" i="43" s="1"/>
  <c r="I331" i="15" s="1"/>
  <c r="B344" i="43"/>
  <c r="E344" i="43" s="1"/>
  <c r="B360" i="43"/>
  <c r="E360" i="43" s="1"/>
  <c r="B263" i="34" s="1"/>
  <c r="B379" i="43"/>
  <c r="E379" i="43" s="1"/>
  <c r="B398" i="43"/>
  <c r="E398" i="43" s="1"/>
  <c r="B417" i="43"/>
  <c r="E417" i="43" s="1"/>
  <c r="B433" i="43"/>
  <c r="E433" i="43" s="1"/>
  <c r="B337" i="34" s="1"/>
  <c r="B451" i="43"/>
  <c r="E451" i="43" s="1"/>
  <c r="B467" i="43"/>
  <c r="E467" i="43" s="1"/>
  <c r="B483" i="43"/>
  <c r="E483" i="43" s="1"/>
  <c r="B499" i="43"/>
  <c r="E499" i="43" s="1"/>
  <c r="B524" i="34" s="1"/>
  <c r="B515" i="43"/>
  <c r="E515" i="43" s="1"/>
  <c r="B533" i="43"/>
  <c r="E533" i="43" s="1"/>
  <c r="E596" i="43"/>
  <c r="B626" i="34" s="1"/>
  <c r="B596" i="43"/>
  <c r="E617" i="43"/>
  <c r="B617" i="43"/>
  <c r="B633" i="43"/>
  <c r="E633" i="43" s="1"/>
  <c r="E649" i="43"/>
  <c r="B649" i="43"/>
  <c r="B665" i="43"/>
  <c r="E665" i="43" s="1"/>
  <c r="I216" i="21" s="1"/>
  <c r="J216" i="21" s="1"/>
  <c r="B15" i="43"/>
  <c r="E15" i="43" s="1"/>
  <c r="B392" i="34" s="1"/>
  <c r="B33" i="43"/>
  <c r="E33" i="43" s="1"/>
  <c r="B410" i="34" s="1"/>
  <c r="B49" i="43"/>
  <c r="E49" i="43" s="1"/>
  <c r="B426" i="34" s="1"/>
  <c r="B65" i="43"/>
  <c r="E65" i="43" s="1"/>
  <c r="I75" i="19" s="1"/>
  <c r="B81" i="43"/>
  <c r="E81" i="43" s="1"/>
  <c r="B97" i="43"/>
  <c r="E97" i="43" s="1"/>
  <c r="B113" i="43"/>
  <c r="E113" i="43" s="1"/>
  <c r="I124" i="15" s="1"/>
  <c r="J124" i="15" s="1"/>
  <c r="B131" i="43"/>
  <c r="E131" i="43" s="1"/>
  <c r="B147" i="43"/>
  <c r="E147" i="43" s="1"/>
  <c r="B181" i="43"/>
  <c r="E181" i="43" s="1"/>
  <c r="B197" i="43"/>
  <c r="E197" i="43" s="1"/>
  <c r="B215" i="43"/>
  <c r="E215" i="43" s="1"/>
  <c r="I233" i="16" s="1"/>
  <c r="B233" i="43"/>
  <c r="E233" i="43" s="1"/>
  <c r="B253" i="43"/>
  <c r="E253" i="43" s="1"/>
  <c r="B272" i="43"/>
  <c r="E272" i="43" s="1"/>
  <c r="B295" i="43"/>
  <c r="E295" i="43" s="1"/>
  <c r="I315" i="11" s="1"/>
  <c r="B313" i="43"/>
  <c r="E313" i="43" s="1"/>
  <c r="B329" i="43"/>
  <c r="E329" i="43" s="1"/>
  <c r="B345" i="43"/>
  <c r="E345" i="43" s="1"/>
  <c r="B361" i="43"/>
  <c r="E361" i="43" s="1"/>
  <c r="E380" i="43"/>
  <c r="B283" i="34" s="1"/>
  <c r="B380" i="43"/>
  <c r="B399" i="43"/>
  <c r="E399" i="43" s="1"/>
  <c r="B418" i="43"/>
  <c r="E418" i="43" s="1"/>
  <c r="B434" i="43"/>
  <c r="E434" i="43" s="1"/>
  <c r="B452" i="43"/>
  <c r="E452" i="43" s="1"/>
  <c r="B468" i="43"/>
  <c r="E468" i="43" s="1"/>
  <c r="B484" i="43"/>
  <c r="E484" i="43" s="1"/>
  <c r="I18" i="21" s="1"/>
  <c r="J18" i="21" s="1"/>
  <c r="E500" i="43"/>
  <c r="B525" i="34" s="1"/>
  <c r="B500" i="43"/>
  <c r="B516" i="43"/>
  <c r="E516" i="43" s="1"/>
  <c r="B534" i="43"/>
  <c r="E534" i="43" s="1"/>
  <c r="B597" i="43"/>
  <c r="E597" i="43" s="1"/>
  <c r="B618" i="43"/>
  <c r="E618" i="43" s="1"/>
  <c r="B634" i="43"/>
  <c r="E634" i="43" s="1"/>
  <c r="B650" i="43"/>
  <c r="E650" i="43" s="1"/>
  <c r="B666" i="43"/>
  <c r="E666" i="43" s="1"/>
  <c r="B52" i="43"/>
  <c r="E52" i="43" s="1"/>
  <c r="B429" i="34" s="1"/>
  <c r="E116" i="43"/>
  <c r="B493" i="34" s="1"/>
  <c r="B116" i="43"/>
  <c r="B236" i="43"/>
  <c r="E236" i="43" s="1"/>
  <c r="B298" i="43"/>
  <c r="E298" i="43" s="1"/>
  <c r="I319" i="13" s="1"/>
  <c r="B332" i="43"/>
  <c r="E332" i="43" s="1"/>
  <c r="B234" i="34" s="1"/>
  <c r="B383" i="43"/>
  <c r="E383" i="43" s="1"/>
  <c r="B421" i="43"/>
  <c r="E421" i="43" s="1"/>
  <c r="B471" i="43"/>
  <c r="E471" i="43" s="1"/>
  <c r="B503" i="43"/>
  <c r="E503" i="43" s="1"/>
  <c r="B578" i="43"/>
  <c r="E578" i="43" s="1"/>
  <c r="B621" i="43"/>
  <c r="E621" i="43" s="1"/>
  <c r="B653" i="43"/>
  <c r="E653" i="43" s="1"/>
  <c r="B37" i="43"/>
  <c r="E37" i="43" s="1"/>
  <c r="B237" i="43"/>
  <c r="E237" i="43" s="1"/>
  <c r="B439" i="43"/>
  <c r="E439" i="43" s="1"/>
  <c r="B118" i="43"/>
  <c r="E118" i="43" s="1"/>
  <c r="B220" i="43"/>
  <c r="E220" i="43" s="1"/>
  <c r="B350" i="43"/>
  <c r="E350" i="43" s="1"/>
  <c r="B252" i="34" s="1"/>
  <c r="B441" i="43"/>
  <c r="E441" i="43" s="1"/>
  <c r="B505" i="43"/>
  <c r="E505" i="43" s="1"/>
  <c r="B607" i="43"/>
  <c r="E607" i="43" s="1"/>
  <c r="B637" i="34" s="1"/>
  <c r="B39" i="43"/>
  <c r="E39" i="43" s="1"/>
  <c r="B416" i="34" s="1"/>
  <c r="B119" i="43"/>
  <c r="E119" i="43" s="1"/>
  <c r="I131" i="10" s="1"/>
  <c r="J131" i="10" s="1"/>
  <c r="B240" i="43"/>
  <c r="E240" i="43" s="1"/>
  <c r="I261" i="11" s="1"/>
  <c r="E351" i="43"/>
  <c r="B351" i="43"/>
  <c r="B474" i="43"/>
  <c r="E474" i="43" s="1"/>
  <c r="B56" i="43"/>
  <c r="E56" i="43" s="1"/>
  <c r="B188" i="43"/>
  <c r="E188" i="43" s="1"/>
  <c r="B336" i="43"/>
  <c r="E336" i="43" s="1"/>
  <c r="B459" i="43"/>
  <c r="E459" i="43" s="1"/>
  <c r="B673" i="43"/>
  <c r="E673" i="43" s="1"/>
  <c r="I224" i="21" s="1"/>
  <c r="J224" i="21" s="1"/>
  <c r="B121" i="43"/>
  <c r="E121" i="43" s="1"/>
  <c r="B498" i="34" s="1"/>
  <c r="B492" i="43"/>
  <c r="E492" i="43" s="1"/>
  <c r="B411" i="43"/>
  <c r="E411" i="43" s="1"/>
  <c r="B286" i="43"/>
  <c r="E286" i="43" s="1"/>
  <c r="B76" i="43"/>
  <c r="E76" i="43" s="1"/>
  <c r="B245" i="43"/>
  <c r="E245" i="43" s="1"/>
  <c r="B661" i="43"/>
  <c r="E661" i="43" s="1"/>
  <c r="B47" i="43"/>
  <c r="E47" i="43" s="1"/>
  <c r="B424" i="34" s="1"/>
  <c r="B95" i="43"/>
  <c r="E95" i="43" s="1"/>
  <c r="B472" i="34" s="1"/>
  <c r="B145" i="43"/>
  <c r="E145" i="43" s="1"/>
  <c r="I160" i="16" s="1"/>
  <c r="B195" i="43"/>
  <c r="E195" i="43" s="1"/>
  <c r="B249" i="43"/>
  <c r="E249" i="43" s="1"/>
  <c r="B148" i="34" s="1"/>
  <c r="B290" i="43"/>
  <c r="E290" i="43" s="1"/>
  <c r="I292" i="15" s="1"/>
  <c r="E327" i="43"/>
  <c r="B327" i="43"/>
  <c r="B378" i="43"/>
  <c r="E378" i="43" s="1"/>
  <c r="B397" i="43"/>
  <c r="E397" i="43" s="1"/>
  <c r="B432" i="43"/>
  <c r="E432" i="43" s="1"/>
  <c r="B450" i="43"/>
  <c r="E450" i="43" s="1"/>
  <c r="E482" i="43"/>
  <c r="B482" i="43"/>
  <c r="B514" i="43"/>
  <c r="E514" i="43" s="1"/>
  <c r="B595" i="43"/>
  <c r="E595" i="43" s="1"/>
  <c r="I140" i="21" s="1"/>
  <c r="J140" i="21" s="1"/>
  <c r="B632" i="43"/>
  <c r="E632" i="43" s="1"/>
  <c r="B664" i="43"/>
  <c r="E664" i="43" s="1"/>
  <c r="B16" i="43"/>
  <c r="E16" i="43" s="1"/>
  <c r="B393" i="34" s="1"/>
  <c r="B34" i="43"/>
  <c r="E34" i="43" s="1"/>
  <c r="I39" i="11" s="1"/>
  <c r="B50" i="43"/>
  <c r="E50" i="43" s="1"/>
  <c r="B66" i="43"/>
  <c r="E66" i="43" s="1"/>
  <c r="B82" i="43"/>
  <c r="E82" i="43" s="1"/>
  <c r="B98" i="43"/>
  <c r="E98" i="43" s="1"/>
  <c r="B114" i="43"/>
  <c r="E114" i="43" s="1"/>
  <c r="B132" i="43"/>
  <c r="E132" i="43" s="1"/>
  <c r="B30" i="34" s="1"/>
  <c r="B148" i="43"/>
  <c r="E148" i="43" s="1"/>
  <c r="B46" i="34" s="1"/>
  <c r="B182" i="43"/>
  <c r="E182" i="43" s="1"/>
  <c r="B198" i="43"/>
  <c r="E198" i="43" s="1"/>
  <c r="B216" i="43"/>
  <c r="E216" i="43" s="1"/>
  <c r="B234" i="43"/>
  <c r="E234" i="43" s="1"/>
  <c r="B254" i="43"/>
  <c r="E254" i="43" s="1"/>
  <c r="I275" i="16" s="1"/>
  <c r="B273" i="43"/>
  <c r="E273" i="43" s="1"/>
  <c r="B173" i="34" s="1"/>
  <c r="B296" i="43"/>
  <c r="E296" i="43" s="1"/>
  <c r="B314" i="43"/>
  <c r="E314" i="43" s="1"/>
  <c r="B330" i="43"/>
  <c r="E330" i="43" s="1"/>
  <c r="B346" i="43"/>
  <c r="E346" i="43" s="1"/>
  <c r="B248" i="34" s="1"/>
  <c r="B362" i="43"/>
  <c r="E362" i="43" s="1"/>
  <c r="I28" i="18" s="1"/>
  <c r="J28" i="18" s="1"/>
  <c r="B381" i="43"/>
  <c r="E381" i="43" s="1"/>
  <c r="E400" i="43"/>
  <c r="B400" i="43"/>
  <c r="B419" i="43"/>
  <c r="E419" i="43" s="1"/>
  <c r="B435" i="43"/>
  <c r="E435" i="43" s="1"/>
  <c r="B453" i="43"/>
  <c r="E453" i="43" s="1"/>
  <c r="B469" i="43"/>
  <c r="E469" i="43" s="1"/>
  <c r="B485" i="43"/>
  <c r="E485" i="43" s="1"/>
  <c r="B501" i="43"/>
  <c r="E501" i="43" s="1"/>
  <c r="B526" i="34" s="1"/>
  <c r="B517" i="43"/>
  <c r="E517" i="43" s="1"/>
  <c r="B542" i="34" s="1"/>
  <c r="B576" i="43"/>
  <c r="E576" i="43" s="1"/>
  <c r="B601" i="34" s="1"/>
  <c r="B598" i="43"/>
  <c r="E598" i="43" s="1"/>
  <c r="B628" i="34" s="1"/>
  <c r="B619" i="43"/>
  <c r="E619" i="43" s="1"/>
  <c r="B649" i="34" s="1"/>
  <c r="B635" i="43"/>
  <c r="E635" i="43" s="1"/>
  <c r="B665" i="34" s="1"/>
  <c r="B651" i="43"/>
  <c r="E651" i="43" s="1"/>
  <c r="B667" i="43"/>
  <c r="E667" i="43" s="1"/>
  <c r="B68" i="43"/>
  <c r="E68" i="43" s="1"/>
  <c r="B150" i="43"/>
  <c r="E150" i="43" s="1"/>
  <c r="I166" i="2" s="1"/>
  <c r="B275" i="43"/>
  <c r="E275" i="43" s="1"/>
  <c r="B316" i="43"/>
  <c r="E316" i="43" s="1"/>
  <c r="I318" i="10" s="1"/>
  <c r="J318" i="10" s="1"/>
  <c r="B364" i="43"/>
  <c r="E364" i="43" s="1"/>
  <c r="B402" i="43"/>
  <c r="E402" i="43" s="1"/>
  <c r="B438" i="43"/>
  <c r="E438" i="43" s="1"/>
  <c r="B487" i="43"/>
  <c r="E487" i="43" s="1"/>
  <c r="B519" i="43"/>
  <c r="E519" i="43" s="1"/>
  <c r="B600" i="43"/>
  <c r="E600" i="43" s="1"/>
  <c r="B637" i="43"/>
  <c r="E637" i="43" s="1"/>
  <c r="I188" i="21" s="1"/>
  <c r="J188" i="21" s="1"/>
  <c r="B135" i="43"/>
  <c r="E135" i="43" s="1"/>
  <c r="B365" i="43"/>
  <c r="E365" i="43" s="1"/>
  <c r="B102" i="43"/>
  <c r="E102" i="43" s="1"/>
  <c r="B202" i="43"/>
  <c r="E202" i="43" s="1"/>
  <c r="B102" i="34" s="1"/>
  <c r="B318" i="43"/>
  <c r="E318" i="43" s="1"/>
  <c r="I321" i="16" s="1"/>
  <c r="B423" i="43"/>
  <c r="E423" i="43" s="1"/>
  <c r="I387" i="13" s="1"/>
  <c r="J387" i="13" s="1"/>
  <c r="B473" i="43"/>
  <c r="E473" i="43" s="1"/>
  <c r="B580" i="43"/>
  <c r="E580" i="43" s="1"/>
  <c r="B71" i="43"/>
  <c r="E71" i="43" s="1"/>
  <c r="B137" i="43"/>
  <c r="E137" i="43" s="1"/>
  <c r="B221" i="43"/>
  <c r="E221" i="43" s="1"/>
  <c r="B335" i="43"/>
  <c r="E335" i="43" s="1"/>
  <c r="B442" i="43"/>
  <c r="E442" i="43" s="1"/>
  <c r="B88" i="43"/>
  <c r="E88" i="43" s="1"/>
  <c r="B138" i="43"/>
  <c r="E138" i="43" s="1"/>
  <c r="I153" i="2" s="1"/>
  <c r="B222" i="43"/>
  <c r="E222" i="43" s="1"/>
  <c r="B120" i="34" s="1"/>
  <c r="B304" i="43"/>
  <c r="E304" i="43" s="1"/>
  <c r="B368" i="43"/>
  <c r="E368" i="43" s="1"/>
  <c r="B425" i="43"/>
  <c r="E425" i="43" s="1"/>
  <c r="B491" i="43"/>
  <c r="E491" i="43" s="1"/>
  <c r="B523" i="43"/>
  <c r="E523" i="43" s="1"/>
  <c r="E609" i="43"/>
  <c r="B609" i="43"/>
  <c r="B625" i="43"/>
  <c r="E625" i="43" s="1"/>
  <c r="B655" i="34" s="1"/>
  <c r="B657" i="43"/>
  <c r="E657" i="43" s="1"/>
  <c r="B41" i="43"/>
  <c r="E41" i="43" s="1"/>
  <c r="B174" i="43"/>
  <c r="E174" i="43" s="1"/>
  <c r="B427" i="43"/>
  <c r="E427" i="43" s="1"/>
  <c r="B323" i="43"/>
  <c r="E323" i="43" s="1"/>
  <c r="B142" i="43"/>
  <c r="E142" i="43" s="1"/>
  <c r="E266" i="43"/>
  <c r="I288" i="13" s="1"/>
  <c r="B266" i="43"/>
  <c r="B356" i="43"/>
  <c r="E356" i="43" s="1"/>
  <c r="B429" i="43"/>
  <c r="E429" i="43" s="1"/>
  <c r="I393" i="11" s="1"/>
  <c r="J393" i="11" s="1"/>
  <c r="B463" i="43"/>
  <c r="E463" i="43" s="1"/>
  <c r="B367" i="34" s="1"/>
  <c r="B479" i="43"/>
  <c r="E479" i="43" s="1"/>
  <c r="B511" i="43"/>
  <c r="E511" i="43" s="1"/>
  <c r="B536" i="34" s="1"/>
  <c r="B613" i="43"/>
  <c r="E613" i="43" s="1"/>
  <c r="B643" i="34" s="1"/>
  <c r="B13" i="43"/>
  <c r="E13" i="43" s="1"/>
  <c r="I20" i="15" s="1"/>
  <c r="B63" i="43"/>
  <c r="E63" i="43" s="1"/>
  <c r="B440" i="34" s="1"/>
  <c r="B111" i="43"/>
  <c r="E111" i="43" s="1"/>
  <c r="B488" i="34" s="1"/>
  <c r="B179" i="43"/>
  <c r="E179" i="43" s="1"/>
  <c r="B231" i="43"/>
  <c r="E231" i="43" s="1"/>
  <c r="B270" i="43"/>
  <c r="E270" i="43" s="1"/>
  <c r="B311" i="43"/>
  <c r="E311" i="43" s="1"/>
  <c r="B359" i="43"/>
  <c r="E359" i="43" s="1"/>
  <c r="B416" i="43"/>
  <c r="E416" i="43" s="1"/>
  <c r="B466" i="43"/>
  <c r="E466" i="43" s="1"/>
  <c r="B498" i="43"/>
  <c r="E498" i="43" s="1"/>
  <c r="B532" i="43"/>
  <c r="E532" i="43" s="1"/>
  <c r="B616" i="43"/>
  <c r="E616" i="43" s="1"/>
  <c r="I166" i="21" s="1"/>
  <c r="J166" i="21" s="1"/>
  <c r="B648" i="43"/>
  <c r="E648" i="43" s="1"/>
  <c r="B112" i="43"/>
  <c r="E112" i="43" s="1"/>
  <c r="B17" i="43"/>
  <c r="E17" i="43" s="1"/>
  <c r="B35" i="43"/>
  <c r="E35" i="43" s="1"/>
  <c r="B51" i="43"/>
  <c r="E51" i="43" s="1"/>
  <c r="B67" i="43"/>
  <c r="E67" i="43" s="1"/>
  <c r="B444" i="34" s="1"/>
  <c r="E83" i="43"/>
  <c r="B460" i="34" s="1"/>
  <c r="B83" i="43"/>
  <c r="B99" i="43"/>
  <c r="E99" i="43" s="1"/>
  <c r="B476" i="34" s="1"/>
  <c r="B115" i="43"/>
  <c r="E115" i="43" s="1"/>
  <c r="B492" i="34" s="1"/>
  <c r="B133" i="43"/>
  <c r="E133" i="43" s="1"/>
  <c r="B149" i="43"/>
  <c r="E149" i="43" s="1"/>
  <c r="B199" i="43"/>
  <c r="E199" i="43" s="1"/>
  <c r="B235" i="43"/>
  <c r="E235" i="43" s="1"/>
  <c r="B256" i="43"/>
  <c r="E256" i="43" s="1"/>
  <c r="I277" i="16" s="1"/>
  <c r="B274" i="43"/>
  <c r="E274" i="43" s="1"/>
  <c r="B297" i="43"/>
  <c r="E297" i="43" s="1"/>
  <c r="B315" i="43"/>
  <c r="E315" i="43" s="1"/>
  <c r="I319" i="19" s="1"/>
  <c r="J319" i="19" s="1"/>
  <c r="B331" i="43"/>
  <c r="E331" i="43" s="1"/>
  <c r="B233" i="34" s="1"/>
  <c r="B347" i="43"/>
  <c r="E347" i="43" s="1"/>
  <c r="B363" i="43"/>
  <c r="E363" i="43" s="1"/>
  <c r="B382" i="43"/>
  <c r="E382" i="43" s="1"/>
  <c r="B401" i="43"/>
  <c r="E401" i="43" s="1"/>
  <c r="B420" i="43"/>
  <c r="E420" i="43" s="1"/>
  <c r="B437" i="43"/>
  <c r="E437" i="43" s="1"/>
  <c r="I401" i="11" s="1"/>
  <c r="J401" i="11" s="1"/>
  <c r="B454" i="43"/>
  <c r="E454" i="43" s="1"/>
  <c r="B470" i="43"/>
  <c r="E470" i="43" s="1"/>
  <c r="B486" i="43"/>
  <c r="E486" i="43" s="1"/>
  <c r="B502" i="43"/>
  <c r="E502" i="43" s="1"/>
  <c r="E518" i="43"/>
  <c r="B543" i="34" s="1"/>
  <c r="B518" i="43"/>
  <c r="B577" i="43"/>
  <c r="E577" i="43" s="1"/>
  <c r="B599" i="43"/>
  <c r="E599" i="43" s="1"/>
  <c r="B620" i="43"/>
  <c r="E620" i="43" s="1"/>
  <c r="B636" i="43"/>
  <c r="E636" i="43" s="1"/>
  <c r="B652" i="43"/>
  <c r="E652" i="43" s="1"/>
  <c r="B668" i="43"/>
  <c r="E668" i="43" s="1"/>
  <c r="I219" i="21" s="1"/>
  <c r="J219" i="21" s="1"/>
  <c r="E185" i="43"/>
  <c r="B185" i="43"/>
  <c r="B184" i="43"/>
  <c r="E184" i="43" s="1"/>
  <c r="B183" i="43"/>
  <c r="E183" i="43" s="1"/>
  <c r="B217" i="43"/>
  <c r="E217" i="43" s="1"/>
  <c r="B218" i="43"/>
  <c r="E218" i="43" s="1"/>
  <c r="B219" i="43"/>
  <c r="E219" i="43" s="1"/>
  <c r="B238" i="43"/>
  <c r="E238" i="43" s="1"/>
  <c r="B207" i="43"/>
  <c r="E207" i="43" s="1"/>
  <c r="B206" i="43"/>
  <c r="E206" i="43" s="1"/>
  <c r="B205" i="43"/>
  <c r="E205" i="43" s="1"/>
  <c r="B160" i="43"/>
  <c r="E160" i="43" s="1"/>
  <c r="F176" i="2"/>
  <c r="B166" i="43"/>
  <c r="E166" i="43" s="1"/>
  <c r="B165" i="43"/>
  <c r="E165" i="43" s="1"/>
  <c r="B164" i="43"/>
  <c r="E164" i="43" s="1"/>
  <c r="B163" i="43"/>
  <c r="E163" i="43" s="1"/>
  <c r="B155" i="43"/>
  <c r="E155" i="43" s="1"/>
  <c r="B154" i="43"/>
  <c r="E154" i="43" s="1"/>
  <c r="B153" i="43"/>
  <c r="E153" i="43" s="1"/>
  <c r="B152" i="43"/>
  <c r="E152" i="43" s="1"/>
  <c r="B168" i="43"/>
  <c r="E168" i="43" s="1"/>
  <c r="B167" i="43"/>
  <c r="E167" i="43" s="1"/>
  <c r="I134" i="21"/>
  <c r="J134" i="21" s="1"/>
  <c r="I26" i="10"/>
  <c r="I26" i="11"/>
  <c r="I26" i="2"/>
  <c r="I26" i="19"/>
  <c r="I26" i="13"/>
  <c r="I68" i="10"/>
  <c r="J68" i="10" s="1"/>
  <c r="I112" i="10"/>
  <c r="J112" i="10" s="1"/>
  <c r="I112" i="11"/>
  <c r="J112" i="11" s="1"/>
  <c r="B167" i="34"/>
  <c r="I289" i="13"/>
  <c r="I289" i="11"/>
  <c r="B287" i="34"/>
  <c r="I50" i="18"/>
  <c r="J50" i="18" s="1"/>
  <c r="I386" i="11"/>
  <c r="J386" i="11" s="1"/>
  <c r="I386" i="13"/>
  <c r="J386" i="13" s="1"/>
  <c r="B505" i="34"/>
  <c r="I14" i="21"/>
  <c r="J14" i="21" s="1"/>
  <c r="B513" i="34"/>
  <c r="B529" i="34"/>
  <c r="B545" i="34"/>
  <c r="I164" i="21"/>
  <c r="J164" i="21" s="1"/>
  <c r="B652" i="34"/>
  <c r="I172" i="21"/>
  <c r="J172" i="21" s="1"/>
  <c r="B660" i="34"/>
  <c r="B692" i="34"/>
  <c r="I213" i="21"/>
  <c r="J213" i="21" s="1"/>
  <c r="I19" i="15"/>
  <c r="I35" i="13"/>
  <c r="J35" i="13" s="1"/>
  <c r="I37" i="19"/>
  <c r="J37" i="19" s="1"/>
  <c r="I80" i="19"/>
  <c r="I78" i="10"/>
  <c r="I78" i="11"/>
  <c r="I78" i="13"/>
  <c r="I86" i="13"/>
  <c r="I86" i="16"/>
  <c r="I86" i="2"/>
  <c r="I113" i="15"/>
  <c r="J113" i="15" s="1"/>
  <c r="I113" i="16"/>
  <c r="J113" i="16" s="1"/>
  <c r="I113" i="13"/>
  <c r="J113" i="13" s="1"/>
  <c r="I113" i="2"/>
  <c r="J113" i="2" s="1"/>
  <c r="I130" i="11"/>
  <c r="J130" i="11" s="1"/>
  <c r="I130" i="13"/>
  <c r="J130" i="13" s="1"/>
  <c r="I130" i="10"/>
  <c r="J130" i="10" s="1"/>
  <c r="I15" i="18"/>
  <c r="J15" i="18" s="1"/>
  <c r="I130" i="2"/>
  <c r="J130" i="2" s="1"/>
  <c r="B26" i="34"/>
  <c r="I142" i="15"/>
  <c r="I142" i="16"/>
  <c r="I144" i="19"/>
  <c r="I142" i="2"/>
  <c r="I151" i="15"/>
  <c r="J151" i="15" s="1"/>
  <c r="I151" i="10"/>
  <c r="I151" i="16"/>
  <c r="I153" i="19"/>
  <c r="I151" i="13"/>
  <c r="J151" i="13" s="1"/>
  <c r="I151" i="11"/>
  <c r="I151" i="2"/>
  <c r="J151" i="2" s="1"/>
  <c r="B42" i="34"/>
  <c r="I159" i="15"/>
  <c r="I159" i="16"/>
  <c r="I159" i="10"/>
  <c r="I178" i="16"/>
  <c r="I180" i="19"/>
  <c r="I178" i="13"/>
  <c r="I178" i="10"/>
  <c r="I178" i="15"/>
  <c r="I178" i="11"/>
  <c r="I178" i="2"/>
  <c r="I186" i="2"/>
  <c r="B84" i="34"/>
  <c r="I202" i="2"/>
  <c r="I251" i="16"/>
  <c r="I251" i="13"/>
  <c r="B158" i="34"/>
  <c r="I280" i="15"/>
  <c r="J280" i="15" s="1"/>
  <c r="I280" i="10"/>
  <c r="I280" i="16"/>
  <c r="I280" i="13"/>
  <c r="I282" i="19"/>
  <c r="I280" i="11"/>
  <c r="I280" i="2"/>
  <c r="I298" i="10"/>
  <c r="I298" i="16"/>
  <c r="I298" i="15"/>
  <c r="I317" i="11"/>
  <c r="B236" i="34"/>
  <c r="I338" i="16"/>
  <c r="J338" i="16" s="1"/>
  <c r="I338" i="15"/>
  <c r="J338" i="15" s="1"/>
  <c r="I338" i="10"/>
  <c r="J338" i="10" s="1"/>
  <c r="I357" i="13"/>
  <c r="J357" i="13" s="1"/>
  <c r="I340" i="19"/>
  <c r="J340" i="19" s="1"/>
  <c r="I357" i="11"/>
  <c r="J357" i="11" s="1"/>
  <c r="I338" i="2"/>
  <c r="J338" i="2" s="1"/>
  <c r="B244" i="34"/>
  <c r="I346" i="16"/>
  <c r="J346" i="16" s="1"/>
  <c r="I346" i="15"/>
  <c r="J346" i="15" s="1"/>
  <c r="I346" i="10"/>
  <c r="J346" i="10" s="1"/>
  <c r="I365" i="13"/>
  <c r="J365" i="13" s="1"/>
  <c r="I348" i="19"/>
  <c r="J348" i="19" s="1"/>
  <c r="I365" i="11"/>
  <c r="J365" i="11" s="1"/>
  <c r="I346" i="2"/>
  <c r="J346" i="2" s="1"/>
  <c r="I362" i="19"/>
  <c r="J362" i="19" s="1"/>
  <c r="I24" i="18"/>
  <c r="J24" i="18" s="1"/>
  <c r="B299" i="34"/>
  <c r="B319" i="34"/>
  <c r="I367" i="10"/>
  <c r="J367" i="10" s="1"/>
  <c r="I378" i="15"/>
  <c r="J378" i="15" s="1"/>
  <c r="I367" i="16"/>
  <c r="J367" i="16" s="1"/>
  <c r="I369" i="19"/>
  <c r="J369" i="19" s="1"/>
  <c r="I449" i="11"/>
  <c r="J449" i="11" s="1"/>
  <c r="I449" i="13"/>
  <c r="J449" i="13" s="1"/>
  <c r="I76" i="18"/>
  <c r="J76" i="18" s="1"/>
  <c r="I377" i="2"/>
  <c r="J377" i="2" s="1"/>
  <c r="I236" i="21"/>
  <c r="J236" i="21" s="1"/>
  <c r="B327" i="34"/>
  <c r="I387" i="11"/>
  <c r="J387" i="11" s="1"/>
  <c r="I395" i="11"/>
  <c r="J395" i="11" s="1"/>
  <c r="I395" i="13"/>
  <c r="J395" i="13" s="1"/>
  <c r="B345" i="34"/>
  <c r="I405" i="13"/>
  <c r="J405" i="13" s="1"/>
  <c r="I405" i="11"/>
  <c r="J405" i="11" s="1"/>
  <c r="B369" i="34"/>
  <c r="I429" i="13"/>
  <c r="J429" i="13" s="1"/>
  <c r="I429" i="11"/>
  <c r="J429" i="11" s="1"/>
  <c r="B377" i="34"/>
  <c r="I437" i="13"/>
  <c r="J437" i="13" s="1"/>
  <c r="I437" i="11"/>
  <c r="J437" i="11" s="1"/>
  <c r="B506" i="34"/>
  <c r="I15" i="21"/>
  <c r="J15" i="21" s="1"/>
  <c r="B522" i="34"/>
  <c r="I31" i="21"/>
  <c r="J31" i="21" s="1"/>
  <c r="B555" i="34"/>
  <c r="I66" i="21"/>
  <c r="J66" i="21" s="1"/>
  <c r="I154" i="21"/>
  <c r="J154" i="21" s="1"/>
  <c r="I50" i="15"/>
  <c r="I50" i="13"/>
  <c r="I103" i="16"/>
  <c r="J103" i="16" s="1"/>
  <c r="I105" i="19"/>
  <c r="J105" i="19" s="1"/>
  <c r="I103" i="13"/>
  <c r="J103" i="13" s="1"/>
  <c r="I103" i="2"/>
  <c r="J103" i="2" s="1"/>
  <c r="I150" i="10"/>
  <c r="I152" i="19"/>
  <c r="I150" i="13"/>
  <c r="B136" i="34"/>
  <c r="I258" i="16"/>
  <c r="I258" i="10"/>
  <c r="I258" i="15"/>
  <c r="J258" i="15" s="1"/>
  <c r="I258" i="11"/>
  <c r="I260" i="19"/>
  <c r="I258" i="13"/>
  <c r="I258" i="2"/>
  <c r="J258" i="2" s="1"/>
  <c r="I319" i="10"/>
  <c r="J319" i="10" s="1"/>
  <c r="I338" i="13"/>
  <c r="I321" i="19"/>
  <c r="J321" i="19" s="1"/>
  <c r="B306" i="34"/>
  <c r="I69" i="18"/>
  <c r="J69" i="18" s="1"/>
  <c r="I62" i="15"/>
  <c r="J62" i="15" s="1"/>
  <c r="I64" i="19"/>
  <c r="J64" i="19" s="1"/>
  <c r="I106" i="15"/>
  <c r="J106" i="15" s="1"/>
  <c r="I106" i="16"/>
  <c r="J106" i="16" s="1"/>
  <c r="I106" i="10"/>
  <c r="J106" i="10" s="1"/>
  <c r="I108" i="19"/>
  <c r="J108" i="19" s="1"/>
  <c r="I106" i="13"/>
  <c r="J106" i="13" s="1"/>
  <c r="I106" i="11"/>
  <c r="J106" i="11" s="1"/>
  <c r="I106" i="2"/>
  <c r="J106" i="2" s="1"/>
  <c r="I160" i="15"/>
  <c r="I160" i="10"/>
  <c r="I222" i="10"/>
  <c r="I222" i="15"/>
  <c r="I222" i="16"/>
  <c r="B220" i="34"/>
  <c r="I322" i="2"/>
  <c r="B253" i="34"/>
  <c r="I355" i="16"/>
  <c r="J355" i="16" s="1"/>
  <c r="I355" i="10"/>
  <c r="J355" i="10" s="1"/>
  <c r="I355" i="2"/>
  <c r="B606" i="34"/>
  <c r="I119" i="21"/>
  <c r="J119" i="21" s="1"/>
  <c r="I13" i="15"/>
  <c r="I13" i="10"/>
  <c r="I13" i="11"/>
  <c r="I13" i="19"/>
  <c r="I13" i="13"/>
  <c r="I13" i="16"/>
  <c r="I13" i="2"/>
  <c r="I29" i="15"/>
  <c r="I29" i="10"/>
  <c r="I29" i="11"/>
  <c r="I29" i="19"/>
  <c r="I29" i="13"/>
  <c r="J29" i="13" s="1"/>
  <c r="I29" i="16"/>
  <c r="I29" i="2"/>
  <c r="I39" i="19"/>
  <c r="I53" i="15"/>
  <c r="I53" i="16"/>
  <c r="I53" i="10"/>
  <c r="I53" i="13"/>
  <c r="I53" i="11"/>
  <c r="I55" i="19"/>
  <c r="I53" i="2"/>
  <c r="I63" i="15"/>
  <c r="J63" i="15" s="1"/>
  <c r="I72" i="15"/>
  <c r="I72" i="16"/>
  <c r="I72" i="10"/>
  <c r="I74" i="19"/>
  <c r="I72" i="11"/>
  <c r="I72" i="13"/>
  <c r="I72" i="2"/>
  <c r="I89" i="15"/>
  <c r="J89" i="15" s="1"/>
  <c r="I89" i="16"/>
  <c r="J89" i="16" s="1"/>
  <c r="I89" i="10"/>
  <c r="J89" i="10" s="1"/>
  <c r="I89" i="11"/>
  <c r="J89" i="11" s="1"/>
  <c r="I91" i="19"/>
  <c r="J91" i="19" s="1"/>
  <c r="I89" i="13"/>
  <c r="J89" i="13" s="1"/>
  <c r="I89" i="2"/>
  <c r="J89" i="2" s="1"/>
  <c r="I107" i="13"/>
  <c r="J107" i="13" s="1"/>
  <c r="I107" i="11"/>
  <c r="J107" i="11" s="1"/>
  <c r="I107" i="2"/>
  <c r="J107" i="2" s="1"/>
  <c r="I115" i="15"/>
  <c r="J115" i="15" s="1"/>
  <c r="I115" i="13"/>
  <c r="J115" i="13" s="1"/>
  <c r="I115" i="11"/>
  <c r="J115" i="11" s="1"/>
  <c r="I115" i="2"/>
  <c r="J115" i="2" s="1"/>
  <c r="I132" i="15"/>
  <c r="J132" i="15" s="1"/>
  <c r="I132" i="16"/>
  <c r="J132" i="16" s="1"/>
  <c r="I132" i="10"/>
  <c r="J132" i="10" s="1"/>
  <c r="I17" i="18"/>
  <c r="J17" i="18" s="1"/>
  <c r="I132" i="2"/>
  <c r="J132" i="2" s="1"/>
  <c r="I153" i="13"/>
  <c r="B70" i="34"/>
  <c r="I188" i="10"/>
  <c r="I188" i="16"/>
  <c r="I188" i="11"/>
  <c r="I188" i="2"/>
  <c r="I232" i="2"/>
  <c r="I253" i="11"/>
  <c r="B140" i="34"/>
  <c r="I262" i="2"/>
  <c r="B151" i="34"/>
  <c r="I273" i="16"/>
  <c r="I273" i="10"/>
  <c r="I273" i="15"/>
  <c r="J273" i="15" s="1"/>
  <c r="I275" i="19"/>
  <c r="I273" i="13"/>
  <c r="I273" i="11"/>
  <c r="I273" i="2"/>
  <c r="J273" i="2" s="1"/>
  <c r="I293" i="13"/>
  <c r="I293" i="11"/>
  <c r="B191" i="34"/>
  <c r="I293" i="15"/>
  <c r="I293" i="16"/>
  <c r="I293" i="10"/>
  <c r="I295" i="19"/>
  <c r="I313" i="13"/>
  <c r="I313" i="11"/>
  <c r="I293" i="2"/>
  <c r="I306" i="10"/>
  <c r="I306" i="15"/>
  <c r="I306" i="16"/>
  <c r="B212" i="34"/>
  <c r="I314" i="16"/>
  <c r="J314" i="16" s="1"/>
  <c r="I314" i="10"/>
  <c r="J314" i="10" s="1"/>
  <c r="I314" i="15"/>
  <c r="J314" i="15" s="1"/>
  <c r="I316" i="19"/>
  <c r="J316" i="19" s="1"/>
  <c r="I333" i="11"/>
  <c r="J333" i="11" s="1"/>
  <c r="I333" i="13"/>
  <c r="J333" i="13" s="1"/>
  <c r="I314" i="2"/>
  <c r="I323" i="15"/>
  <c r="I325" i="19"/>
  <c r="B271" i="34"/>
  <c r="I34" i="18"/>
  <c r="J34" i="18" s="1"/>
  <c r="B282" i="34"/>
  <c r="I45" i="18"/>
  <c r="J45" i="18" s="1"/>
  <c r="B301" i="34"/>
  <c r="I64" i="18"/>
  <c r="J64" i="18" s="1"/>
  <c r="B313" i="34"/>
  <c r="I370" i="15"/>
  <c r="J370" i="15" s="1"/>
  <c r="I369" i="2"/>
  <c r="J369" i="2" s="1"/>
  <c r="I371" i="19"/>
  <c r="J371" i="19" s="1"/>
  <c r="B347" i="34"/>
  <c r="I407" i="13"/>
  <c r="J407" i="13" s="1"/>
  <c r="I407" i="11"/>
  <c r="J407" i="11" s="1"/>
  <c r="B355" i="34"/>
  <c r="I415" i="11"/>
  <c r="J415" i="11" s="1"/>
  <c r="I415" i="13"/>
  <c r="J415" i="13" s="1"/>
  <c r="B363" i="34"/>
  <c r="I423" i="13"/>
  <c r="J423" i="13" s="1"/>
  <c r="I423" i="11"/>
  <c r="J423" i="11" s="1"/>
  <c r="I439" i="11"/>
  <c r="J439" i="11" s="1"/>
  <c r="B508" i="34"/>
  <c r="I17" i="21"/>
  <c r="J17" i="21" s="1"/>
  <c r="B532" i="34"/>
  <c r="I41" i="21"/>
  <c r="J41" i="21" s="1"/>
  <c r="I126" i="21"/>
  <c r="J126" i="21" s="1"/>
  <c r="B639" i="34"/>
  <c r="I156" i="21"/>
  <c r="J156" i="21" s="1"/>
  <c r="B647" i="34"/>
  <c r="I167" i="21"/>
  <c r="J167" i="21" s="1"/>
  <c r="B695" i="34"/>
  <c r="G272" i="2"/>
  <c r="J272" i="2"/>
  <c r="G143" i="15"/>
  <c r="J143" i="15"/>
  <c r="I218" i="13"/>
  <c r="J218" i="13" s="1"/>
  <c r="I337" i="15"/>
  <c r="J337" i="15" s="1"/>
  <c r="B318" i="34"/>
  <c r="I366" i="16"/>
  <c r="J366" i="16" s="1"/>
  <c r="I377" i="15"/>
  <c r="J377" i="15" s="1"/>
  <c r="I366" i="10"/>
  <c r="J366" i="10" s="1"/>
  <c r="I448" i="13"/>
  <c r="J448" i="13" s="1"/>
  <c r="U9" i="13" s="1"/>
  <c r="I368" i="19"/>
  <c r="J368" i="19" s="1"/>
  <c r="I448" i="11"/>
  <c r="J448" i="11" s="1"/>
  <c r="I75" i="18"/>
  <c r="J75" i="18" s="1"/>
  <c r="I235" i="21"/>
  <c r="J235" i="21" s="1"/>
  <c r="I376" i="2"/>
  <c r="J376" i="2" s="1"/>
  <c r="I36" i="11"/>
  <c r="I36" i="13"/>
  <c r="I38" i="19"/>
  <c r="I36" i="2"/>
  <c r="I114" i="15"/>
  <c r="J114" i="15" s="1"/>
  <c r="I114" i="16"/>
  <c r="J114" i="16" s="1"/>
  <c r="I116" i="19"/>
  <c r="J116" i="19" s="1"/>
  <c r="I114" i="10"/>
  <c r="J114" i="10" s="1"/>
  <c r="I114" i="13"/>
  <c r="J114" i="13" s="1"/>
  <c r="I114" i="11"/>
  <c r="J114" i="11" s="1"/>
  <c r="I114" i="2"/>
  <c r="J114" i="2" s="1"/>
  <c r="B35" i="34"/>
  <c r="I152" i="16"/>
  <c r="I152" i="15"/>
  <c r="I154" i="19"/>
  <c r="I152" i="10"/>
  <c r="I152" i="13"/>
  <c r="I152" i="11"/>
  <c r="I152" i="2"/>
  <c r="I270" i="13"/>
  <c r="I270" i="11"/>
  <c r="B237" i="34"/>
  <c r="I339" i="15"/>
  <c r="J339" i="15" s="1"/>
  <c r="I339" i="10"/>
  <c r="J339" i="10" s="1"/>
  <c r="I341" i="19"/>
  <c r="J341" i="19" s="1"/>
  <c r="I339" i="16"/>
  <c r="J339" i="16" s="1"/>
  <c r="I358" i="13"/>
  <c r="J358" i="13" s="1"/>
  <c r="I358" i="11"/>
  <c r="J358" i="11" s="1"/>
  <c r="I339" i="2"/>
  <c r="J339" i="2" s="1"/>
  <c r="B270" i="34"/>
  <c r="I33" i="18"/>
  <c r="J33" i="18" s="1"/>
  <c r="B312" i="34"/>
  <c r="I369" i="15"/>
  <c r="J369" i="15" s="1"/>
  <c r="I368" i="2"/>
  <c r="J368" i="2" s="1"/>
  <c r="B515" i="34"/>
  <c r="I24" i="21"/>
  <c r="J24" i="21" s="1"/>
  <c r="B654" i="34"/>
  <c r="I174" i="21"/>
  <c r="J174" i="21" s="1"/>
  <c r="B694" i="34"/>
  <c r="I215" i="21"/>
  <c r="J215" i="21" s="1"/>
  <c r="G141" i="15"/>
  <c r="J141" i="15"/>
  <c r="I14" i="15"/>
  <c r="I14" i="11"/>
  <c r="I14" i="16"/>
  <c r="I14" i="19"/>
  <c r="I14" i="13"/>
  <c r="I14" i="2"/>
  <c r="I14" i="10"/>
  <c r="I22" i="15"/>
  <c r="I22" i="11"/>
  <c r="I22" i="16"/>
  <c r="I22" i="13"/>
  <c r="I22" i="10"/>
  <c r="I22" i="19"/>
  <c r="I22" i="2"/>
  <c r="I30" i="2"/>
  <c r="I38" i="15"/>
  <c r="I38" i="10"/>
  <c r="I38" i="16"/>
  <c r="I38" i="13"/>
  <c r="I38" i="11"/>
  <c r="I40" i="19"/>
  <c r="I38" i="2"/>
  <c r="I54" i="15"/>
  <c r="I54" i="16"/>
  <c r="I54" i="10"/>
  <c r="I54" i="13"/>
  <c r="I54" i="11"/>
  <c r="I56" i="19"/>
  <c r="I54" i="2"/>
  <c r="I66" i="19"/>
  <c r="J66" i="19" s="1"/>
  <c r="I64" i="10"/>
  <c r="J64" i="10" s="1"/>
  <c r="I64" i="13"/>
  <c r="J64" i="13" s="1"/>
  <c r="I81" i="15"/>
  <c r="I81" i="10"/>
  <c r="I81" i="13"/>
  <c r="I81" i="11"/>
  <c r="E105" i="43"/>
  <c r="B482" i="34" s="1"/>
  <c r="F116" i="2"/>
  <c r="I133" i="13"/>
  <c r="J133" i="13" s="1"/>
  <c r="B29" i="34"/>
  <c r="I146" i="15"/>
  <c r="J146" i="15" s="1"/>
  <c r="I146" i="10"/>
  <c r="I146" i="13"/>
  <c r="I146" i="11"/>
  <c r="I146" i="2"/>
  <c r="B45" i="34"/>
  <c r="I162" i="10"/>
  <c r="I162" i="16"/>
  <c r="I162" i="15"/>
  <c r="I162" i="11"/>
  <c r="I162" i="2"/>
  <c r="J162" i="2" s="1"/>
  <c r="B55" i="34"/>
  <c r="I172" i="16"/>
  <c r="I172" i="10"/>
  <c r="I172" i="15"/>
  <c r="I174" i="19"/>
  <c r="I172" i="13"/>
  <c r="I172" i="11"/>
  <c r="I172" i="2"/>
  <c r="B79" i="34"/>
  <c r="I197" i="2"/>
  <c r="B96" i="34"/>
  <c r="I214" i="16"/>
  <c r="J214" i="16" s="1"/>
  <c r="I214" i="10"/>
  <c r="J214" i="10" s="1"/>
  <c r="I214" i="15"/>
  <c r="J214" i="15" s="1"/>
  <c r="I216" i="19"/>
  <c r="J216" i="19" s="1"/>
  <c r="I214" i="11"/>
  <c r="J214" i="11" s="1"/>
  <c r="I214" i="13"/>
  <c r="J214" i="13" s="1"/>
  <c r="I214" i="2"/>
  <c r="B113" i="34"/>
  <c r="I233" i="15"/>
  <c r="I233" i="2"/>
  <c r="B121" i="34"/>
  <c r="I241" i="15"/>
  <c r="I241" i="16"/>
  <c r="I241" i="10"/>
  <c r="I243" i="19"/>
  <c r="I241" i="13"/>
  <c r="I241" i="11"/>
  <c r="I241" i="2"/>
  <c r="B132" i="34"/>
  <c r="I254" i="16"/>
  <c r="I254" i="10"/>
  <c r="I256" i="19"/>
  <c r="I254" i="11"/>
  <c r="I254" i="2"/>
  <c r="J254" i="2" s="1"/>
  <c r="B152" i="34"/>
  <c r="I274" i="15"/>
  <c r="J274" i="15" s="1"/>
  <c r="I274" i="10"/>
  <c r="I274" i="11"/>
  <c r="I274" i="16"/>
  <c r="I274" i="13"/>
  <c r="I276" i="19"/>
  <c r="I274" i="2"/>
  <c r="I294" i="11"/>
  <c r="B203" i="34"/>
  <c r="I307" i="15"/>
  <c r="I307" i="16"/>
  <c r="I307" i="10"/>
  <c r="I326" i="13"/>
  <c r="I326" i="11"/>
  <c r="I309" i="19"/>
  <c r="I307" i="2"/>
  <c r="B213" i="34"/>
  <c r="I315" i="10"/>
  <c r="J315" i="10" s="1"/>
  <c r="I315" i="15"/>
  <c r="J315" i="15" s="1"/>
  <c r="I315" i="16"/>
  <c r="J315" i="16" s="1"/>
  <c r="I317" i="19"/>
  <c r="J317" i="19" s="1"/>
  <c r="I334" i="11"/>
  <c r="J334" i="11" s="1"/>
  <c r="I334" i="13"/>
  <c r="J334" i="13" s="1"/>
  <c r="I315" i="2"/>
  <c r="B222" i="34"/>
  <c r="I324" i="10"/>
  <c r="I324" i="16"/>
  <c r="I326" i="19"/>
  <c r="I324" i="15"/>
  <c r="I343" i="11"/>
  <c r="I343" i="13"/>
  <c r="I324" i="2"/>
  <c r="B230" i="34"/>
  <c r="I332" i="10"/>
  <c r="I332" i="16"/>
  <c r="I332" i="15"/>
  <c r="I334" i="19"/>
  <c r="I351" i="11"/>
  <c r="I351" i="13"/>
  <c r="I332" i="2"/>
  <c r="B239" i="34"/>
  <c r="I341" i="16"/>
  <c r="J341" i="16" s="1"/>
  <c r="I341" i="10"/>
  <c r="J341" i="10" s="1"/>
  <c r="I341" i="15"/>
  <c r="J341" i="15" s="1"/>
  <c r="I343" i="19"/>
  <c r="J343" i="19" s="1"/>
  <c r="I360" i="11"/>
  <c r="J360" i="11" s="1"/>
  <c r="I360" i="13"/>
  <c r="J360" i="13" s="1"/>
  <c r="I341" i="2"/>
  <c r="J341" i="2" s="1"/>
  <c r="B247" i="34"/>
  <c r="I349" i="15"/>
  <c r="J349" i="15" s="1"/>
  <c r="I349" i="10"/>
  <c r="J349" i="10" s="1"/>
  <c r="I349" i="16"/>
  <c r="J349" i="16" s="1"/>
  <c r="I351" i="19"/>
  <c r="J351" i="19" s="1"/>
  <c r="I368" i="11"/>
  <c r="J368" i="11" s="1"/>
  <c r="I368" i="13"/>
  <c r="J368" i="13" s="1"/>
  <c r="I349" i="2"/>
  <c r="J349" i="2" s="1"/>
  <c r="I46" i="18"/>
  <c r="J46" i="18" s="1"/>
  <c r="B294" i="34"/>
  <c r="I57" i="18"/>
  <c r="J57" i="18" s="1"/>
  <c r="B302" i="34"/>
  <c r="I65" i="18"/>
  <c r="J65" i="18" s="1"/>
  <c r="I370" i="2"/>
  <c r="J370" i="2" s="1"/>
  <c r="B322" i="34"/>
  <c r="I381" i="15"/>
  <c r="J381" i="15" s="1"/>
  <c r="I370" i="10"/>
  <c r="J370" i="10" s="1"/>
  <c r="I372" i="19"/>
  <c r="J372" i="19" s="1"/>
  <c r="I452" i="13"/>
  <c r="J452" i="13" s="1"/>
  <c r="I239" i="21"/>
  <c r="J239" i="21" s="1"/>
  <c r="I79" i="18"/>
  <c r="J79" i="18" s="1"/>
  <c r="I416" i="13"/>
  <c r="J416" i="13" s="1"/>
  <c r="B364" i="34"/>
  <c r="I424" i="13"/>
  <c r="J424" i="13" s="1"/>
  <c r="I424" i="11"/>
  <c r="J424" i="11" s="1"/>
  <c r="B517" i="34"/>
  <c r="I26" i="21"/>
  <c r="J26" i="21" s="1"/>
  <c r="I176" i="21"/>
  <c r="J176" i="21" s="1"/>
  <c r="B664" i="34"/>
  <c r="I184" i="21"/>
  <c r="J184" i="21" s="1"/>
  <c r="B672" i="34"/>
  <c r="I193" i="21"/>
  <c r="J193" i="21" s="1"/>
  <c r="B680" i="34"/>
  <c r="I201" i="21"/>
  <c r="J201" i="21" s="1"/>
  <c r="B688" i="34"/>
  <c r="I209" i="21"/>
  <c r="J209" i="21" s="1"/>
  <c r="B696" i="34"/>
  <c r="I217" i="21"/>
  <c r="J217" i="21" s="1"/>
  <c r="G221" i="15"/>
  <c r="J221" i="15"/>
  <c r="I39" i="10"/>
  <c r="I41" i="19"/>
  <c r="I49" i="19"/>
  <c r="I65" i="15"/>
  <c r="J65" i="15" s="1"/>
  <c r="I82" i="15"/>
  <c r="I82" i="10"/>
  <c r="I82" i="16"/>
  <c r="I93" i="19"/>
  <c r="J93" i="19" s="1"/>
  <c r="I91" i="13"/>
  <c r="J91" i="13" s="1"/>
  <c r="I91" i="11"/>
  <c r="J91" i="11" s="1"/>
  <c r="I100" i="15"/>
  <c r="J100" i="15" s="1"/>
  <c r="I117" i="11"/>
  <c r="J117" i="11" s="1"/>
  <c r="I134" i="13"/>
  <c r="J134" i="13" s="1"/>
  <c r="B38" i="34"/>
  <c r="I155" i="10"/>
  <c r="I155" i="15"/>
  <c r="I155" i="16"/>
  <c r="I157" i="19"/>
  <c r="I155" i="13"/>
  <c r="I155" i="11"/>
  <c r="I155" i="2"/>
  <c r="I163" i="16"/>
  <c r="B56" i="34"/>
  <c r="I173" i="15"/>
  <c r="I173" i="10"/>
  <c r="I173" i="16"/>
  <c r="I173" i="11"/>
  <c r="I173" i="13"/>
  <c r="I175" i="19"/>
  <c r="I173" i="2"/>
  <c r="B72" i="34"/>
  <c r="I190" i="15"/>
  <c r="I190" i="16"/>
  <c r="I190" i="10"/>
  <c r="I192" i="19"/>
  <c r="I190" i="11"/>
  <c r="I190" i="13"/>
  <c r="I190" i="2"/>
  <c r="B80" i="34"/>
  <c r="I198" i="15"/>
  <c r="I198" i="16"/>
  <c r="I200" i="19"/>
  <c r="I198" i="11"/>
  <c r="I198" i="13"/>
  <c r="I198" i="10"/>
  <c r="I198" i="2"/>
  <c r="B88" i="34"/>
  <c r="I206" i="2"/>
  <c r="B97" i="34"/>
  <c r="I215" i="15"/>
  <c r="J215" i="15" s="1"/>
  <c r="I215" i="16"/>
  <c r="J215" i="16" s="1"/>
  <c r="I215" i="10"/>
  <c r="J215" i="10" s="1"/>
  <c r="I215" i="13"/>
  <c r="J215" i="13" s="1"/>
  <c r="I215" i="2"/>
  <c r="B106" i="34"/>
  <c r="I225" i="11"/>
  <c r="I225" i="2"/>
  <c r="B133" i="34"/>
  <c r="I255" i="15"/>
  <c r="J255" i="15" s="1"/>
  <c r="I255" i="16"/>
  <c r="I255" i="10"/>
  <c r="I257" i="19"/>
  <c r="I255" i="13"/>
  <c r="I255" i="11"/>
  <c r="I255" i="2"/>
  <c r="J255" i="2" s="1"/>
  <c r="B142" i="34"/>
  <c r="I264" i="10"/>
  <c r="I264" i="15"/>
  <c r="J264" i="15" s="1"/>
  <c r="I264" i="13"/>
  <c r="I266" i="19"/>
  <c r="I264" i="16"/>
  <c r="I264" i="11"/>
  <c r="I264" i="2"/>
  <c r="B153" i="34"/>
  <c r="I275" i="15"/>
  <c r="J275" i="15" s="1"/>
  <c r="I277" i="19"/>
  <c r="I285" i="16"/>
  <c r="I285" i="10"/>
  <c r="I287" i="19"/>
  <c r="I295" i="13"/>
  <c r="I295" i="11"/>
  <c r="B205" i="34"/>
  <c r="I308" i="15"/>
  <c r="I310" i="19"/>
  <c r="I308" i="16"/>
  <c r="I308" i="10"/>
  <c r="I327" i="13"/>
  <c r="I327" i="11"/>
  <c r="I308" i="2"/>
  <c r="B214" i="34"/>
  <c r="I316" i="15"/>
  <c r="J316" i="15" s="1"/>
  <c r="I316" i="10"/>
  <c r="J316" i="10" s="1"/>
  <c r="I316" i="16"/>
  <c r="J316" i="16" s="1"/>
  <c r="I335" i="13"/>
  <c r="J335" i="13" s="1"/>
  <c r="I318" i="19"/>
  <c r="J318" i="19" s="1"/>
  <c r="I335" i="11"/>
  <c r="J335" i="11" s="1"/>
  <c r="I316" i="2"/>
  <c r="B223" i="34"/>
  <c r="I325" i="16"/>
  <c r="I325" i="10"/>
  <c r="I325" i="15"/>
  <c r="I344" i="13"/>
  <c r="I344" i="11"/>
  <c r="I327" i="19"/>
  <c r="I325" i="2"/>
  <c r="B231" i="34"/>
  <c r="I333" i="15"/>
  <c r="I333" i="16"/>
  <c r="I333" i="10"/>
  <c r="I352" i="13"/>
  <c r="I352" i="11"/>
  <c r="I335" i="19"/>
  <c r="I333" i="2"/>
  <c r="I342" i="10"/>
  <c r="J342" i="10" s="1"/>
  <c r="I342" i="16"/>
  <c r="J342" i="16" s="1"/>
  <c r="B284" i="34"/>
  <c r="I47" i="18"/>
  <c r="J47" i="18" s="1"/>
  <c r="B295" i="34"/>
  <c r="I58" i="18"/>
  <c r="J58" i="18" s="1"/>
  <c r="I372" i="15"/>
  <c r="J372" i="15" s="1"/>
  <c r="I443" i="13"/>
  <c r="J443" i="13" s="1"/>
  <c r="I453" i="11"/>
  <c r="J453" i="11" s="1"/>
  <c r="B331" i="34"/>
  <c r="I391" i="13"/>
  <c r="J391" i="13" s="1"/>
  <c r="I391" i="11"/>
  <c r="J391" i="11" s="1"/>
  <c r="B339" i="34"/>
  <c r="I399" i="13"/>
  <c r="J399" i="13" s="1"/>
  <c r="I399" i="11"/>
  <c r="J399" i="11" s="1"/>
  <c r="B349" i="34"/>
  <c r="I409" i="13"/>
  <c r="J409" i="13" s="1"/>
  <c r="I409" i="11"/>
  <c r="J409" i="11" s="1"/>
  <c r="B357" i="34"/>
  <c r="I417" i="13"/>
  <c r="J417" i="13" s="1"/>
  <c r="I417" i="11"/>
  <c r="J417" i="11" s="1"/>
  <c r="B365" i="34"/>
  <c r="I425" i="13"/>
  <c r="J425" i="13" s="1"/>
  <c r="I425" i="11"/>
  <c r="J425" i="11" s="1"/>
  <c r="B373" i="34"/>
  <c r="I433" i="13"/>
  <c r="J433" i="13" s="1"/>
  <c r="I433" i="11"/>
  <c r="J433" i="11" s="1"/>
  <c r="I441" i="13"/>
  <c r="J441" i="13" s="1"/>
  <c r="I441" i="11"/>
  <c r="J441" i="11" s="1"/>
  <c r="B518" i="34"/>
  <c r="I27" i="21"/>
  <c r="J27" i="21" s="1"/>
  <c r="I43" i="21"/>
  <c r="J43" i="21" s="1"/>
  <c r="B673" i="34"/>
  <c r="I194" i="21"/>
  <c r="J194" i="21" s="1"/>
  <c r="B689" i="34"/>
  <c r="I210" i="21"/>
  <c r="J210" i="21" s="1"/>
  <c r="G141" i="2"/>
  <c r="J141" i="2"/>
  <c r="I34" i="15"/>
  <c r="J34" i="15" s="1"/>
  <c r="I34" i="10"/>
  <c r="J34" i="10" s="1"/>
  <c r="I34" i="16"/>
  <c r="J34" i="16" s="1"/>
  <c r="I34" i="13"/>
  <c r="J34" i="13" s="1"/>
  <c r="I34" i="11"/>
  <c r="J34" i="11" s="1"/>
  <c r="I36" i="19"/>
  <c r="J36" i="19" s="1"/>
  <c r="I34" i="2"/>
  <c r="I120" i="16"/>
  <c r="J120" i="16" s="1"/>
  <c r="I120" i="10"/>
  <c r="J120" i="10" s="1"/>
  <c r="I120" i="15"/>
  <c r="J120" i="15" s="1"/>
  <c r="I120" i="11"/>
  <c r="J120" i="11" s="1"/>
  <c r="I122" i="19"/>
  <c r="J122" i="19" s="1"/>
  <c r="I120" i="13"/>
  <c r="J120" i="13" s="1"/>
  <c r="I120" i="2"/>
  <c r="J120" i="2" s="1"/>
  <c r="B51" i="34"/>
  <c r="I168" i="13"/>
  <c r="I168" i="11"/>
  <c r="B157" i="34"/>
  <c r="I279" i="16"/>
  <c r="I281" i="19"/>
  <c r="I279" i="10"/>
  <c r="I279" i="13"/>
  <c r="I279" i="15"/>
  <c r="J279" i="15" s="1"/>
  <c r="I279" i="11"/>
  <c r="I279" i="2"/>
  <c r="I345" i="15"/>
  <c r="J345" i="15" s="1"/>
  <c r="I345" i="16"/>
  <c r="J345" i="16" s="1"/>
  <c r="I52" i="15"/>
  <c r="I52" i="16"/>
  <c r="I52" i="10"/>
  <c r="I52" i="11"/>
  <c r="I52" i="13"/>
  <c r="I54" i="19"/>
  <c r="I52" i="2"/>
  <c r="B85" i="34"/>
  <c r="I203" i="16"/>
  <c r="J203" i="16" s="1"/>
  <c r="I203" i="10"/>
  <c r="J203" i="10" s="1"/>
  <c r="I205" i="19"/>
  <c r="J205" i="19" s="1"/>
  <c r="I203" i="13"/>
  <c r="J203" i="13" s="1"/>
  <c r="I203" i="15"/>
  <c r="J203" i="15" s="1"/>
  <c r="I203" i="11"/>
  <c r="J203" i="11" s="1"/>
  <c r="I203" i="2"/>
  <c r="B119" i="34"/>
  <c r="I239" i="15"/>
  <c r="J239" i="15" s="1"/>
  <c r="I239" i="16"/>
  <c r="J239" i="16" s="1"/>
  <c r="I239" i="10"/>
  <c r="J239" i="10" s="1"/>
  <c r="I239" i="11"/>
  <c r="J239" i="11" s="1"/>
  <c r="I241" i="19"/>
  <c r="J241" i="19" s="1"/>
  <c r="I239" i="13"/>
  <c r="J239" i="13" s="1"/>
  <c r="I239" i="2"/>
  <c r="J239" i="2" s="1"/>
  <c r="I281" i="16"/>
  <c r="I332" i="19"/>
  <c r="B262" i="34"/>
  <c r="I363" i="19"/>
  <c r="J363" i="19" s="1"/>
  <c r="I25" i="18"/>
  <c r="J25" i="18" s="1"/>
  <c r="B300" i="34"/>
  <c r="I63" i="18"/>
  <c r="J63" i="18" s="1"/>
  <c r="B336" i="34"/>
  <c r="I396" i="13"/>
  <c r="J396" i="13" s="1"/>
  <c r="I396" i="11"/>
  <c r="J396" i="11" s="1"/>
  <c r="B523" i="34"/>
  <c r="I32" i="21"/>
  <c r="J32" i="21" s="1"/>
  <c r="B539" i="34"/>
  <c r="I48" i="21"/>
  <c r="J48" i="21" s="1"/>
  <c r="B638" i="34"/>
  <c r="I155" i="21"/>
  <c r="J155" i="21" s="1"/>
  <c r="I15" i="15"/>
  <c r="I15" i="19"/>
  <c r="I15" i="13"/>
  <c r="I15" i="16"/>
  <c r="I15" i="11"/>
  <c r="I15" i="2"/>
  <c r="I15" i="10"/>
  <c r="I23" i="15"/>
  <c r="I23" i="19"/>
  <c r="I23" i="13"/>
  <c r="I23" i="16"/>
  <c r="I23" i="2"/>
  <c r="I23" i="10"/>
  <c r="I23" i="11"/>
  <c r="I31" i="15"/>
  <c r="J31" i="15" s="1"/>
  <c r="I31" i="19"/>
  <c r="J31" i="19" s="1"/>
  <c r="I31" i="13"/>
  <c r="J31" i="13" s="1"/>
  <c r="I16" i="15"/>
  <c r="I16" i="19"/>
  <c r="I16" i="13"/>
  <c r="I16" i="2"/>
  <c r="I16" i="10"/>
  <c r="I16" i="16"/>
  <c r="I16" i="11"/>
  <c r="I24" i="16"/>
  <c r="I24" i="10"/>
  <c r="I32" i="15"/>
  <c r="I32" i="19"/>
  <c r="I32" i="13"/>
  <c r="I32" i="2"/>
  <c r="I32" i="16"/>
  <c r="I32" i="10"/>
  <c r="I32" i="11"/>
  <c r="I66" i="15"/>
  <c r="J66" i="15" s="1"/>
  <c r="I68" i="19"/>
  <c r="J68" i="19" s="1"/>
  <c r="I66" i="11"/>
  <c r="J66" i="11" s="1"/>
  <c r="I66" i="16"/>
  <c r="J66" i="16" s="1"/>
  <c r="I66" i="13"/>
  <c r="J66" i="13" s="1"/>
  <c r="I66" i="10"/>
  <c r="J66" i="10" s="1"/>
  <c r="I66" i="2"/>
  <c r="J66" i="2" s="1"/>
  <c r="I83" i="16"/>
  <c r="I83" i="10"/>
  <c r="I85" i="19"/>
  <c r="I92" i="15"/>
  <c r="J92" i="15" s="1"/>
  <c r="I101" i="2"/>
  <c r="J101" i="2" s="1"/>
  <c r="I110" i="2"/>
  <c r="J110" i="2" s="1"/>
  <c r="I127" i="10"/>
  <c r="J127" i="10" s="1"/>
  <c r="I127" i="15"/>
  <c r="J127" i="15" s="1"/>
  <c r="I127" i="16"/>
  <c r="J127" i="16" s="1"/>
  <c r="I127" i="13"/>
  <c r="J127" i="13" s="1"/>
  <c r="I129" i="19"/>
  <c r="J129" i="19" s="1"/>
  <c r="I127" i="11"/>
  <c r="J127" i="11" s="1"/>
  <c r="I12" i="18"/>
  <c r="J12" i="18" s="1"/>
  <c r="I127" i="2"/>
  <c r="J127" i="2" s="1"/>
  <c r="I135" i="16"/>
  <c r="J135" i="16" s="1"/>
  <c r="I135" i="10"/>
  <c r="J135" i="10" s="1"/>
  <c r="I135" i="15"/>
  <c r="J135" i="15" s="1"/>
  <c r="I20" i="18"/>
  <c r="J20" i="18" s="1"/>
  <c r="I135" i="2"/>
  <c r="J135" i="2" s="1"/>
  <c r="B31" i="34"/>
  <c r="I148" i="16"/>
  <c r="I148" i="15"/>
  <c r="J148" i="15" s="1"/>
  <c r="I148" i="10"/>
  <c r="I150" i="19"/>
  <c r="I148" i="11"/>
  <c r="I148" i="13"/>
  <c r="I148" i="2"/>
  <c r="B39" i="34"/>
  <c r="I156" i="16"/>
  <c r="I156" i="15"/>
  <c r="I156" i="10"/>
  <c r="I156" i="11"/>
  <c r="I156" i="13"/>
  <c r="I158" i="19"/>
  <c r="I156" i="2"/>
  <c r="B47" i="34"/>
  <c r="I164" i="15"/>
  <c r="I164" i="16"/>
  <c r="I164" i="10"/>
  <c r="I164" i="11"/>
  <c r="I164" i="13"/>
  <c r="I166" i="19"/>
  <c r="I164" i="2"/>
  <c r="B57" i="34"/>
  <c r="I174" i="15"/>
  <c r="I174" i="10"/>
  <c r="I176" i="19"/>
  <c r="I174" i="16"/>
  <c r="I174" i="11"/>
  <c r="I174" i="13"/>
  <c r="I174" i="2"/>
  <c r="B73" i="34"/>
  <c r="B98" i="34"/>
  <c r="I216" i="15"/>
  <c r="J216" i="15" s="1"/>
  <c r="I216" i="16"/>
  <c r="J216" i="16" s="1"/>
  <c r="I216" i="10"/>
  <c r="J216" i="10" s="1"/>
  <c r="I218" i="19"/>
  <c r="J218" i="19" s="1"/>
  <c r="I216" i="13"/>
  <c r="J216" i="13" s="1"/>
  <c r="I216" i="11"/>
  <c r="J216" i="11" s="1"/>
  <c r="I216" i="2"/>
  <c r="B107" i="34"/>
  <c r="I226" i="15"/>
  <c r="I226" i="16"/>
  <c r="I226" i="10"/>
  <c r="I226" i="11"/>
  <c r="I228" i="19"/>
  <c r="I226" i="13"/>
  <c r="I226" i="2"/>
  <c r="B123" i="34"/>
  <c r="I256" i="10"/>
  <c r="I256" i="2"/>
  <c r="J256" i="2" s="1"/>
  <c r="B164" i="34"/>
  <c r="I286" i="16"/>
  <c r="I286" i="10"/>
  <c r="I288" i="19"/>
  <c r="I286" i="13"/>
  <c r="J286" i="13" s="1"/>
  <c r="I286" i="15"/>
  <c r="J286" i="15" s="1"/>
  <c r="I286" i="11"/>
  <c r="I286" i="2"/>
  <c r="I296" i="11"/>
  <c r="B195" i="34"/>
  <c r="I299" i="16"/>
  <c r="I299" i="15"/>
  <c r="I299" i="10"/>
  <c r="I318" i="13"/>
  <c r="I318" i="11"/>
  <c r="I301" i="19"/>
  <c r="I299" i="2"/>
  <c r="B215" i="34"/>
  <c r="I317" i="15"/>
  <c r="J317" i="15" s="1"/>
  <c r="B224" i="34"/>
  <c r="I326" i="15"/>
  <c r="I326" i="16"/>
  <c r="I328" i="19"/>
  <c r="I326" i="10"/>
  <c r="I345" i="11"/>
  <c r="I345" i="13"/>
  <c r="J345" i="13" s="1"/>
  <c r="I326" i="2"/>
  <c r="I343" i="15"/>
  <c r="J343" i="15" s="1"/>
  <c r="B249" i="34"/>
  <c r="I351" i="15"/>
  <c r="J351" i="15" s="1"/>
  <c r="I351" i="10"/>
  <c r="J351" i="10" s="1"/>
  <c r="I351" i="16"/>
  <c r="J351" i="16" s="1"/>
  <c r="I353" i="19"/>
  <c r="J353" i="19" s="1"/>
  <c r="I370" i="13"/>
  <c r="J370" i="13" s="1"/>
  <c r="I370" i="11"/>
  <c r="J370" i="11" s="1"/>
  <c r="I351" i="2"/>
  <c r="J351" i="2" s="1"/>
  <c r="B266" i="34"/>
  <c r="I29" i="18"/>
  <c r="J29" i="18" s="1"/>
  <c r="B275" i="34"/>
  <c r="B285" i="34"/>
  <c r="I48" i="18"/>
  <c r="J48" i="18" s="1"/>
  <c r="B304" i="34"/>
  <c r="I67" i="18"/>
  <c r="J67" i="18" s="1"/>
  <c r="B316" i="34"/>
  <c r="I364" i="16"/>
  <c r="I364" i="10"/>
  <c r="I375" i="15"/>
  <c r="I446" i="11"/>
  <c r="J446" i="11" s="1"/>
  <c r="I446" i="13"/>
  <c r="I366" i="19"/>
  <c r="I233" i="21"/>
  <c r="I73" i="18"/>
  <c r="J73" i="18" s="1"/>
  <c r="I374" i="2"/>
  <c r="J374" i="2" s="1"/>
  <c r="B350" i="34"/>
  <c r="I410" i="13"/>
  <c r="J410" i="13" s="1"/>
  <c r="I410" i="11"/>
  <c r="J410" i="11" s="1"/>
  <c r="B358" i="34"/>
  <c r="I418" i="11"/>
  <c r="J418" i="11" s="1"/>
  <c r="I418" i="13"/>
  <c r="J418" i="13" s="1"/>
  <c r="B366" i="34"/>
  <c r="I426" i="13"/>
  <c r="J426" i="13" s="1"/>
  <c r="I426" i="11"/>
  <c r="J426" i="11" s="1"/>
  <c r="B374" i="34"/>
  <c r="I434" i="11"/>
  <c r="J434" i="11" s="1"/>
  <c r="I434" i="13"/>
  <c r="J434" i="13" s="1"/>
  <c r="B503" i="34"/>
  <c r="I12" i="21"/>
  <c r="J12" i="21" s="1"/>
  <c r="B511" i="34"/>
  <c r="I20" i="21"/>
  <c r="J20" i="21" s="1"/>
  <c r="B552" i="34"/>
  <c r="I63" i="21"/>
  <c r="B602" i="34"/>
  <c r="I115" i="21"/>
  <c r="J115" i="21" s="1"/>
  <c r="B619" i="34"/>
  <c r="I131" i="21"/>
  <c r="J131" i="21" s="1"/>
  <c r="B629" i="34"/>
  <c r="I145" i="21"/>
  <c r="J145" i="21" s="1"/>
  <c r="B650" i="34"/>
  <c r="I170" i="21"/>
  <c r="J170" i="21" s="1"/>
  <c r="B658" i="34"/>
  <c r="I178" i="21"/>
  <c r="J178" i="21" s="1"/>
  <c r="B666" i="34"/>
  <c r="I187" i="21"/>
  <c r="J187" i="21" s="1"/>
  <c r="B674" i="34"/>
  <c r="I195" i="21"/>
  <c r="J195" i="21" s="1"/>
  <c r="B682" i="34"/>
  <c r="I203" i="21"/>
  <c r="J203" i="21" s="1"/>
  <c r="B690" i="34"/>
  <c r="I211" i="21"/>
  <c r="J211" i="21" s="1"/>
  <c r="B698" i="34"/>
  <c r="I18" i="2"/>
  <c r="I94" i="15"/>
  <c r="J94" i="15" s="1"/>
  <c r="I94" i="16"/>
  <c r="J94" i="16" s="1"/>
  <c r="I94" i="10"/>
  <c r="J94" i="10" s="1"/>
  <c r="I94" i="11"/>
  <c r="J94" i="11" s="1"/>
  <c r="I96" i="19"/>
  <c r="J96" i="19" s="1"/>
  <c r="I94" i="13"/>
  <c r="J94" i="13" s="1"/>
  <c r="I94" i="2"/>
  <c r="J94" i="2" s="1"/>
  <c r="B188" i="34"/>
  <c r="I290" i="10"/>
  <c r="I290" i="15"/>
  <c r="I290" i="16"/>
  <c r="I292" i="19"/>
  <c r="I310" i="13"/>
  <c r="I310" i="11"/>
  <c r="I290" i="2"/>
  <c r="B268" i="34"/>
  <c r="I31" i="18"/>
  <c r="J31" i="18" s="1"/>
  <c r="B343" i="34"/>
  <c r="I403" i="13"/>
  <c r="J403" i="13" s="1"/>
  <c r="I403" i="11"/>
  <c r="J403" i="11" s="1"/>
  <c r="B5" i="43"/>
  <c r="E5" i="43" s="1"/>
  <c r="B382" i="34" s="1"/>
  <c r="F12" i="2"/>
  <c r="I71" i="15"/>
  <c r="I71" i="16"/>
  <c r="I71" i="10"/>
  <c r="I71" i="2"/>
  <c r="I88" i="15"/>
  <c r="J88" i="15" s="1"/>
  <c r="I88" i="16"/>
  <c r="J88" i="16" s="1"/>
  <c r="I90" i="19"/>
  <c r="J90" i="19" s="1"/>
  <c r="I88" i="10"/>
  <c r="J88" i="10" s="1"/>
  <c r="I88" i="13"/>
  <c r="J88" i="13" s="1"/>
  <c r="I88" i="11"/>
  <c r="J88" i="11" s="1"/>
  <c r="I88" i="2"/>
  <c r="J88" i="2" s="1"/>
  <c r="I122" i="15"/>
  <c r="J122" i="15" s="1"/>
  <c r="I122" i="16"/>
  <c r="J122" i="16" s="1"/>
  <c r="I124" i="19"/>
  <c r="J124" i="19" s="1"/>
  <c r="I122" i="10"/>
  <c r="J122" i="10" s="1"/>
  <c r="I122" i="13"/>
  <c r="J122" i="13" s="1"/>
  <c r="I122" i="11"/>
  <c r="J122" i="11" s="1"/>
  <c r="I122" i="2"/>
  <c r="J122" i="2" s="1"/>
  <c r="B94" i="34"/>
  <c r="I212" i="15"/>
  <c r="J212" i="15" s="1"/>
  <c r="I212" i="10"/>
  <c r="J212" i="10" s="1"/>
  <c r="I212" i="16"/>
  <c r="J212" i="16" s="1"/>
  <c r="I212" i="13"/>
  <c r="J212" i="13" s="1"/>
  <c r="I214" i="19"/>
  <c r="J214" i="19" s="1"/>
  <c r="I212" i="11"/>
  <c r="J212" i="11" s="1"/>
  <c r="I212" i="2"/>
  <c r="B170" i="34"/>
  <c r="I292" i="11"/>
  <c r="I292" i="13"/>
  <c r="B211" i="34"/>
  <c r="I313" i="16"/>
  <c r="J313" i="16" s="1"/>
  <c r="I315" i="19"/>
  <c r="J315" i="19" s="1"/>
  <c r="I313" i="15"/>
  <c r="J313" i="15" s="1"/>
  <c r="I332" i="13"/>
  <c r="J332" i="13" s="1"/>
  <c r="I332" i="11"/>
  <c r="J332" i="11" s="1"/>
  <c r="I313" i="10"/>
  <c r="J313" i="10" s="1"/>
  <c r="I313" i="2"/>
  <c r="B245" i="34"/>
  <c r="I347" i="16"/>
  <c r="J347" i="16" s="1"/>
  <c r="I347" i="15"/>
  <c r="J347" i="15" s="1"/>
  <c r="I349" i="19"/>
  <c r="J349" i="19" s="1"/>
  <c r="I347" i="10"/>
  <c r="J347" i="10" s="1"/>
  <c r="I366" i="11"/>
  <c r="J366" i="11" s="1"/>
  <c r="I366" i="13"/>
  <c r="J366" i="13" s="1"/>
  <c r="I347" i="2"/>
  <c r="J347" i="2" s="1"/>
  <c r="B281" i="34"/>
  <c r="I44" i="18"/>
  <c r="J44" i="18" s="1"/>
  <c r="I378" i="2"/>
  <c r="J378" i="2" s="1"/>
  <c r="B507" i="34"/>
  <c r="I16" i="21"/>
  <c r="J16" i="21" s="1"/>
  <c r="I17" i="15"/>
  <c r="I17" i="16"/>
  <c r="I17" i="10"/>
  <c r="I17" i="11"/>
  <c r="I17" i="13"/>
  <c r="I17" i="2"/>
  <c r="I17" i="19"/>
  <c r="I25" i="15"/>
  <c r="I25" i="16"/>
  <c r="I25" i="10"/>
  <c r="I25" i="19"/>
  <c r="I25" i="11"/>
  <c r="I25" i="2"/>
  <c r="I25" i="13"/>
  <c r="I59" i="15"/>
  <c r="J59" i="15" s="1"/>
  <c r="I59" i="16"/>
  <c r="J59" i="16" s="1"/>
  <c r="I59" i="11"/>
  <c r="J59" i="11" s="1"/>
  <c r="I61" i="19"/>
  <c r="J61" i="19" s="1"/>
  <c r="I59" i="10"/>
  <c r="J59" i="10" s="1"/>
  <c r="I59" i="13"/>
  <c r="J59" i="13" s="1"/>
  <c r="I59" i="2"/>
  <c r="I41" i="11"/>
  <c r="I41" i="2"/>
  <c r="I43" i="19"/>
  <c r="I49" i="11"/>
  <c r="I49" i="2"/>
  <c r="I57" i="13"/>
  <c r="I57" i="11"/>
  <c r="I69" i="19"/>
  <c r="J69" i="19" s="1"/>
  <c r="I86" i="19"/>
  <c r="I93" i="16"/>
  <c r="J93" i="16" s="1"/>
  <c r="I95" i="19"/>
  <c r="J95" i="19" s="1"/>
  <c r="I113" i="19"/>
  <c r="J113" i="19" s="1"/>
  <c r="I111" i="16"/>
  <c r="J111" i="16" s="1"/>
  <c r="I149" i="16"/>
  <c r="B40" i="34"/>
  <c r="I157" i="15"/>
  <c r="I157" i="16"/>
  <c r="I159" i="19"/>
  <c r="I157" i="10"/>
  <c r="I157" i="11"/>
  <c r="I157" i="13"/>
  <c r="I157" i="2"/>
  <c r="B49" i="34"/>
  <c r="I166" i="11"/>
  <c r="I166" i="13"/>
  <c r="I166" i="10"/>
  <c r="I175" i="2"/>
  <c r="B74" i="34"/>
  <c r="I192" i="15"/>
  <c r="J192" i="15" s="1"/>
  <c r="I192" i="16"/>
  <c r="J192" i="16" s="1"/>
  <c r="I192" i="10"/>
  <c r="J192" i="10" s="1"/>
  <c r="I194" i="19"/>
  <c r="J194" i="19" s="1"/>
  <c r="I192" i="13"/>
  <c r="J192" i="13" s="1"/>
  <c r="I192" i="11"/>
  <c r="J192" i="11" s="1"/>
  <c r="I192" i="2"/>
  <c r="J192" i="2" s="1"/>
  <c r="B90" i="34"/>
  <c r="I208" i="15"/>
  <c r="I208" i="16"/>
  <c r="I208" i="10"/>
  <c r="I210" i="19"/>
  <c r="I208" i="11"/>
  <c r="I208" i="13"/>
  <c r="I208" i="2"/>
  <c r="B99" i="34"/>
  <c r="I217" i="15"/>
  <c r="J217" i="15" s="1"/>
  <c r="I217" i="16"/>
  <c r="J217" i="16" s="1"/>
  <c r="I217" i="10"/>
  <c r="J217" i="10" s="1"/>
  <c r="I219" i="19"/>
  <c r="J219" i="19" s="1"/>
  <c r="I217" i="13"/>
  <c r="J217" i="13" s="1"/>
  <c r="I217" i="11"/>
  <c r="J217" i="11" s="1"/>
  <c r="I217" i="2"/>
  <c r="B108" i="34"/>
  <c r="I227" i="16"/>
  <c r="J227" i="16" s="1"/>
  <c r="I227" i="15"/>
  <c r="J227" i="15" s="1"/>
  <c r="I227" i="10"/>
  <c r="J227" i="10" s="1"/>
  <c r="I227" i="13"/>
  <c r="J227" i="13" s="1"/>
  <c r="I229" i="19"/>
  <c r="J229" i="19" s="1"/>
  <c r="I227" i="11"/>
  <c r="J227" i="11" s="1"/>
  <c r="I227" i="2"/>
  <c r="B124" i="34"/>
  <c r="I244" i="16"/>
  <c r="I244" i="15"/>
  <c r="I246" i="19"/>
  <c r="I244" i="13"/>
  <c r="I244" i="10"/>
  <c r="I244" i="11"/>
  <c r="I244" i="2"/>
  <c r="B135" i="34"/>
  <c r="I257" i="10"/>
  <c r="I257" i="16"/>
  <c r="I257" i="15"/>
  <c r="J257" i="15" s="1"/>
  <c r="I259" i="19"/>
  <c r="I257" i="13"/>
  <c r="I257" i="11"/>
  <c r="I257" i="2"/>
  <c r="J257" i="2" s="1"/>
  <c r="B144" i="34"/>
  <c r="I266" i="15"/>
  <c r="J266" i="15" s="1"/>
  <c r="I266" i="16"/>
  <c r="I266" i="10"/>
  <c r="I266" i="11"/>
  <c r="I268" i="19"/>
  <c r="I266" i="13"/>
  <c r="I266" i="2"/>
  <c r="B166" i="34"/>
  <c r="B187" i="34"/>
  <c r="I289" i="10"/>
  <c r="I289" i="15"/>
  <c r="I289" i="16"/>
  <c r="I291" i="19"/>
  <c r="I309" i="13"/>
  <c r="I309" i="11"/>
  <c r="I289" i="2"/>
  <c r="B196" i="34"/>
  <c r="I300" i="15"/>
  <c r="I302" i="19"/>
  <c r="I300" i="16"/>
  <c r="I300" i="2"/>
  <c r="B207" i="34"/>
  <c r="I310" i="15"/>
  <c r="I310" i="16"/>
  <c r="I310" i="10"/>
  <c r="I329" i="13"/>
  <c r="I312" i="19"/>
  <c r="I329" i="11"/>
  <c r="I310" i="2"/>
  <c r="I336" i="15"/>
  <c r="J336" i="15" s="1"/>
  <c r="I336" i="16"/>
  <c r="J336" i="16" s="1"/>
  <c r="I336" i="2"/>
  <c r="J336" i="2" s="1"/>
  <c r="B250" i="34"/>
  <c r="I352" i="15"/>
  <c r="J352" i="15" s="1"/>
  <c r="I352" i="16"/>
  <c r="J352" i="16" s="1"/>
  <c r="I354" i="19"/>
  <c r="J354" i="19" s="1"/>
  <c r="I352" i="10"/>
  <c r="J352" i="10" s="1"/>
  <c r="I371" i="13"/>
  <c r="J371" i="13" s="1"/>
  <c r="I371" i="11"/>
  <c r="J371" i="11" s="1"/>
  <c r="I352" i="2"/>
  <c r="J352" i="2" s="1"/>
  <c r="B258" i="34"/>
  <c r="I360" i="15"/>
  <c r="J360" i="15" s="1"/>
  <c r="I360" i="16"/>
  <c r="J360" i="16" s="1"/>
  <c r="I360" i="10"/>
  <c r="J360" i="10" s="1"/>
  <c r="I360" i="19"/>
  <c r="J360" i="19" s="1"/>
  <c r="I380" i="13"/>
  <c r="J380" i="13" s="1"/>
  <c r="I380" i="11"/>
  <c r="J380" i="11" s="1"/>
  <c r="I360" i="2"/>
  <c r="J360" i="2" s="1"/>
  <c r="B267" i="34"/>
  <c r="I30" i="18"/>
  <c r="J30" i="18" s="1"/>
  <c r="B305" i="34"/>
  <c r="I68" i="18"/>
  <c r="J68" i="18" s="1"/>
  <c r="B317" i="34"/>
  <c r="B325" i="34"/>
  <c r="I385" i="13"/>
  <c r="J385" i="13" s="1"/>
  <c r="I385" i="11"/>
  <c r="J385" i="11" s="1"/>
  <c r="B333" i="34"/>
  <c r="I393" i="13"/>
  <c r="J393" i="13" s="1"/>
  <c r="B342" i="34"/>
  <c r="I402" i="13"/>
  <c r="J402" i="13" s="1"/>
  <c r="I402" i="11"/>
  <c r="J402" i="11" s="1"/>
  <c r="B351" i="34"/>
  <c r="I411" i="13"/>
  <c r="J411" i="13" s="1"/>
  <c r="I411" i="11"/>
  <c r="J411" i="11" s="1"/>
  <c r="B359" i="34"/>
  <c r="I419" i="13"/>
  <c r="J419" i="13" s="1"/>
  <c r="I419" i="11"/>
  <c r="J419" i="11" s="1"/>
  <c r="B375" i="34"/>
  <c r="I435" i="13"/>
  <c r="J435" i="13" s="1"/>
  <c r="I435" i="11"/>
  <c r="J435" i="11" s="1"/>
  <c r="B512" i="34"/>
  <c r="I21" i="21"/>
  <c r="J21" i="21" s="1"/>
  <c r="B528" i="34"/>
  <c r="I37" i="21"/>
  <c r="J37" i="21" s="1"/>
  <c r="B603" i="34"/>
  <c r="I116" i="21"/>
  <c r="J116" i="21" s="1"/>
  <c r="I163" i="21"/>
  <c r="J163" i="21" s="1"/>
  <c r="B651" i="34"/>
  <c r="I171" i="21"/>
  <c r="J171" i="21" s="1"/>
  <c r="B659" i="34"/>
  <c r="I179" i="21"/>
  <c r="J179" i="21" s="1"/>
  <c r="B675" i="34"/>
  <c r="I196" i="21"/>
  <c r="J196" i="21" s="1"/>
  <c r="B691" i="34"/>
  <c r="I212" i="21"/>
  <c r="J212" i="21" s="1"/>
  <c r="B699" i="34"/>
  <c r="I220" i="21"/>
  <c r="J220" i="21" s="1"/>
  <c r="B624" i="34"/>
  <c r="B610" i="34"/>
  <c r="B622" i="34"/>
  <c r="B608" i="34"/>
  <c r="B129" i="33"/>
  <c r="E125" i="43"/>
  <c r="B502" i="34" s="1"/>
  <c r="B623" i="34"/>
  <c r="B609" i="34"/>
  <c r="E296" i="15"/>
  <c r="J296" i="15" s="1"/>
  <c r="E294" i="15"/>
  <c r="J294" i="15" s="1"/>
  <c r="E295" i="15"/>
  <c r="J295" i="15" s="1"/>
  <c r="F29" i="10"/>
  <c r="F29" i="16"/>
  <c r="F45" i="16"/>
  <c r="F57" i="16"/>
  <c r="F72" i="10"/>
  <c r="F72" i="16"/>
  <c r="F84" i="16"/>
  <c r="F84" i="10"/>
  <c r="F93" i="10"/>
  <c r="F93" i="16"/>
  <c r="F98" i="16"/>
  <c r="F98" i="10"/>
  <c r="G98" i="10" s="1"/>
  <c r="F102" i="16"/>
  <c r="F102" i="10"/>
  <c r="G102" i="10" s="1"/>
  <c r="F111" i="10"/>
  <c r="G111" i="10" s="1"/>
  <c r="F111" i="16"/>
  <c r="F115" i="10"/>
  <c r="G115" i="10" s="1"/>
  <c r="F115" i="16"/>
  <c r="F119" i="10"/>
  <c r="G119" i="10" s="1"/>
  <c r="F119" i="16"/>
  <c r="F123" i="10"/>
  <c r="G123" i="10" s="1"/>
  <c r="F123" i="16"/>
  <c r="F128" i="10"/>
  <c r="G128" i="10" s="1"/>
  <c r="F128" i="16"/>
  <c r="F132" i="10"/>
  <c r="G132" i="10" s="1"/>
  <c r="F132" i="16"/>
  <c r="F136" i="10"/>
  <c r="G136" i="10" s="1"/>
  <c r="F136" i="16"/>
  <c r="F145" i="10"/>
  <c r="F145" i="16"/>
  <c r="F149" i="10"/>
  <c r="F149" i="16"/>
  <c r="F153" i="10"/>
  <c r="F153" i="16"/>
  <c r="F157" i="10"/>
  <c r="F157" i="16"/>
  <c r="F161" i="10"/>
  <c r="F161" i="16"/>
  <c r="F166" i="16"/>
  <c r="F166" i="10"/>
  <c r="F171" i="10"/>
  <c r="F171" i="16"/>
  <c r="F175" i="10"/>
  <c r="F175" i="16"/>
  <c r="F180" i="16"/>
  <c r="F180" i="10"/>
  <c r="F184" i="16"/>
  <c r="F184" i="10"/>
  <c r="G184" i="10" s="1"/>
  <c r="F188" i="16"/>
  <c r="F188" i="10"/>
  <c r="F192" i="16"/>
  <c r="F192" i="10"/>
  <c r="G192" i="10" s="1"/>
  <c r="F196" i="16"/>
  <c r="F196" i="10"/>
  <c r="F200" i="16"/>
  <c r="F200" i="10"/>
  <c r="F204" i="16"/>
  <c r="F204" i="10"/>
  <c r="G204" i="10" s="1"/>
  <c r="F208" i="16"/>
  <c r="F208" i="10"/>
  <c r="F213" i="10"/>
  <c r="G213" i="10" s="1"/>
  <c r="F213" i="16"/>
  <c r="F217" i="10"/>
  <c r="G217" i="10" s="1"/>
  <c r="F217" i="16"/>
  <c r="F223" i="10"/>
  <c r="F223" i="16"/>
  <c r="F227" i="10"/>
  <c r="G227" i="10" s="1"/>
  <c r="F227" i="16"/>
  <c r="F232" i="10"/>
  <c r="F232" i="16"/>
  <c r="F236" i="10"/>
  <c r="F236" i="16"/>
  <c r="F240" i="10"/>
  <c r="F240" i="16"/>
  <c r="F244" i="10"/>
  <c r="F244" i="16"/>
  <c r="F253" i="10"/>
  <c r="F253" i="16"/>
  <c r="F257" i="10"/>
  <c r="F257" i="16"/>
  <c r="F262" i="10"/>
  <c r="F262" i="16"/>
  <c r="F266" i="10"/>
  <c r="F266" i="16"/>
  <c r="F273" i="10"/>
  <c r="F273" i="16"/>
  <c r="F278" i="10"/>
  <c r="F278" i="16"/>
  <c r="F283" i="10"/>
  <c r="F283" i="16"/>
  <c r="F291" i="19"/>
  <c r="F289" i="10"/>
  <c r="F289" i="16"/>
  <c r="F295" i="19"/>
  <c r="F293" i="10"/>
  <c r="F293" i="16"/>
  <c r="F301" i="19"/>
  <c r="F299" i="10"/>
  <c r="F299" i="16"/>
  <c r="F305" i="10"/>
  <c r="F305" i="16"/>
  <c r="F307" i="19"/>
  <c r="F309" i="10"/>
  <c r="F309" i="16"/>
  <c r="F311" i="19"/>
  <c r="F313" i="16"/>
  <c r="F313" i="10"/>
  <c r="G313" i="10" s="1"/>
  <c r="F317" i="16"/>
  <c r="F317" i="10"/>
  <c r="G317" i="10" s="1"/>
  <c r="F322" i="10"/>
  <c r="F322" i="16"/>
  <c r="F326" i="10"/>
  <c r="F326" i="16"/>
  <c r="F330" i="10"/>
  <c r="F330" i="16"/>
  <c r="F335" i="16"/>
  <c r="F335" i="10"/>
  <c r="G335" i="10" s="1"/>
  <c r="F339" i="16"/>
  <c r="F339" i="10"/>
  <c r="G339" i="10" s="1"/>
  <c r="F343" i="16"/>
  <c r="F343" i="10"/>
  <c r="G343" i="10" s="1"/>
  <c r="F347" i="16"/>
  <c r="F347" i="10"/>
  <c r="G347" i="10" s="1"/>
  <c r="F351" i="16"/>
  <c r="F351" i="10"/>
  <c r="G351" i="10" s="1"/>
  <c r="F355" i="15"/>
  <c r="F355" i="16"/>
  <c r="F355" i="10"/>
  <c r="G355" i="10" s="1"/>
  <c r="F359" i="15"/>
  <c r="F359" i="19"/>
  <c r="G359" i="19" s="1"/>
  <c r="F359" i="10"/>
  <c r="G359" i="10" s="1"/>
  <c r="F359" i="16"/>
  <c r="G359" i="16" s="1"/>
  <c r="F363" i="19"/>
  <c r="G363" i="19" s="1"/>
  <c r="F365" i="15"/>
  <c r="G365" i="15" s="1"/>
  <c r="F372" i="15"/>
  <c r="G372" i="15" s="1"/>
  <c r="F369" i="19"/>
  <c r="G369" i="19" s="1"/>
  <c r="F377" i="2"/>
  <c r="F367" i="16"/>
  <c r="G367" i="16" s="1"/>
  <c r="F367" i="10"/>
  <c r="G367" i="10" s="1"/>
  <c r="F378" i="15"/>
  <c r="F373" i="19"/>
  <c r="G373" i="19" s="1"/>
  <c r="F381" i="2"/>
  <c r="F371" i="16"/>
  <c r="G371" i="16" s="1"/>
  <c r="F371" i="10"/>
  <c r="G371" i="10" s="1"/>
  <c r="F382" i="15"/>
  <c r="B594" i="33"/>
  <c r="F17" i="10"/>
  <c r="F17" i="16"/>
  <c r="F37" i="16"/>
  <c r="F63" i="16"/>
  <c r="F63" i="10"/>
  <c r="G63" i="10" s="1"/>
  <c r="F22" i="16"/>
  <c r="F22" i="10"/>
  <c r="F42" i="16"/>
  <c r="F64" i="10"/>
  <c r="G64" i="10" s="1"/>
  <c r="F64" i="16"/>
  <c r="F116" i="16"/>
  <c r="F116" i="10"/>
  <c r="G116" i="10" s="1"/>
  <c r="F279" i="10"/>
  <c r="F279" i="16"/>
  <c r="F284" i="10"/>
  <c r="F284" i="16"/>
  <c r="F302" i="19"/>
  <c r="F300" i="10"/>
  <c r="F300" i="16"/>
  <c r="F306" i="10"/>
  <c r="F306" i="16"/>
  <c r="F308" i="19"/>
  <c r="F310" i="10"/>
  <c r="F310" i="16"/>
  <c r="F312" i="19"/>
  <c r="F318" i="10"/>
  <c r="G318" i="10" s="1"/>
  <c r="F318" i="16"/>
  <c r="F327" i="10"/>
  <c r="F327" i="16"/>
  <c r="F331" i="10"/>
  <c r="F331" i="16"/>
  <c r="F336" i="16"/>
  <c r="F336" i="10"/>
  <c r="G336" i="10" s="1"/>
  <c r="F340" i="16"/>
  <c r="F340" i="10"/>
  <c r="G340" i="10" s="1"/>
  <c r="F344" i="16"/>
  <c r="F344" i="10"/>
  <c r="G344" i="10" s="1"/>
  <c r="F348" i="16"/>
  <c r="F348" i="10"/>
  <c r="G348" i="10" s="1"/>
  <c r="F352" i="16"/>
  <c r="F352" i="10"/>
  <c r="G352" i="10" s="1"/>
  <c r="F356" i="15"/>
  <c r="F356" i="10"/>
  <c r="G356" i="10" s="1"/>
  <c r="F356" i="16"/>
  <c r="G356" i="16" s="1"/>
  <c r="F360" i="19"/>
  <c r="G360" i="19" s="1"/>
  <c r="F360" i="15"/>
  <c r="F360" i="10"/>
  <c r="G360" i="10" s="1"/>
  <c r="F360" i="16"/>
  <c r="G360" i="16" s="1"/>
  <c r="F369" i="15"/>
  <c r="G369" i="15" s="1"/>
  <c r="F364" i="10"/>
  <c r="F364" i="16"/>
  <c r="F375" i="15"/>
  <c r="F366" i="19"/>
  <c r="F374" i="2"/>
  <c r="F368" i="10"/>
  <c r="G368" i="10" s="1"/>
  <c r="F368" i="16"/>
  <c r="G368" i="16" s="1"/>
  <c r="F379" i="15"/>
  <c r="F378" i="2"/>
  <c r="F370" i="19"/>
  <c r="G370" i="19" s="1"/>
  <c r="F364" i="15"/>
  <c r="G364" i="15" s="1"/>
  <c r="B595" i="33"/>
  <c r="F13" i="10"/>
  <c r="F13" i="16"/>
  <c r="F61" i="19"/>
  <c r="G61" i="19" s="1"/>
  <c r="F59" i="16"/>
  <c r="G59" i="16" s="1"/>
  <c r="F59" i="10"/>
  <c r="G59" i="10" s="1"/>
  <c r="F49" i="16"/>
  <c r="F76" i="16"/>
  <c r="F76" i="10"/>
  <c r="F18" i="16"/>
  <c r="F18" i="10"/>
  <c r="F30" i="16"/>
  <c r="F30" i="10"/>
  <c r="F38" i="16"/>
  <c r="F50" i="16"/>
  <c r="F58" i="16"/>
  <c r="G58" i="16" s="1"/>
  <c r="F73" i="10"/>
  <c r="F73" i="16"/>
  <c r="F81" i="10"/>
  <c r="F81" i="16"/>
  <c r="F90" i="10"/>
  <c r="G90" i="10" s="1"/>
  <c r="F90" i="16"/>
  <c r="F99" i="16"/>
  <c r="F99" i="10"/>
  <c r="G99" i="10" s="1"/>
  <c r="F108" i="16"/>
  <c r="F108" i="10"/>
  <c r="G108" i="10" s="1"/>
  <c r="F120" i="16"/>
  <c r="F120" i="10"/>
  <c r="G120" i="10" s="1"/>
  <c r="F129" i="16"/>
  <c r="F129" i="10"/>
  <c r="G129" i="10" s="1"/>
  <c r="F140" i="16"/>
  <c r="F140" i="10"/>
  <c r="F150" i="10"/>
  <c r="F150" i="16"/>
  <c r="F162" i="10"/>
  <c r="F162" i="16"/>
  <c r="F172" i="16"/>
  <c r="F172" i="10"/>
  <c r="F181" i="16"/>
  <c r="F181" i="10"/>
  <c r="F189" i="16"/>
  <c r="F189" i="10"/>
  <c r="F201" i="16"/>
  <c r="F201" i="10"/>
  <c r="F210" i="10"/>
  <c r="G210" i="10" s="1"/>
  <c r="F210" i="16"/>
  <c r="F218" i="10"/>
  <c r="G218" i="10" s="1"/>
  <c r="F218" i="16"/>
  <c r="F228" i="10"/>
  <c r="F228" i="16"/>
  <c r="F237" i="16"/>
  <c r="F237" i="10"/>
  <c r="F245" i="16"/>
  <c r="F245" i="10"/>
  <c r="F258" i="10"/>
  <c r="F258" i="16"/>
  <c r="F268" i="16"/>
  <c r="F268" i="10"/>
  <c r="F274" i="10"/>
  <c r="F274" i="16"/>
  <c r="F288" i="16"/>
  <c r="F288" i="10"/>
  <c r="F290" i="16"/>
  <c r="F290" i="10"/>
  <c r="F292" i="19"/>
  <c r="F314" i="10"/>
  <c r="G314" i="10" s="1"/>
  <c r="F314" i="16"/>
  <c r="F15" i="10"/>
  <c r="F15" i="16"/>
  <c r="F19" i="16"/>
  <c r="F19" i="10"/>
  <c r="F23" i="16"/>
  <c r="F23" i="10"/>
  <c r="F27" i="16"/>
  <c r="F27" i="10"/>
  <c r="F31" i="16"/>
  <c r="F31" i="10"/>
  <c r="G31" i="10" s="1"/>
  <c r="F35" i="16"/>
  <c r="F39" i="16"/>
  <c r="F43" i="16"/>
  <c r="F47" i="16"/>
  <c r="F51" i="16"/>
  <c r="F55" i="16"/>
  <c r="F61" i="10"/>
  <c r="G61" i="10" s="1"/>
  <c r="F61" i="16"/>
  <c r="F65" i="10"/>
  <c r="G65" i="10" s="1"/>
  <c r="F65" i="16"/>
  <c r="F70" i="10"/>
  <c r="F70" i="16"/>
  <c r="F74" i="10"/>
  <c r="F74" i="16"/>
  <c r="F78" i="10"/>
  <c r="F78" i="16"/>
  <c r="F82" i="10"/>
  <c r="F82" i="16"/>
  <c r="F86" i="10"/>
  <c r="F86" i="16"/>
  <c r="F91" i="16"/>
  <c r="F91" i="10"/>
  <c r="G91" i="10" s="1"/>
  <c r="F95" i="16"/>
  <c r="F95" i="10"/>
  <c r="G95" i="10" s="1"/>
  <c r="F100" i="10"/>
  <c r="G100" i="10" s="1"/>
  <c r="F100" i="16"/>
  <c r="F104" i="10"/>
  <c r="G104" i="10" s="1"/>
  <c r="F104" i="16"/>
  <c r="F109" i="16"/>
  <c r="F109" i="10"/>
  <c r="G109" i="10" s="1"/>
  <c r="F113" i="16"/>
  <c r="F113" i="10"/>
  <c r="G113" i="10" s="1"/>
  <c r="F117" i="16"/>
  <c r="F117" i="10"/>
  <c r="G117" i="10" s="1"/>
  <c r="F121" i="16"/>
  <c r="F121" i="10"/>
  <c r="G121" i="10" s="1"/>
  <c r="F125" i="16"/>
  <c r="F125" i="10"/>
  <c r="G125" i="10" s="1"/>
  <c r="F130" i="16"/>
  <c r="F130" i="10"/>
  <c r="G130" i="10" s="1"/>
  <c r="F134" i="16"/>
  <c r="F134" i="10"/>
  <c r="G134" i="10" s="1"/>
  <c r="F142" i="10"/>
  <c r="F142" i="16"/>
  <c r="F147" i="10"/>
  <c r="F147" i="16"/>
  <c r="F151" i="10"/>
  <c r="F151" i="16"/>
  <c r="F155" i="10"/>
  <c r="F155" i="16"/>
  <c r="F159" i="10"/>
  <c r="F159" i="16"/>
  <c r="F163" i="10"/>
  <c r="F163" i="16"/>
  <c r="F169" i="16"/>
  <c r="F169" i="10"/>
  <c r="F173" i="16"/>
  <c r="F173" i="10"/>
  <c r="F178" i="16"/>
  <c r="F178" i="10"/>
  <c r="F182" i="16"/>
  <c r="F182" i="10"/>
  <c r="F186" i="16"/>
  <c r="F186" i="10"/>
  <c r="F190" i="16"/>
  <c r="F190" i="10"/>
  <c r="F194" i="16"/>
  <c r="F194" i="10"/>
  <c r="G194" i="10" s="1"/>
  <c r="F198" i="16"/>
  <c r="F198" i="10"/>
  <c r="F202" i="16"/>
  <c r="F202" i="10"/>
  <c r="F206" i="16"/>
  <c r="F206" i="10"/>
  <c r="F211" i="10"/>
  <c r="G211" i="10" s="1"/>
  <c r="F211" i="16"/>
  <c r="F215" i="10"/>
  <c r="G215" i="10" s="1"/>
  <c r="F215" i="16"/>
  <c r="F220" i="10"/>
  <c r="F220" i="16"/>
  <c r="F225" i="16"/>
  <c r="F225" i="10"/>
  <c r="F229" i="16"/>
  <c r="F229" i="10"/>
  <c r="F234" i="10"/>
  <c r="F234" i="16"/>
  <c r="F238" i="10"/>
  <c r="F238" i="16"/>
  <c r="F242" i="10"/>
  <c r="F242" i="16"/>
  <c r="F251" i="10"/>
  <c r="F251" i="16"/>
  <c r="F255" i="10"/>
  <c r="F255" i="16"/>
  <c r="F259" i="10"/>
  <c r="F259" i="16"/>
  <c r="F264" i="16"/>
  <c r="F264" i="10"/>
  <c r="F269" i="10"/>
  <c r="F269" i="16"/>
  <c r="F275" i="10"/>
  <c r="F275" i="16"/>
  <c r="F280" i="16"/>
  <c r="F280" i="10"/>
  <c r="F285" i="10"/>
  <c r="F285" i="16"/>
  <c r="F291" i="10"/>
  <c r="F291" i="16"/>
  <c r="F293" i="19"/>
  <c r="F299" i="19"/>
  <c r="F305" i="19"/>
  <c r="F303" i="10"/>
  <c r="F303" i="16"/>
  <c r="F309" i="19"/>
  <c r="F307" i="10"/>
  <c r="F307" i="16"/>
  <c r="F313" i="19"/>
  <c r="F311" i="10"/>
  <c r="F311" i="16"/>
  <c r="F315" i="10"/>
  <c r="G315" i="10" s="1"/>
  <c r="F315" i="16"/>
  <c r="F319" i="10"/>
  <c r="G319" i="10" s="1"/>
  <c r="F319" i="16"/>
  <c r="F324" i="10"/>
  <c r="F324" i="16"/>
  <c r="F328" i="10"/>
  <c r="F328" i="16"/>
  <c r="F332" i="10"/>
  <c r="F332" i="16"/>
  <c r="F337" i="16"/>
  <c r="F337" i="10"/>
  <c r="G337" i="10" s="1"/>
  <c r="F341" i="16"/>
  <c r="F341" i="10"/>
  <c r="G341" i="10" s="1"/>
  <c r="F345" i="16"/>
  <c r="F345" i="10"/>
  <c r="G345" i="10" s="1"/>
  <c r="F349" i="16"/>
  <c r="F349" i="10"/>
  <c r="G349" i="10" s="1"/>
  <c r="F353" i="16"/>
  <c r="F353" i="10"/>
  <c r="G353" i="10" s="1"/>
  <c r="F357" i="19"/>
  <c r="G357" i="19" s="1"/>
  <c r="F357" i="15"/>
  <c r="F357" i="10"/>
  <c r="G357" i="10" s="1"/>
  <c r="F357" i="16"/>
  <c r="G357" i="16" s="1"/>
  <c r="F361" i="19"/>
  <c r="G361" i="19" s="1"/>
  <c r="F361" i="15"/>
  <c r="F361" i="10"/>
  <c r="G361" i="10" s="1"/>
  <c r="F361" i="16"/>
  <c r="G361" i="16" s="1"/>
  <c r="F370" i="15"/>
  <c r="G370" i="15" s="1"/>
  <c r="F365" i="16"/>
  <c r="G365" i="16" s="1"/>
  <c r="F376" i="15"/>
  <c r="F367" i="19"/>
  <c r="G367" i="19" s="1"/>
  <c r="F375" i="2"/>
  <c r="F365" i="10"/>
  <c r="G365" i="10" s="1"/>
  <c r="F369" i="10"/>
  <c r="G369" i="10" s="1"/>
  <c r="F371" i="19"/>
  <c r="G371" i="19" s="1"/>
  <c r="F369" i="16"/>
  <c r="G369" i="16" s="1"/>
  <c r="F380" i="15"/>
  <c r="F379" i="2"/>
  <c r="B592" i="33"/>
  <c r="F21" i="10"/>
  <c r="F21" i="16"/>
  <c r="F25" i="10"/>
  <c r="F25" i="16"/>
  <c r="F41" i="16"/>
  <c r="F53" i="16"/>
  <c r="F67" i="10"/>
  <c r="G67" i="10" s="1"/>
  <c r="F67" i="16"/>
  <c r="F80" i="10"/>
  <c r="F80" i="16"/>
  <c r="F89" i="10"/>
  <c r="G89" i="10" s="1"/>
  <c r="F89" i="16"/>
  <c r="F107" i="10"/>
  <c r="G107" i="10" s="1"/>
  <c r="F107" i="16"/>
  <c r="F14" i="16"/>
  <c r="F14" i="10"/>
  <c r="F26" i="16"/>
  <c r="F26" i="10"/>
  <c r="F34" i="16"/>
  <c r="F46" i="16"/>
  <c r="F54" i="16"/>
  <c r="F68" i="10"/>
  <c r="G68" i="10" s="1"/>
  <c r="F68" i="16"/>
  <c r="F77" i="10"/>
  <c r="G77" i="10" s="1"/>
  <c r="F77" i="16"/>
  <c r="F85" i="10"/>
  <c r="F85" i="16"/>
  <c r="F94" i="10"/>
  <c r="G94" i="10" s="1"/>
  <c r="F94" i="16"/>
  <c r="F103" i="16"/>
  <c r="F103" i="10"/>
  <c r="G103" i="10" s="1"/>
  <c r="F112" i="16"/>
  <c r="F112" i="10"/>
  <c r="G112" i="10" s="1"/>
  <c r="F124" i="16"/>
  <c r="F124" i="10"/>
  <c r="G124" i="10" s="1"/>
  <c r="F133" i="16"/>
  <c r="F133" i="10"/>
  <c r="G133" i="10" s="1"/>
  <c r="F146" i="10"/>
  <c r="F146" i="16"/>
  <c r="F154" i="16"/>
  <c r="F154" i="10"/>
  <c r="F158" i="10"/>
  <c r="F158" i="16"/>
  <c r="F168" i="16"/>
  <c r="F168" i="10"/>
  <c r="F176" i="16"/>
  <c r="F176" i="10"/>
  <c r="F185" i="16"/>
  <c r="F185" i="10"/>
  <c r="F193" i="16"/>
  <c r="F193" i="10"/>
  <c r="G193" i="10" s="1"/>
  <c r="F197" i="16"/>
  <c r="F197" i="10"/>
  <c r="F205" i="16"/>
  <c r="F205" i="10"/>
  <c r="G205" i="10" s="1"/>
  <c r="F214" i="10"/>
  <c r="G214" i="10" s="1"/>
  <c r="F214" i="16"/>
  <c r="F224" i="10"/>
  <c r="F224" i="16"/>
  <c r="F233" i="16"/>
  <c r="F233" i="10"/>
  <c r="F241" i="16"/>
  <c r="F241" i="10"/>
  <c r="F254" i="10"/>
  <c r="F254" i="16"/>
  <c r="F263" i="10"/>
  <c r="F263" i="16"/>
  <c r="F323" i="10"/>
  <c r="F323" i="16"/>
  <c r="F12" i="10"/>
  <c r="F12" i="16"/>
  <c r="F16" i="10"/>
  <c r="F16" i="16"/>
  <c r="F20" i="10"/>
  <c r="F20" i="16"/>
  <c r="F24" i="10"/>
  <c r="F24" i="16"/>
  <c r="F28" i="10"/>
  <c r="F28" i="16"/>
  <c r="F32" i="10"/>
  <c r="F32" i="16"/>
  <c r="F36" i="16"/>
  <c r="F40" i="16"/>
  <c r="F44" i="16"/>
  <c r="F48" i="16"/>
  <c r="F52" i="16"/>
  <c r="F56" i="16"/>
  <c r="F62" i="10"/>
  <c r="G62" i="10" s="1"/>
  <c r="F62" i="16"/>
  <c r="F66" i="10"/>
  <c r="G66" i="10" s="1"/>
  <c r="F66" i="16"/>
  <c r="F71" i="16"/>
  <c r="F71" i="10"/>
  <c r="F75" i="16"/>
  <c r="F75" i="10"/>
  <c r="F79" i="16"/>
  <c r="F79" i="10"/>
  <c r="G79" i="10" s="1"/>
  <c r="F83" i="16"/>
  <c r="F83" i="10"/>
  <c r="F88" i="10"/>
  <c r="G88" i="10" s="1"/>
  <c r="F88" i="16"/>
  <c r="F92" i="16"/>
  <c r="F92" i="10"/>
  <c r="G92" i="10" s="1"/>
  <c r="F96" i="10"/>
  <c r="G96" i="10" s="1"/>
  <c r="F96" i="16"/>
  <c r="F101" i="10"/>
  <c r="F101" i="16"/>
  <c r="F106" i="10"/>
  <c r="G106" i="10" s="1"/>
  <c r="F106" i="16"/>
  <c r="F110" i="10"/>
  <c r="G110" i="10" s="1"/>
  <c r="F110" i="16"/>
  <c r="F114" i="10"/>
  <c r="G114" i="10" s="1"/>
  <c r="F114" i="16"/>
  <c r="F118" i="10"/>
  <c r="G118" i="10" s="1"/>
  <c r="F118" i="16"/>
  <c r="F122" i="10"/>
  <c r="G122" i="10" s="1"/>
  <c r="F122" i="16"/>
  <c r="F127" i="10"/>
  <c r="G127" i="10" s="1"/>
  <c r="F127" i="16"/>
  <c r="F131" i="10"/>
  <c r="G131" i="10" s="1"/>
  <c r="F131" i="16"/>
  <c r="F135" i="10"/>
  <c r="G135" i="10" s="1"/>
  <c r="F135" i="16"/>
  <c r="F144" i="10"/>
  <c r="F144" i="16"/>
  <c r="F148" i="16"/>
  <c r="F148" i="10"/>
  <c r="F152" i="10"/>
  <c r="F152" i="16"/>
  <c r="F156" i="10"/>
  <c r="F156" i="16"/>
  <c r="F160" i="10"/>
  <c r="F160" i="16"/>
  <c r="F164" i="10"/>
  <c r="F164" i="16"/>
  <c r="F170" i="16"/>
  <c r="F170" i="10"/>
  <c r="F174" i="16"/>
  <c r="F174" i="10"/>
  <c r="F179" i="10"/>
  <c r="F179" i="16"/>
  <c r="F183" i="10"/>
  <c r="G183" i="10" s="1"/>
  <c r="F183" i="16"/>
  <c r="B309" i="33"/>
  <c r="F187" i="10"/>
  <c r="F187" i="16"/>
  <c r="F191" i="10"/>
  <c r="F191" i="16"/>
  <c r="F195" i="10"/>
  <c r="G195" i="10" s="1"/>
  <c r="F195" i="16"/>
  <c r="F199" i="10"/>
  <c r="F199" i="16"/>
  <c r="F203" i="10"/>
  <c r="G203" i="10" s="1"/>
  <c r="F203" i="16"/>
  <c r="F207" i="10"/>
  <c r="F207" i="16"/>
  <c r="F212" i="16"/>
  <c r="F212" i="10"/>
  <c r="G212" i="10" s="1"/>
  <c r="F216" i="16"/>
  <c r="F216" i="10"/>
  <c r="G216" i="10" s="1"/>
  <c r="F222" i="10"/>
  <c r="F222" i="16"/>
  <c r="F226" i="10"/>
  <c r="F226" i="16"/>
  <c r="F230" i="10"/>
  <c r="F230" i="16"/>
  <c r="F235" i="10"/>
  <c r="F235" i="16"/>
  <c r="F239" i="10"/>
  <c r="G239" i="10" s="1"/>
  <c r="F239" i="16"/>
  <c r="F243" i="10"/>
  <c r="G243" i="10" s="1"/>
  <c r="F243" i="16"/>
  <c r="F252" i="10"/>
  <c r="F252" i="16"/>
  <c r="F256" i="10"/>
  <c r="F256" i="16"/>
  <c r="F261" i="10"/>
  <c r="F261" i="16"/>
  <c r="F265" i="10"/>
  <c r="F265" i="16"/>
  <c r="F270" i="10"/>
  <c r="F270" i="16"/>
  <c r="F277" i="10"/>
  <c r="F277" i="16"/>
  <c r="F281" i="10"/>
  <c r="F281" i="16"/>
  <c r="F286" i="10"/>
  <c r="F286" i="16"/>
  <c r="F292" i="10"/>
  <c r="F292" i="16"/>
  <c r="F294" i="19"/>
  <c r="F297" i="10"/>
  <c r="F297" i="16"/>
  <c r="F300" i="19"/>
  <c r="F306" i="19"/>
  <c r="F304" i="10"/>
  <c r="F304" i="16"/>
  <c r="F310" i="19"/>
  <c r="F308" i="10"/>
  <c r="F308" i="16"/>
  <c r="F298" i="10"/>
  <c r="F298" i="16"/>
  <c r="F316" i="10"/>
  <c r="G316" i="10" s="1"/>
  <c r="F316" i="16"/>
  <c r="F321" i="16"/>
  <c r="F321" i="10"/>
  <c r="F325" i="16"/>
  <c r="F325" i="10"/>
  <c r="F329" i="16"/>
  <c r="F329" i="10"/>
  <c r="F333" i="16"/>
  <c r="F333" i="10"/>
  <c r="F338" i="10"/>
  <c r="G338" i="10" s="1"/>
  <c r="F338" i="16"/>
  <c r="F342" i="10"/>
  <c r="G342" i="10" s="1"/>
  <c r="F342" i="16"/>
  <c r="F346" i="10"/>
  <c r="G346" i="10" s="1"/>
  <c r="F346" i="16"/>
  <c r="F350" i="10"/>
  <c r="G350" i="10" s="1"/>
  <c r="F350" i="16"/>
  <c r="F358" i="15"/>
  <c r="F358" i="19"/>
  <c r="G358" i="19" s="1"/>
  <c r="F358" i="10"/>
  <c r="G358" i="10" s="1"/>
  <c r="F358" i="16"/>
  <c r="G358" i="16" s="1"/>
  <c r="F362" i="19"/>
  <c r="G362" i="19" s="1"/>
  <c r="F371" i="15"/>
  <c r="G371" i="15" s="1"/>
  <c r="F366" i="10"/>
  <c r="G366" i="10" s="1"/>
  <c r="F366" i="16"/>
  <c r="G366" i="16" s="1"/>
  <c r="F368" i="19"/>
  <c r="G368" i="19" s="1"/>
  <c r="F377" i="15"/>
  <c r="F376" i="2"/>
  <c r="F370" i="16"/>
  <c r="G370" i="16" s="1"/>
  <c r="F381" i="15"/>
  <c r="F370" i="10"/>
  <c r="G370" i="10" s="1"/>
  <c r="F372" i="19"/>
  <c r="G372" i="19" s="1"/>
  <c r="F380" i="2"/>
  <c r="B593" i="33"/>
  <c r="F178" i="15"/>
  <c r="F233" i="21"/>
  <c r="F235" i="21"/>
  <c r="F237" i="21"/>
  <c r="F239" i="21"/>
  <c r="F12" i="21"/>
  <c r="F14" i="21"/>
  <c r="F16" i="21"/>
  <c r="F18" i="21"/>
  <c r="F20" i="21"/>
  <c r="F22" i="21"/>
  <c r="F24" i="21"/>
  <c r="F26" i="21"/>
  <c r="F28" i="21"/>
  <c r="F30" i="21"/>
  <c r="F32" i="21"/>
  <c r="F34" i="21"/>
  <c r="F36" i="21"/>
  <c r="F38" i="21"/>
  <c r="F40" i="21"/>
  <c r="F42" i="21"/>
  <c r="F44" i="21"/>
  <c r="F46" i="21"/>
  <c r="F48" i="21"/>
  <c r="F50" i="21"/>
  <c r="F52" i="21"/>
  <c r="F54" i="21"/>
  <c r="F58" i="21"/>
  <c r="F60" i="21"/>
  <c r="F63" i="21"/>
  <c r="F65" i="21"/>
  <c r="G65" i="21" s="1"/>
  <c r="F68" i="21"/>
  <c r="F70" i="21"/>
  <c r="F115" i="21"/>
  <c r="F117" i="21"/>
  <c r="F119" i="21"/>
  <c r="F127" i="21"/>
  <c r="G127" i="21" s="1"/>
  <c r="F131" i="21"/>
  <c r="F135" i="21"/>
  <c r="F140" i="21"/>
  <c r="F143" i="21"/>
  <c r="F145" i="21"/>
  <c r="F148" i="21"/>
  <c r="F155" i="21"/>
  <c r="F160" i="21"/>
  <c r="F162" i="21"/>
  <c r="F164" i="21"/>
  <c r="F166" i="21"/>
  <c r="F168" i="21"/>
  <c r="F170" i="21"/>
  <c r="F172" i="21"/>
  <c r="F174" i="21"/>
  <c r="F176" i="21"/>
  <c r="F178" i="21"/>
  <c r="F180" i="21"/>
  <c r="F182" i="21"/>
  <c r="F184" i="21"/>
  <c r="F187" i="21"/>
  <c r="F189" i="21"/>
  <c r="F191" i="21"/>
  <c r="F193" i="21"/>
  <c r="F195" i="21"/>
  <c r="F197" i="21"/>
  <c r="F199" i="21"/>
  <c r="F201" i="21"/>
  <c r="F203" i="21"/>
  <c r="F205" i="21"/>
  <c r="F207" i="21"/>
  <c r="F209" i="21"/>
  <c r="F211" i="21"/>
  <c r="F213" i="21"/>
  <c r="F215" i="21"/>
  <c r="F217" i="21"/>
  <c r="F219" i="21"/>
  <c r="F221" i="21"/>
  <c r="F223" i="21"/>
  <c r="F225" i="21"/>
  <c r="F227" i="21"/>
  <c r="F234" i="21"/>
  <c r="F236" i="21"/>
  <c r="F238" i="21"/>
  <c r="F240" i="21"/>
  <c r="F13" i="21"/>
  <c r="F15" i="21"/>
  <c r="F17" i="21"/>
  <c r="F19" i="21"/>
  <c r="F21" i="21"/>
  <c r="F23" i="21"/>
  <c r="F25" i="21"/>
  <c r="F27" i="21"/>
  <c r="F29" i="21"/>
  <c r="F31" i="21"/>
  <c r="F33" i="21"/>
  <c r="F35" i="21"/>
  <c r="F37" i="21"/>
  <c r="F39" i="21"/>
  <c r="F41" i="21"/>
  <c r="F43" i="21"/>
  <c r="F45" i="21"/>
  <c r="F47" i="21"/>
  <c r="F49" i="21"/>
  <c r="F51" i="21"/>
  <c r="F53" i="21"/>
  <c r="F57" i="21"/>
  <c r="F59" i="21"/>
  <c r="F61" i="21"/>
  <c r="F64" i="21"/>
  <c r="F66" i="21"/>
  <c r="G66" i="21" s="1"/>
  <c r="F69" i="21"/>
  <c r="F112" i="21"/>
  <c r="F116" i="21"/>
  <c r="F118" i="21"/>
  <c r="F126" i="21"/>
  <c r="G126" i="21" s="1"/>
  <c r="F130" i="21"/>
  <c r="F134" i="21"/>
  <c r="G134" i="21" s="1"/>
  <c r="F139" i="21"/>
  <c r="F141" i="21"/>
  <c r="F144" i="21"/>
  <c r="F146" i="21"/>
  <c r="F154" i="21"/>
  <c r="G154" i="21" s="1"/>
  <c r="F156" i="21"/>
  <c r="F161" i="21"/>
  <c r="F163" i="21"/>
  <c r="F165" i="21"/>
  <c r="F167" i="21"/>
  <c r="F169" i="21"/>
  <c r="F171" i="21"/>
  <c r="F173" i="21"/>
  <c r="F175" i="21"/>
  <c r="F177" i="21"/>
  <c r="F179" i="21"/>
  <c r="F181" i="21"/>
  <c r="F183" i="21"/>
  <c r="F186" i="21"/>
  <c r="F188" i="21"/>
  <c r="F190" i="21"/>
  <c r="F192" i="21"/>
  <c r="F194" i="21"/>
  <c r="F196" i="21"/>
  <c r="F198" i="21"/>
  <c r="F200" i="21"/>
  <c r="F202" i="21"/>
  <c r="F204" i="21"/>
  <c r="F206" i="21"/>
  <c r="F208" i="21"/>
  <c r="F210" i="21"/>
  <c r="F212" i="21"/>
  <c r="F214" i="21"/>
  <c r="F216" i="21"/>
  <c r="F218" i="21"/>
  <c r="F220" i="21"/>
  <c r="F222" i="21"/>
  <c r="F224" i="21"/>
  <c r="F226" i="21"/>
  <c r="F228" i="21"/>
  <c r="E167" i="15"/>
  <c r="J167" i="15" s="1"/>
  <c r="E177" i="15"/>
  <c r="J177" i="15" s="1"/>
  <c r="E178" i="15"/>
  <c r="F13" i="2"/>
  <c r="B9" i="33"/>
  <c r="F13" i="19"/>
  <c r="F13" i="13"/>
  <c r="F13" i="11"/>
  <c r="F17" i="2"/>
  <c r="B13" i="33"/>
  <c r="F17" i="19"/>
  <c r="F17" i="11"/>
  <c r="F17" i="13"/>
  <c r="F21" i="2"/>
  <c r="B17" i="33"/>
  <c r="F21" i="19"/>
  <c r="F21" i="13"/>
  <c r="F21" i="11"/>
  <c r="F25" i="2"/>
  <c r="B21" i="33"/>
  <c r="F25" i="19"/>
  <c r="F25" i="11"/>
  <c r="F25" i="13"/>
  <c r="F29" i="2"/>
  <c r="B25" i="33"/>
  <c r="F29" i="19"/>
  <c r="F29" i="13"/>
  <c r="F29" i="11"/>
  <c r="B33" i="33"/>
  <c r="F37" i="19"/>
  <c r="G37" i="19" s="1"/>
  <c r="F35" i="10"/>
  <c r="G35" i="10" s="1"/>
  <c r="F35" i="11"/>
  <c r="F35" i="13"/>
  <c r="B37" i="33"/>
  <c r="F39" i="10"/>
  <c r="F41" i="19"/>
  <c r="F39" i="11"/>
  <c r="F39" i="13"/>
  <c r="B41" i="33"/>
  <c r="F45" i="19"/>
  <c r="G45" i="19" s="1"/>
  <c r="F43" i="10"/>
  <c r="G43" i="10" s="1"/>
  <c r="F43" i="11"/>
  <c r="F43" i="13"/>
  <c r="B45" i="33"/>
  <c r="F47" i="10"/>
  <c r="F49" i="19"/>
  <c r="F47" i="11"/>
  <c r="F47" i="13"/>
  <c r="B49" i="33"/>
  <c r="F53" i="19"/>
  <c r="F51" i="10"/>
  <c r="F51" i="11"/>
  <c r="F51" i="13"/>
  <c r="B53" i="33"/>
  <c r="F57" i="19"/>
  <c r="F55" i="11"/>
  <c r="F55" i="13"/>
  <c r="F55" i="10"/>
  <c r="B57" i="33"/>
  <c r="F63" i="19"/>
  <c r="G63" i="19" s="1"/>
  <c r="F61" i="13"/>
  <c r="F61" i="11"/>
  <c r="B61" i="33"/>
  <c r="F67" i="19"/>
  <c r="G67" i="19" s="1"/>
  <c r="F65" i="13"/>
  <c r="F65" i="11"/>
  <c r="B65" i="33"/>
  <c r="F72" i="19"/>
  <c r="F70" i="13"/>
  <c r="B69" i="33"/>
  <c r="F76" i="19"/>
  <c r="F74" i="13"/>
  <c r="B73" i="33"/>
  <c r="F80" i="19"/>
  <c r="F78" i="13"/>
  <c r="B77" i="33"/>
  <c r="F84" i="19"/>
  <c r="F82" i="13"/>
  <c r="B81" i="33"/>
  <c r="F88" i="19"/>
  <c r="F86" i="13"/>
  <c r="B85" i="33"/>
  <c r="F93" i="19"/>
  <c r="G93" i="19" s="1"/>
  <c r="F91" i="11"/>
  <c r="B89" i="33"/>
  <c r="F97" i="19"/>
  <c r="G97" i="19" s="1"/>
  <c r="F95" i="11"/>
  <c r="B93" i="33"/>
  <c r="F102" i="19"/>
  <c r="G102" i="19" s="1"/>
  <c r="B97" i="33"/>
  <c r="F106" i="19"/>
  <c r="G106" i="19" s="1"/>
  <c r="B101" i="33"/>
  <c r="F111" i="19"/>
  <c r="G111" i="19" s="1"/>
  <c r="B105" i="33"/>
  <c r="F115" i="19"/>
  <c r="G115" i="19" s="1"/>
  <c r="B109" i="33"/>
  <c r="F119" i="19"/>
  <c r="G119" i="19" s="1"/>
  <c r="B113" i="33"/>
  <c r="F123" i="19"/>
  <c r="G123" i="19" s="1"/>
  <c r="B117" i="33"/>
  <c r="F127" i="19"/>
  <c r="G127" i="19" s="1"/>
  <c r="B121" i="33"/>
  <c r="F132" i="19"/>
  <c r="G132" i="19" s="1"/>
  <c r="F134" i="2"/>
  <c r="B125" i="33"/>
  <c r="F136" i="19"/>
  <c r="G136" i="19" s="1"/>
  <c r="B131" i="33"/>
  <c r="F144" i="19"/>
  <c r="F142" i="13"/>
  <c r="F142" i="2"/>
  <c r="F149" i="19"/>
  <c r="B135" i="33"/>
  <c r="F147" i="13"/>
  <c r="F147" i="2"/>
  <c r="B139" i="33"/>
  <c r="F153" i="19"/>
  <c r="F151" i="13"/>
  <c r="F151" i="2"/>
  <c r="B143" i="33"/>
  <c r="F157" i="19"/>
  <c r="F155" i="13"/>
  <c r="F155" i="2"/>
  <c r="B147" i="33"/>
  <c r="F161" i="19"/>
  <c r="F159" i="13"/>
  <c r="F159" i="2"/>
  <c r="F165" i="19"/>
  <c r="B151" i="33"/>
  <c r="F163" i="13"/>
  <c r="F163" i="2"/>
  <c r="B157" i="33"/>
  <c r="F171" i="19"/>
  <c r="F169" i="13"/>
  <c r="F169" i="11"/>
  <c r="F169" i="15"/>
  <c r="F169" i="2"/>
  <c r="B161" i="33"/>
  <c r="F175" i="19"/>
  <c r="F173" i="13"/>
  <c r="F173" i="11"/>
  <c r="F173" i="15"/>
  <c r="F173" i="2"/>
  <c r="B165" i="33"/>
  <c r="F180" i="19"/>
  <c r="F178" i="13"/>
  <c r="F178" i="11"/>
  <c r="F178" i="2"/>
  <c r="F184" i="19"/>
  <c r="B169" i="33"/>
  <c r="F182" i="13"/>
  <c r="F182" i="11"/>
  <c r="F182" i="15"/>
  <c r="F182" i="2"/>
  <c r="F188" i="19"/>
  <c r="B173" i="33"/>
  <c r="F186" i="13"/>
  <c r="F186" i="11"/>
  <c r="F186" i="15"/>
  <c r="F186" i="2"/>
  <c r="B177" i="33"/>
  <c r="F192" i="19"/>
  <c r="F190" i="13"/>
  <c r="F190" i="11"/>
  <c r="F190" i="15"/>
  <c r="F190" i="2"/>
  <c r="B181" i="33"/>
  <c r="F196" i="19"/>
  <c r="G196" i="19" s="1"/>
  <c r="F194" i="13"/>
  <c r="F194" i="11"/>
  <c r="F194" i="15"/>
  <c r="F194" i="2"/>
  <c r="F200" i="19"/>
  <c r="B185" i="33"/>
  <c r="F198" i="13"/>
  <c r="F198" i="11"/>
  <c r="F198" i="15"/>
  <c r="F198" i="2"/>
  <c r="B189" i="33"/>
  <c r="F204" i="19"/>
  <c r="F202" i="13"/>
  <c r="F202" i="11"/>
  <c r="F202" i="15"/>
  <c r="F202" i="2"/>
  <c r="F208" i="19"/>
  <c r="B193" i="33"/>
  <c r="F206" i="13"/>
  <c r="F206" i="11"/>
  <c r="F206" i="15"/>
  <c r="F206" i="2"/>
  <c r="B198" i="33"/>
  <c r="F213" i="19"/>
  <c r="G213" i="19" s="1"/>
  <c r="F211" i="13"/>
  <c r="F211" i="11"/>
  <c r="F211" i="15"/>
  <c r="F211" i="2"/>
  <c r="B202" i="33"/>
  <c r="F217" i="19"/>
  <c r="G217" i="19" s="1"/>
  <c r="F215" i="13"/>
  <c r="F215" i="11"/>
  <c r="F215" i="15"/>
  <c r="F215" i="2"/>
  <c r="F222" i="19"/>
  <c r="B207" i="33"/>
  <c r="F220" i="13"/>
  <c r="B211" i="33"/>
  <c r="F227" i="19"/>
  <c r="F225" i="11"/>
  <c r="F225" i="13"/>
  <c r="F225" i="2"/>
  <c r="F225" i="15"/>
  <c r="B215" i="33"/>
  <c r="F231" i="19"/>
  <c r="F229" i="13"/>
  <c r="F229" i="15"/>
  <c r="F229" i="11"/>
  <c r="F229" i="2"/>
  <c r="B219" i="33"/>
  <c r="F236" i="19"/>
  <c r="F234" i="13"/>
  <c r="F234" i="2"/>
  <c r="F234" i="15"/>
  <c r="F234" i="11"/>
  <c r="F240" i="19"/>
  <c r="B223" i="33"/>
  <c r="F238" i="13"/>
  <c r="F238" i="11"/>
  <c r="F238" i="2"/>
  <c r="F238" i="15"/>
  <c r="B227" i="33"/>
  <c r="F244" i="19"/>
  <c r="F242" i="13"/>
  <c r="F242" i="11"/>
  <c r="F242" i="2"/>
  <c r="F242" i="15"/>
  <c r="B234" i="33"/>
  <c r="F251" i="13"/>
  <c r="F253" i="19"/>
  <c r="F251" i="11"/>
  <c r="F251" i="15"/>
  <c r="G251" i="15" s="1"/>
  <c r="F251" i="2"/>
  <c r="B238" i="33"/>
  <c r="F255" i="13"/>
  <c r="F257" i="19"/>
  <c r="F255" i="11"/>
  <c r="F255" i="15"/>
  <c r="F255" i="2"/>
  <c r="G255" i="2" s="1"/>
  <c r="B242" i="33"/>
  <c r="F261" i="19"/>
  <c r="F259" i="13"/>
  <c r="F259" i="15"/>
  <c r="F259" i="11"/>
  <c r="B247" i="33"/>
  <c r="F266" i="19"/>
  <c r="F264" i="13"/>
  <c r="F264" i="11"/>
  <c r="F264" i="15"/>
  <c r="F264" i="2"/>
  <c r="F271" i="19"/>
  <c r="B252" i="33"/>
  <c r="F269" i="13"/>
  <c r="F269" i="2"/>
  <c r="F269" i="15"/>
  <c r="F269" i="11"/>
  <c r="B258" i="33"/>
  <c r="F277" i="19"/>
  <c r="F275" i="13"/>
  <c r="F275" i="11"/>
  <c r="F275" i="15"/>
  <c r="F275" i="2"/>
  <c r="B263" i="33"/>
  <c r="F282" i="19"/>
  <c r="F280" i="13"/>
  <c r="F280" i="11"/>
  <c r="F280" i="15"/>
  <c r="F280" i="2"/>
  <c r="F287" i="19"/>
  <c r="B268" i="33"/>
  <c r="F285" i="13"/>
  <c r="G285" i="13" s="1"/>
  <c r="F285" i="2"/>
  <c r="F285" i="15"/>
  <c r="F285" i="11"/>
  <c r="B273" i="33"/>
  <c r="F290" i="11"/>
  <c r="F290" i="13"/>
  <c r="B278" i="33"/>
  <c r="F295" i="13"/>
  <c r="F295" i="11"/>
  <c r="B282" i="33"/>
  <c r="F299" i="13"/>
  <c r="F299" i="11"/>
  <c r="B290" i="33"/>
  <c r="F307" i="13"/>
  <c r="G307" i="13" s="1"/>
  <c r="F307" i="11"/>
  <c r="G307" i="11" s="1"/>
  <c r="B294" i="33"/>
  <c r="F311" i="13"/>
  <c r="F311" i="11"/>
  <c r="F291" i="2"/>
  <c r="F291" i="15"/>
  <c r="B298" i="33"/>
  <c r="F315" i="13"/>
  <c r="F315" i="11"/>
  <c r="B304" i="33"/>
  <c r="F322" i="11"/>
  <c r="F303" i="15"/>
  <c r="F322" i="13"/>
  <c r="F303" i="2"/>
  <c r="B308" i="33"/>
  <c r="F326" i="13"/>
  <c r="F326" i="11"/>
  <c r="F307" i="15"/>
  <c r="F307" i="2"/>
  <c r="B312" i="33"/>
  <c r="F329" i="13"/>
  <c r="F310" i="15"/>
  <c r="F310" i="2"/>
  <c r="F329" i="11"/>
  <c r="B317" i="33"/>
  <c r="F333" i="13"/>
  <c r="F316" i="19"/>
  <c r="G316" i="19" s="1"/>
  <c r="F333" i="11"/>
  <c r="F314" i="15"/>
  <c r="F314" i="2"/>
  <c r="B321" i="33"/>
  <c r="F337" i="13"/>
  <c r="F320" i="19"/>
  <c r="G320" i="19" s="1"/>
  <c r="F337" i="11"/>
  <c r="F318" i="2"/>
  <c r="F318" i="15"/>
  <c r="B326" i="33"/>
  <c r="F325" i="19"/>
  <c r="F342" i="13"/>
  <c r="F342" i="11"/>
  <c r="F323" i="15"/>
  <c r="F323" i="2"/>
  <c r="B330" i="33"/>
  <c r="F346" i="13"/>
  <c r="F329" i="19"/>
  <c r="F346" i="11"/>
  <c r="F327" i="15"/>
  <c r="F327" i="2"/>
  <c r="B334" i="33"/>
  <c r="F333" i="19"/>
  <c r="F350" i="13"/>
  <c r="F350" i="11"/>
  <c r="F331" i="2"/>
  <c r="F331" i="15"/>
  <c r="B339" i="33"/>
  <c r="F338" i="19"/>
  <c r="G338" i="19" s="1"/>
  <c r="F355" i="13"/>
  <c r="F355" i="11"/>
  <c r="F336" i="2"/>
  <c r="F336" i="15"/>
  <c r="B343" i="33"/>
  <c r="F342" i="19"/>
  <c r="G342" i="19" s="1"/>
  <c r="F359" i="13"/>
  <c r="F359" i="11"/>
  <c r="F340" i="15"/>
  <c r="F340" i="2"/>
  <c r="B347" i="33"/>
  <c r="F346" i="19"/>
  <c r="G346" i="19" s="1"/>
  <c r="F363" i="13"/>
  <c r="F363" i="11"/>
  <c r="F344" i="15"/>
  <c r="F344" i="2"/>
  <c r="B351" i="33"/>
  <c r="F350" i="19"/>
  <c r="G350" i="19" s="1"/>
  <c r="F367" i="13"/>
  <c r="F367" i="11"/>
  <c r="F348" i="2"/>
  <c r="F348" i="15"/>
  <c r="B355" i="33"/>
  <c r="F354" i="19"/>
  <c r="G354" i="19" s="1"/>
  <c r="F371" i="13"/>
  <c r="F371" i="11"/>
  <c r="F352" i="2"/>
  <c r="F352" i="15"/>
  <c r="B359" i="33"/>
  <c r="F376" i="13"/>
  <c r="F356" i="2"/>
  <c r="G356" i="2" s="1"/>
  <c r="F376" i="11"/>
  <c r="B363" i="33"/>
  <c r="F380" i="13"/>
  <c r="F380" i="11"/>
  <c r="F360" i="2"/>
  <c r="G360" i="2" s="1"/>
  <c r="B368" i="33"/>
  <c r="F26" i="18"/>
  <c r="B372" i="33"/>
  <c r="F30" i="18"/>
  <c r="B376" i="33"/>
  <c r="F34" i="18"/>
  <c r="B381" i="33"/>
  <c r="F39" i="18"/>
  <c r="B387" i="33"/>
  <c r="F45" i="18"/>
  <c r="B391" i="33"/>
  <c r="F49" i="18"/>
  <c r="B395" i="33"/>
  <c r="F53" i="18"/>
  <c r="G53" i="18" s="1"/>
  <c r="B401" i="33"/>
  <c r="F59" i="18"/>
  <c r="B405" i="33"/>
  <c r="F63" i="18"/>
  <c r="B409" i="33"/>
  <c r="F67" i="18"/>
  <c r="G67" i="18" s="1"/>
  <c r="B417" i="33"/>
  <c r="G367" i="15"/>
  <c r="F368" i="2"/>
  <c r="G368" i="2" s="1"/>
  <c r="B421" i="33"/>
  <c r="F446" i="11"/>
  <c r="F446" i="13"/>
  <c r="B425" i="33"/>
  <c r="F450" i="13"/>
  <c r="F450" i="11"/>
  <c r="B429" i="33"/>
  <c r="F384" i="13"/>
  <c r="F384" i="11"/>
  <c r="B433" i="33"/>
  <c r="F388" i="13"/>
  <c r="F388" i="11"/>
  <c r="B437" i="33"/>
  <c r="F392" i="13"/>
  <c r="F392" i="11"/>
  <c r="B441" i="33"/>
  <c r="F396" i="13"/>
  <c r="F396" i="11"/>
  <c r="B446" i="33"/>
  <c r="F401" i="13"/>
  <c r="G401" i="13" s="1"/>
  <c r="F401" i="11"/>
  <c r="G401" i="11" s="1"/>
  <c r="B451" i="33"/>
  <c r="F406" i="13"/>
  <c r="F406" i="11"/>
  <c r="B455" i="33"/>
  <c r="F410" i="13"/>
  <c r="F410" i="11"/>
  <c r="B459" i="33"/>
  <c r="F414" i="13"/>
  <c r="F414" i="11"/>
  <c r="B463" i="33"/>
  <c r="F418" i="13"/>
  <c r="F418" i="11"/>
  <c r="B467" i="33"/>
  <c r="F422" i="11"/>
  <c r="F422" i="13"/>
  <c r="B471" i="33"/>
  <c r="F426" i="13"/>
  <c r="F426" i="11"/>
  <c r="B475" i="33"/>
  <c r="F430" i="11"/>
  <c r="F430" i="13"/>
  <c r="B479" i="33"/>
  <c r="F434" i="11"/>
  <c r="F434" i="13"/>
  <c r="B483" i="33"/>
  <c r="F438" i="11"/>
  <c r="F438" i="13"/>
  <c r="B487" i="33"/>
  <c r="B491" i="33"/>
  <c r="B495" i="33"/>
  <c r="B499" i="33"/>
  <c r="B503" i="33"/>
  <c r="B507" i="33"/>
  <c r="B511" i="33"/>
  <c r="B515" i="33"/>
  <c r="B519" i="33"/>
  <c r="B523" i="33"/>
  <c r="B527" i="33"/>
  <c r="B531" i="33"/>
  <c r="B536" i="33"/>
  <c r="B541" i="33"/>
  <c r="B586" i="33"/>
  <c r="B590" i="33"/>
  <c r="B601" i="33"/>
  <c r="B607" i="33"/>
  <c r="B611" i="33"/>
  <c r="B615" i="33"/>
  <c r="B624" i="33"/>
  <c r="B628" i="33"/>
  <c r="B632" i="33"/>
  <c r="B636" i="33"/>
  <c r="B640" i="33"/>
  <c r="B644" i="33"/>
  <c r="B648" i="33"/>
  <c r="B652" i="33"/>
  <c r="B656" i="33"/>
  <c r="B660" i="33"/>
  <c r="B664" i="33"/>
  <c r="B668" i="33"/>
  <c r="B672" i="33"/>
  <c r="B676" i="33"/>
  <c r="B680" i="33"/>
  <c r="F14" i="2"/>
  <c r="B10" i="33"/>
  <c r="F14" i="19"/>
  <c r="F14" i="11"/>
  <c r="F14" i="13"/>
  <c r="F18" i="2"/>
  <c r="B14" i="33"/>
  <c r="F18" i="19"/>
  <c r="F18" i="11"/>
  <c r="F18" i="13"/>
  <c r="F22" i="2"/>
  <c r="B18" i="33"/>
  <c r="F22" i="19"/>
  <c r="F22" i="11"/>
  <c r="F22" i="13"/>
  <c r="F26" i="2"/>
  <c r="B22" i="33"/>
  <c r="F26" i="19"/>
  <c r="F26" i="11"/>
  <c r="F26" i="13"/>
  <c r="F30" i="2"/>
  <c r="B26" i="33"/>
  <c r="F30" i="19"/>
  <c r="F30" i="11"/>
  <c r="F30" i="13"/>
  <c r="B34" i="33"/>
  <c r="F38" i="19"/>
  <c r="F36" i="13"/>
  <c r="F36" i="10"/>
  <c r="F36" i="11"/>
  <c r="F42" i="19"/>
  <c r="B38" i="33"/>
  <c r="F40" i="13"/>
  <c r="F40" i="10"/>
  <c r="F40" i="11"/>
  <c r="B42" i="33"/>
  <c r="F46" i="19"/>
  <c r="F44" i="13"/>
  <c r="F44" i="10"/>
  <c r="F44" i="11"/>
  <c r="B46" i="33"/>
  <c r="F50" i="19"/>
  <c r="F48" i="13"/>
  <c r="F48" i="10"/>
  <c r="F48" i="11"/>
  <c r="B50" i="33"/>
  <c r="F54" i="19"/>
  <c r="F52" i="13"/>
  <c r="F52" i="10"/>
  <c r="F52" i="11"/>
  <c r="B54" i="33"/>
  <c r="F58" i="19"/>
  <c r="F56" i="10"/>
  <c r="F56" i="13"/>
  <c r="F56" i="11"/>
  <c r="F64" i="19"/>
  <c r="G64" i="19" s="1"/>
  <c r="B58" i="33"/>
  <c r="F62" i="13"/>
  <c r="F62" i="11"/>
  <c r="F68" i="19"/>
  <c r="G68" i="19" s="1"/>
  <c r="B62" i="33"/>
  <c r="F66" i="13"/>
  <c r="F66" i="11"/>
  <c r="B66" i="33"/>
  <c r="F73" i="19"/>
  <c r="F71" i="13"/>
  <c r="F77" i="19"/>
  <c r="B70" i="33"/>
  <c r="F75" i="13"/>
  <c r="B74" i="33"/>
  <c r="F81" i="19"/>
  <c r="G81" i="19" s="1"/>
  <c r="F79" i="13"/>
  <c r="B78" i="33"/>
  <c r="F85" i="19"/>
  <c r="F83" i="13"/>
  <c r="B82" i="33"/>
  <c r="F90" i="19"/>
  <c r="G90" i="19" s="1"/>
  <c r="F88" i="11"/>
  <c r="B86" i="33"/>
  <c r="F94" i="19"/>
  <c r="G94" i="19" s="1"/>
  <c r="F92" i="11"/>
  <c r="F98" i="19"/>
  <c r="G98" i="19" s="1"/>
  <c r="B90" i="33"/>
  <c r="F96" i="11"/>
  <c r="F103" i="19"/>
  <c r="G103" i="19" s="1"/>
  <c r="B94" i="33"/>
  <c r="G101" i="10"/>
  <c r="B98" i="33"/>
  <c r="F108" i="19"/>
  <c r="G108" i="19" s="1"/>
  <c r="B102" i="33"/>
  <c r="F112" i="19"/>
  <c r="G112" i="19" s="1"/>
  <c r="B106" i="33"/>
  <c r="F116" i="19"/>
  <c r="G116" i="19" s="1"/>
  <c r="B110" i="33"/>
  <c r="F120" i="19"/>
  <c r="G120" i="19" s="1"/>
  <c r="B114" i="33"/>
  <c r="F124" i="19"/>
  <c r="G124" i="19" s="1"/>
  <c r="F129" i="19"/>
  <c r="G129" i="19" s="1"/>
  <c r="B118" i="33"/>
  <c r="B122" i="33"/>
  <c r="F133" i="19"/>
  <c r="G133" i="19" s="1"/>
  <c r="F135" i="2"/>
  <c r="F137" i="19"/>
  <c r="G137" i="19" s="1"/>
  <c r="B126" i="33"/>
  <c r="B132" i="33"/>
  <c r="F146" i="19"/>
  <c r="F144" i="13"/>
  <c r="F144" i="2"/>
  <c r="B136" i="33"/>
  <c r="F150" i="19"/>
  <c r="F148" i="13"/>
  <c r="F148" i="2"/>
  <c r="B140" i="33"/>
  <c r="F154" i="19"/>
  <c r="F152" i="13"/>
  <c r="F152" i="2"/>
  <c r="B144" i="33"/>
  <c r="F158" i="19"/>
  <c r="F156" i="13"/>
  <c r="F156" i="2"/>
  <c r="B148" i="33"/>
  <c r="F162" i="19"/>
  <c r="F160" i="13"/>
  <c r="F160" i="2"/>
  <c r="B152" i="33"/>
  <c r="F166" i="19"/>
  <c r="F164" i="13"/>
  <c r="F164" i="2"/>
  <c r="B158" i="33"/>
  <c r="F172" i="19"/>
  <c r="F170" i="13"/>
  <c r="F170" i="11"/>
  <c r="F170" i="15"/>
  <c r="F170" i="2"/>
  <c r="B162" i="33"/>
  <c r="F176" i="19"/>
  <c r="F174" i="13"/>
  <c r="F174" i="11"/>
  <c r="F174" i="15"/>
  <c r="F174" i="2"/>
  <c r="B166" i="33"/>
  <c r="F181" i="19"/>
  <c r="F179" i="13"/>
  <c r="F179" i="11"/>
  <c r="F179" i="15"/>
  <c r="F179" i="2"/>
  <c r="B170" i="33"/>
  <c r="F185" i="19"/>
  <c r="G185" i="19" s="1"/>
  <c r="F183" i="13"/>
  <c r="F183" i="11"/>
  <c r="F183" i="15"/>
  <c r="F183" i="2"/>
  <c r="B174" i="33"/>
  <c r="F189" i="19"/>
  <c r="F187" i="13"/>
  <c r="F187" i="11"/>
  <c r="F187" i="15"/>
  <c r="F187" i="2"/>
  <c r="B178" i="33"/>
  <c r="F193" i="19"/>
  <c r="F191" i="13"/>
  <c r="F191" i="11"/>
  <c r="F191" i="15"/>
  <c r="F191" i="2"/>
  <c r="B182" i="33"/>
  <c r="F197" i="19"/>
  <c r="G197" i="19" s="1"/>
  <c r="F195" i="13"/>
  <c r="F195" i="11"/>
  <c r="F195" i="15"/>
  <c r="F195" i="2"/>
  <c r="B186" i="33"/>
  <c r="F201" i="19"/>
  <c r="F199" i="13"/>
  <c r="F199" i="11"/>
  <c r="F199" i="15"/>
  <c r="F199" i="2"/>
  <c r="B190" i="33"/>
  <c r="F205" i="19"/>
  <c r="G205" i="19" s="1"/>
  <c r="F203" i="13"/>
  <c r="F203" i="11"/>
  <c r="F203" i="15"/>
  <c r="F203" i="2"/>
  <c r="B194" i="33"/>
  <c r="F209" i="19"/>
  <c r="F207" i="13"/>
  <c r="F207" i="11"/>
  <c r="F207" i="15"/>
  <c r="F207" i="2"/>
  <c r="B199" i="33"/>
  <c r="F214" i="19"/>
  <c r="G214" i="19" s="1"/>
  <c r="F212" i="13"/>
  <c r="F212" i="11"/>
  <c r="F212" i="15"/>
  <c r="F212" i="2"/>
  <c r="B203" i="33"/>
  <c r="F218" i="19"/>
  <c r="G218" i="19" s="1"/>
  <c r="F216" i="13"/>
  <c r="F216" i="2"/>
  <c r="F216" i="11"/>
  <c r="F216" i="15"/>
  <c r="B208" i="33"/>
  <c r="F224" i="19"/>
  <c r="F222" i="13"/>
  <c r="F222" i="2"/>
  <c r="F222" i="15"/>
  <c r="F222" i="11"/>
  <c r="B212" i="33"/>
  <c r="F228" i="19"/>
  <c r="F226" i="13"/>
  <c r="F226" i="11"/>
  <c r="F226" i="15"/>
  <c r="F226" i="2"/>
  <c r="B216" i="33"/>
  <c r="F232" i="19"/>
  <c r="F230" i="13"/>
  <c r="F230" i="11"/>
  <c r="F230" i="15"/>
  <c r="F230" i="2"/>
  <c r="B220" i="33"/>
  <c r="F237" i="19"/>
  <c r="F235" i="13"/>
  <c r="F235" i="15"/>
  <c r="F235" i="11"/>
  <c r="F235" i="2"/>
  <c r="B224" i="33"/>
  <c r="F241" i="19"/>
  <c r="G241" i="19" s="1"/>
  <c r="F239" i="13"/>
  <c r="F239" i="2"/>
  <c r="F239" i="15"/>
  <c r="F239" i="11"/>
  <c r="B228" i="33"/>
  <c r="F245" i="19"/>
  <c r="G245" i="19" s="1"/>
  <c r="F243" i="13"/>
  <c r="F243" i="15"/>
  <c r="F243" i="11"/>
  <c r="F243" i="2"/>
  <c r="B235" i="33"/>
  <c r="F254" i="19"/>
  <c r="F252" i="11"/>
  <c r="F252" i="15"/>
  <c r="G252" i="15" s="1"/>
  <c r="F252" i="13"/>
  <c r="F252" i="2"/>
  <c r="G252" i="2" s="1"/>
  <c r="B239" i="33"/>
  <c r="F258" i="19"/>
  <c r="F256" i="11"/>
  <c r="F256" i="15"/>
  <c r="F256" i="13"/>
  <c r="F256" i="2"/>
  <c r="F263" i="19"/>
  <c r="B244" i="33"/>
  <c r="F261" i="2"/>
  <c r="F261" i="13"/>
  <c r="F261" i="11"/>
  <c r="F261" i="15"/>
  <c r="B248" i="33"/>
  <c r="F267" i="19"/>
  <c r="F265" i="2"/>
  <c r="F265" i="13"/>
  <c r="F265" i="15"/>
  <c r="F265" i="11"/>
  <c r="B253" i="33"/>
  <c r="F272" i="19"/>
  <c r="F270" i="13"/>
  <c r="F270" i="15"/>
  <c r="F270" i="2"/>
  <c r="F270" i="11"/>
  <c r="B260" i="33"/>
  <c r="F279" i="19"/>
  <c r="F277" i="2"/>
  <c r="G277" i="2" s="1"/>
  <c r="F277" i="13"/>
  <c r="F277" i="11"/>
  <c r="F277" i="15"/>
  <c r="G277" i="15" s="1"/>
  <c r="B264" i="33"/>
  <c r="F283" i="19"/>
  <c r="F281" i="2"/>
  <c r="F281" i="13"/>
  <c r="G281" i="13" s="1"/>
  <c r="F281" i="15"/>
  <c r="F281" i="11"/>
  <c r="B269" i="33"/>
  <c r="F288" i="19"/>
  <c r="F286" i="13"/>
  <c r="G286" i="13" s="1"/>
  <c r="F286" i="15"/>
  <c r="F286" i="2"/>
  <c r="F286" i="11"/>
  <c r="B275" i="33"/>
  <c r="F292" i="13"/>
  <c r="F292" i="11"/>
  <c r="B279" i="33"/>
  <c r="F296" i="13"/>
  <c r="F296" i="11"/>
  <c r="B283" i="33"/>
  <c r="F300" i="13"/>
  <c r="F300" i="11"/>
  <c r="B291" i="33"/>
  <c r="F308" i="13"/>
  <c r="G308" i="13" s="1"/>
  <c r="F308" i="11"/>
  <c r="G308" i="11" s="1"/>
  <c r="B295" i="33"/>
  <c r="F312" i="13"/>
  <c r="F292" i="15"/>
  <c r="F312" i="11"/>
  <c r="F292" i="2"/>
  <c r="B299" i="33"/>
  <c r="F316" i="13"/>
  <c r="F297" i="15"/>
  <c r="F316" i="11"/>
  <c r="F297" i="2"/>
  <c r="B305" i="33"/>
  <c r="F323" i="11"/>
  <c r="F323" i="13"/>
  <c r="F304" i="15"/>
  <c r="F304" i="2"/>
  <c r="B313" i="33"/>
  <c r="F330" i="11"/>
  <c r="F311" i="15"/>
  <c r="F330" i="13"/>
  <c r="F311" i="2"/>
  <c r="F317" i="19"/>
  <c r="G317" i="19" s="1"/>
  <c r="B318" i="33"/>
  <c r="F334" i="13"/>
  <c r="F315" i="2"/>
  <c r="F334" i="11"/>
  <c r="F315" i="15"/>
  <c r="B322" i="33"/>
  <c r="F321" i="19"/>
  <c r="G321" i="19" s="1"/>
  <c r="F338" i="13"/>
  <c r="F338" i="11"/>
  <c r="F319" i="15"/>
  <c r="F319" i="2"/>
  <c r="F326" i="19"/>
  <c r="B327" i="33"/>
  <c r="F343" i="13"/>
  <c r="F324" i="2"/>
  <c r="F343" i="11"/>
  <c r="F324" i="15"/>
  <c r="B331" i="33"/>
  <c r="F330" i="19"/>
  <c r="F328" i="2"/>
  <c r="F347" i="13"/>
  <c r="F328" i="15"/>
  <c r="F347" i="11"/>
  <c r="F334" i="19"/>
  <c r="B335" i="33"/>
  <c r="F332" i="2"/>
  <c r="F351" i="13"/>
  <c r="F351" i="11"/>
  <c r="F332" i="15"/>
  <c r="F339" i="19"/>
  <c r="G339" i="19" s="1"/>
  <c r="B340" i="33"/>
  <c r="F337" i="2"/>
  <c r="F356" i="13"/>
  <c r="F337" i="15"/>
  <c r="F356" i="11"/>
  <c r="F343" i="19"/>
  <c r="G343" i="19" s="1"/>
  <c r="B344" i="33"/>
  <c r="F360" i="13"/>
  <c r="F341" i="2"/>
  <c r="F360" i="11"/>
  <c r="F341" i="15"/>
  <c r="B348" i="33"/>
  <c r="F347" i="19"/>
  <c r="G347" i="19" s="1"/>
  <c r="F345" i="2"/>
  <c r="F364" i="13"/>
  <c r="F345" i="15"/>
  <c r="F364" i="11"/>
  <c r="B352" i="33"/>
  <c r="F351" i="19"/>
  <c r="G351" i="19" s="1"/>
  <c r="F349" i="2"/>
  <c r="F368" i="13"/>
  <c r="F368" i="11"/>
  <c r="F349" i="15"/>
  <c r="F355" i="19"/>
  <c r="G355" i="19" s="1"/>
  <c r="B356" i="33"/>
  <c r="F353" i="2"/>
  <c r="F372" i="13"/>
  <c r="F353" i="15"/>
  <c r="F372" i="11"/>
  <c r="B360" i="33"/>
  <c r="F377" i="13"/>
  <c r="F377" i="11"/>
  <c r="F357" i="2"/>
  <c r="G357" i="2" s="1"/>
  <c r="B364" i="33"/>
  <c r="F381" i="13"/>
  <c r="F381" i="11"/>
  <c r="F361" i="2"/>
  <c r="G361" i="2" s="1"/>
  <c r="B369" i="33"/>
  <c r="F27" i="18"/>
  <c r="B373" i="33"/>
  <c r="F31" i="18"/>
  <c r="F36" i="18"/>
  <c r="G36" i="18" s="1"/>
  <c r="B378" i="33"/>
  <c r="B384" i="33"/>
  <c r="F42" i="18"/>
  <c r="B388" i="33"/>
  <c r="F46" i="18"/>
  <c r="B392" i="33"/>
  <c r="F50" i="18"/>
  <c r="F60" i="18"/>
  <c r="B402" i="33"/>
  <c r="F64" i="18"/>
  <c r="B406" i="33"/>
  <c r="F68" i="18"/>
  <c r="G68" i="18" s="1"/>
  <c r="B410" i="33"/>
  <c r="B418" i="33"/>
  <c r="G368" i="15"/>
  <c r="F369" i="2"/>
  <c r="G369" i="2" s="1"/>
  <c r="B422" i="33"/>
  <c r="F447" i="11"/>
  <c r="F447" i="13"/>
  <c r="B426" i="33"/>
  <c r="F451" i="11"/>
  <c r="F451" i="13"/>
  <c r="B430" i="33"/>
  <c r="F385" i="13"/>
  <c r="F385" i="11"/>
  <c r="B434" i="33"/>
  <c r="F389" i="13"/>
  <c r="F389" i="11"/>
  <c r="B438" i="33"/>
  <c r="F393" i="13"/>
  <c r="F393" i="11"/>
  <c r="B442" i="33"/>
  <c r="F397" i="13"/>
  <c r="F397" i="11"/>
  <c r="B447" i="33"/>
  <c r="F402" i="13"/>
  <c r="F402" i="11"/>
  <c r="G402" i="11" s="1"/>
  <c r="B452" i="33"/>
  <c r="F407" i="11"/>
  <c r="F407" i="13"/>
  <c r="B456" i="33"/>
  <c r="F411" i="13"/>
  <c r="F411" i="11"/>
  <c r="B460" i="33"/>
  <c r="F415" i="11"/>
  <c r="F415" i="13"/>
  <c r="B464" i="33"/>
  <c r="F419" i="11"/>
  <c r="F419" i="13"/>
  <c r="B468" i="33"/>
  <c r="F423" i="11"/>
  <c r="F423" i="13"/>
  <c r="B472" i="33"/>
  <c r="F427" i="11"/>
  <c r="F427" i="13"/>
  <c r="B476" i="33"/>
  <c r="F431" i="13"/>
  <c r="F431" i="11"/>
  <c r="B480" i="33"/>
  <c r="F435" i="13"/>
  <c r="F435" i="11"/>
  <c r="B484" i="33"/>
  <c r="F439" i="11"/>
  <c r="F439" i="13"/>
  <c r="B488" i="33"/>
  <c r="B492" i="33"/>
  <c r="B496" i="33"/>
  <c r="B500" i="33"/>
  <c r="B504" i="33"/>
  <c r="B508" i="33"/>
  <c r="B512" i="33"/>
  <c r="B516" i="33"/>
  <c r="B520" i="33"/>
  <c r="B524" i="33"/>
  <c r="B528" i="33"/>
  <c r="B532" i="33"/>
  <c r="B537" i="33"/>
  <c r="B542" i="33"/>
  <c r="B587" i="33"/>
  <c r="B602" i="33"/>
  <c r="B608" i="33"/>
  <c r="B612" i="33"/>
  <c r="B621" i="33"/>
  <c r="B625" i="33"/>
  <c r="B629" i="33"/>
  <c r="B633" i="33"/>
  <c r="B637" i="33"/>
  <c r="B641" i="33"/>
  <c r="B645" i="33"/>
  <c r="B649" i="33"/>
  <c r="B653" i="33"/>
  <c r="B657" i="33"/>
  <c r="B661" i="33"/>
  <c r="B665" i="33"/>
  <c r="B669" i="33"/>
  <c r="B673" i="33"/>
  <c r="B677" i="33"/>
  <c r="B681" i="33"/>
  <c r="F15" i="2"/>
  <c r="B11" i="33"/>
  <c r="F15" i="19"/>
  <c r="F15" i="13"/>
  <c r="F15" i="11"/>
  <c r="F19" i="2"/>
  <c r="B15" i="33"/>
  <c r="F19" i="19"/>
  <c r="F19" i="13"/>
  <c r="F19" i="11"/>
  <c r="F23" i="2"/>
  <c r="B19" i="33"/>
  <c r="F23" i="19"/>
  <c r="F23" i="13"/>
  <c r="F23" i="11"/>
  <c r="F27" i="2"/>
  <c r="B23" i="33"/>
  <c r="F27" i="19"/>
  <c r="F27" i="13"/>
  <c r="F27" i="11"/>
  <c r="F31" i="2"/>
  <c r="B27" i="33"/>
  <c r="F31" i="19"/>
  <c r="G31" i="19" s="1"/>
  <c r="F31" i="13"/>
  <c r="F31" i="11"/>
  <c r="B31" i="33"/>
  <c r="F59" i="11"/>
  <c r="G59" i="11" s="1"/>
  <c r="F59" i="13"/>
  <c r="G59" i="13" s="1"/>
  <c r="F59" i="2"/>
  <c r="B35" i="33"/>
  <c r="F37" i="10"/>
  <c r="F39" i="19"/>
  <c r="F37" i="13"/>
  <c r="F37" i="11"/>
  <c r="B39" i="33"/>
  <c r="F41" i="10"/>
  <c r="F43" i="19"/>
  <c r="F41" i="13"/>
  <c r="F41" i="11"/>
  <c r="B43" i="33"/>
  <c r="F47" i="19"/>
  <c r="G47" i="19" s="1"/>
  <c r="F45" i="10"/>
  <c r="G45" i="10" s="1"/>
  <c r="F45" i="13"/>
  <c r="F45" i="11"/>
  <c r="B47" i="33"/>
  <c r="F51" i="19"/>
  <c r="F49" i="10"/>
  <c r="F49" i="13"/>
  <c r="F49" i="11"/>
  <c r="B51" i="33"/>
  <c r="F53" i="10"/>
  <c r="F55" i="19"/>
  <c r="F53" i="13"/>
  <c r="F53" i="11"/>
  <c r="B55" i="33"/>
  <c r="F59" i="19"/>
  <c r="F57" i="10"/>
  <c r="F57" i="13"/>
  <c r="F57" i="11"/>
  <c r="B59" i="33"/>
  <c r="F65" i="19"/>
  <c r="G65" i="19" s="1"/>
  <c r="F63" i="13"/>
  <c r="F63" i="11"/>
  <c r="B63" i="33"/>
  <c r="F69" i="19"/>
  <c r="G69" i="19" s="1"/>
  <c r="F67" i="13"/>
  <c r="F67" i="11"/>
  <c r="B67" i="33"/>
  <c r="F74" i="19"/>
  <c r="F72" i="13"/>
  <c r="B71" i="33"/>
  <c r="F78" i="19"/>
  <c r="F76" i="13"/>
  <c r="B75" i="33"/>
  <c r="F82" i="19"/>
  <c r="F80" i="13"/>
  <c r="B79" i="33"/>
  <c r="F86" i="19"/>
  <c r="F84" i="13"/>
  <c r="B83" i="33"/>
  <c r="F91" i="19"/>
  <c r="G91" i="19" s="1"/>
  <c r="F89" i="11"/>
  <c r="B87" i="33"/>
  <c r="F95" i="19"/>
  <c r="G95" i="19" s="1"/>
  <c r="F93" i="11"/>
  <c r="G93" i="10"/>
  <c r="B91" i="33"/>
  <c r="F100" i="19"/>
  <c r="G100" i="19" s="1"/>
  <c r="B95" i="33"/>
  <c r="F104" i="19"/>
  <c r="G104" i="19" s="1"/>
  <c r="B99" i="33"/>
  <c r="F109" i="19"/>
  <c r="G109" i="19" s="1"/>
  <c r="B103" i="33"/>
  <c r="F113" i="19"/>
  <c r="G113" i="19" s="1"/>
  <c r="B107" i="33"/>
  <c r="F117" i="19"/>
  <c r="G117" i="19" s="1"/>
  <c r="B111" i="33"/>
  <c r="F121" i="19"/>
  <c r="G121" i="19" s="1"/>
  <c r="B115" i="33"/>
  <c r="F125" i="19"/>
  <c r="G125" i="19" s="1"/>
  <c r="B119" i="33"/>
  <c r="F130" i="19"/>
  <c r="G130" i="19" s="1"/>
  <c r="F132" i="2"/>
  <c r="B123" i="33"/>
  <c r="F134" i="19"/>
  <c r="G134" i="19" s="1"/>
  <c r="F136" i="2"/>
  <c r="B127" i="33"/>
  <c r="F138" i="19"/>
  <c r="G138" i="19" s="1"/>
  <c r="B133" i="33"/>
  <c r="F147" i="19"/>
  <c r="F145" i="13"/>
  <c r="F145" i="2"/>
  <c r="G145" i="2" s="1"/>
  <c r="B137" i="33"/>
  <c r="F151" i="19"/>
  <c r="F149" i="13"/>
  <c r="F149" i="2"/>
  <c r="B141" i="33"/>
  <c r="F155" i="19"/>
  <c r="F153" i="13"/>
  <c r="F153" i="2"/>
  <c r="B145" i="33"/>
  <c r="F159" i="19"/>
  <c r="F157" i="13"/>
  <c r="F157" i="2"/>
  <c r="B149" i="33"/>
  <c r="F163" i="19"/>
  <c r="F161" i="13"/>
  <c r="F161" i="2"/>
  <c r="B154" i="33"/>
  <c r="F166" i="13"/>
  <c r="F168" i="19"/>
  <c r="F166" i="2"/>
  <c r="F166" i="11"/>
  <c r="F166" i="15"/>
  <c r="B159" i="33"/>
  <c r="F173" i="19"/>
  <c r="F171" i="13"/>
  <c r="F171" i="2"/>
  <c r="F171" i="11"/>
  <c r="F171" i="15"/>
  <c r="B163" i="33"/>
  <c r="F177" i="19"/>
  <c r="F175" i="13"/>
  <c r="F175" i="2"/>
  <c r="F175" i="11"/>
  <c r="F175" i="15"/>
  <c r="B167" i="33"/>
  <c r="F182" i="19"/>
  <c r="F180" i="13"/>
  <c r="F180" i="11"/>
  <c r="F180" i="15"/>
  <c r="F180" i="2"/>
  <c r="B171" i="33"/>
  <c r="F186" i="19"/>
  <c r="G186" i="19" s="1"/>
  <c r="F184" i="13"/>
  <c r="F184" i="2"/>
  <c r="F184" i="11"/>
  <c r="F184" i="15"/>
  <c r="B175" i="33"/>
  <c r="F190" i="19"/>
  <c r="F188" i="13"/>
  <c r="F188" i="2"/>
  <c r="F188" i="11"/>
  <c r="F188" i="15"/>
  <c r="B179" i="33"/>
  <c r="F194" i="19"/>
  <c r="G194" i="19" s="1"/>
  <c r="F192" i="13"/>
  <c r="F192" i="11"/>
  <c r="F192" i="15"/>
  <c r="F192" i="2"/>
  <c r="B183" i="33"/>
  <c r="F198" i="19"/>
  <c r="F196" i="13"/>
  <c r="F196" i="2"/>
  <c r="F196" i="11"/>
  <c r="F196" i="15"/>
  <c r="B187" i="33"/>
  <c r="F202" i="19"/>
  <c r="F200" i="13"/>
  <c r="F200" i="2"/>
  <c r="F200" i="11"/>
  <c r="F200" i="15"/>
  <c r="B191" i="33"/>
  <c r="F206" i="19"/>
  <c r="G206" i="19" s="1"/>
  <c r="F204" i="13"/>
  <c r="F204" i="11"/>
  <c r="F204" i="15"/>
  <c r="F204" i="2"/>
  <c r="B195" i="33"/>
  <c r="F210" i="19"/>
  <c r="F208" i="13"/>
  <c r="F208" i="2"/>
  <c r="F208" i="11"/>
  <c r="F208" i="15"/>
  <c r="B200" i="33"/>
  <c r="F213" i="13"/>
  <c r="F215" i="19"/>
  <c r="G215" i="19" s="1"/>
  <c r="F213" i="2"/>
  <c r="F213" i="11"/>
  <c r="F213" i="15"/>
  <c r="B204" i="33"/>
  <c r="F217" i="13"/>
  <c r="F219" i="19"/>
  <c r="G219" i="19" s="1"/>
  <c r="F217" i="2"/>
  <c r="F217" i="15"/>
  <c r="F217" i="11"/>
  <c r="B209" i="33"/>
  <c r="F223" i="13"/>
  <c r="F225" i="19"/>
  <c r="F223" i="2"/>
  <c r="F223" i="15"/>
  <c r="F223" i="11"/>
  <c r="B213" i="33"/>
  <c r="F229" i="19"/>
  <c r="G229" i="19" s="1"/>
  <c r="F227" i="13"/>
  <c r="F227" i="2"/>
  <c r="F227" i="15"/>
  <c r="F227" i="11"/>
  <c r="B217" i="33"/>
  <c r="F234" i="19"/>
  <c r="F232" i="13"/>
  <c r="F232" i="2"/>
  <c r="F232" i="15"/>
  <c r="F232" i="11"/>
  <c r="B221" i="33"/>
  <c r="F238" i="19"/>
  <c r="F236" i="13"/>
  <c r="F236" i="2"/>
  <c r="F236" i="11"/>
  <c r="F236" i="15"/>
  <c r="B225" i="33"/>
  <c r="F242" i="19"/>
  <c r="F240" i="13"/>
  <c r="F240" i="2"/>
  <c r="F240" i="15"/>
  <c r="F240" i="11"/>
  <c r="B229" i="33"/>
  <c r="F246" i="19"/>
  <c r="F244" i="13"/>
  <c r="F244" i="2"/>
  <c r="F244" i="11"/>
  <c r="F244" i="15"/>
  <c r="B236" i="33"/>
  <c r="F255" i="19"/>
  <c r="F253" i="13"/>
  <c r="F253" i="2"/>
  <c r="G253" i="2" s="1"/>
  <c r="F253" i="15"/>
  <c r="F253" i="11"/>
  <c r="F259" i="19"/>
  <c r="B240" i="33"/>
  <c r="F257" i="2"/>
  <c r="F257" i="13"/>
  <c r="F257" i="15"/>
  <c r="F257" i="11"/>
  <c r="B245" i="33"/>
  <c r="F264" i="19"/>
  <c r="F262" i="13"/>
  <c r="F262" i="2"/>
  <c r="F262" i="15"/>
  <c r="F262" i="11"/>
  <c r="B249" i="33"/>
  <c r="F268" i="19"/>
  <c r="F266" i="13"/>
  <c r="F266" i="11"/>
  <c r="F266" i="15"/>
  <c r="F266" i="2"/>
  <c r="B256" i="33"/>
  <c r="F275" i="19"/>
  <c r="F273" i="2"/>
  <c r="G273" i="2" s="1"/>
  <c r="F273" i="13"/>
  <c r="F273" i="11"/>
  <c r="F273" i="15"/>
  <c r="G273" i="15" s="1"/>
  <c r="B261" i="33"/>
  <c r="F280" i="19"/>
  <c r="F278" i="13"/>
  <c r="F278" i="2"/>
  <c r="F278" i="11"/>
  <c r="F278" i="15"/>
  <c r="B266" i="33"/>
  <c r="F285" i="19"/>
  <c r="F283" i="13"/>
  <c r="G283" i="13" s="1"/>
  <c r="F283" i="11"/>
  <c r="F283" i="2"/>
  <c r="G283" i="2" s="1"/>
  <c r="F283" i="15"/>
  <c r="G283" i="15" s="1"/>
  <c r="B271" i="33"/>
  <c r="F288" i="13"/>
  <c r="F288" i="11"/>
  <c r="B276" i="33"/>
  <c r="F293" i="13"/>
  <c r="F293" i="11"/>
  <c r="B280" i="33"/>
  <c r="F297" i="13"/>
  <c r="F297" i="11"/>
  <c r="B284" i="33"/>
  <c r="F301" i="13"/>
  <c r="F301" i="11"/>
  <c r="B292" i="33"/>
  <c r="F309" i="13"/>
  <c r="F309" i="11"/>
  <c r="F289" i="15"/>
  <c r="F289" i="2"/>
  <c r="B296" i="33"/>
  <c r="F313" i="13"/>
  <c r="F313" i="11"/>
  <c r="F293" i="15"/>
  <c r="F293" i="2"/>
  <c r="B300" i="33"/>
  <c r="F318" i="11"/>
  <c r="F299" i="15"/>
  <c r="F318" i="13"/>
  <c r="F299" i="2"/>
  <c r="B306" i="33"/>
  <c r="F305" i="2"/>
  <c r="F324" i="13"/>
  <c r="G324" i="13" s="1"/>
  <c r="F305" i="15"/>
  <c r="F324" i="11"/>
  <c r="G324" i="11" s="1"/>
  <c r="B310" i="33"/>
  <c r="F327" i="11"/>
  <c r="F327" i="13"/>
  <c r="F308" i="2"/>
  <c r="F308" i="15"/>
  <c r="B314" i="33"/>
  <c r="F317" i="13"/>
  <c r="F317" i="11"/>
  <c r="F298" i="15"/>
  <c r="F298" i="2"/>
  <c r="B319" i="33"/>
  <c r="F318" i="19"/>
  <c r="G318" i="19" s="1"/>
  <c r="F316" i="15"/>
  <c r="F316" i="2"/>
  <c r="F335" i="13"/>
  <c r="F335" i="11"/>
  <c r="B324" i="33"/>
  <c r="F323" i="19"/>
  <c r="F340" i="11"/>
  <c r="F321" i="15"/>
  <c r="F340" i="13"/>
  <c r="F321" i="2"/>
  <c r="B328" i="33"/>
  <c r="F327" i="19"/>
  <c r="F325" i="15"/>
  <c r="F344" i="13"/>
  <c r="F344" i="11"/>
  <c r="F325" i="2"/>
  <c r="B332" i="33"/>
  <c r="F331" i="19"/>
  <c r="F348" i="13"/>
  <c r="F329" i="15"/>
  <c r="F348" i="11"/>
  <c r="F329" i="2"/>
  <c r="F333" i="2"/>
  <c r="B336" i="33"/>
  <c r="F335" i="19"/>
  <c r="F333" i="15"/>
  <c r="F352" i="13"/>
  <c r="F352" i="11"/>
  <c r="B341" i="33"/>
  <c r="F340" i="19"/>
  <c r="G340" i="19" s="1"/>
  <c r="F338" i="15"/>
  <c r="F357" i="13"/>
  <c r="F357" i="11"/>
  <c r="F338" i="2"/>
  <c r="B345" i="33"/>
  <c r="F344" i="19"/>
  <c r="G344" i="19" s="1"/>
  <c r="F342" i="15"/>
  <c r="F361" i="13"/>
  <c r="F361" i="11"/>
  <c r="F342" i="2"/>
  <c r="B349" i="33"/>
  <c r="F348" i="19"/>
  <c r="G348" i="19" s="1"/>
  <c r="F365" i="13"/>
  <c r="F346" i="15"/>
  <c r="F365" i="11"/>
  <c r="F346" i="2"/>
  <c r="B353" i="33"/>
  <c r="F352" i="19"/>
  <c r="G352" i="19" s="1"/>
  <c r="F350" i="15"/>
  <c r="F369" i="13"/>
  <c r="F369" i="11"/>
  <c r="F350" i="2"/>
  <c r="B357" i="33"/>
  <c r="F374" i="11"/>
  <c r="F374" i="13"/>
  <c r="B361" i="33"/>
  <c r="F378" i="11"/>
  <c r="F378" i="13"/>
  <c r="F358" i="2"/>
  <c r="G358" i="2" s="1"/>
  <c r="B366" i="33"/>
  <c r="F24" i="18"/>
  <c r="F28" i="18"/>
  <c r="B370" i="33"/>
  <c r="B374" i="33"/>
  <c r="F32" i="18"/>
  <c r="B379" i="33"/>
  <c r="F37" i="18"/>
  <c r="B385" i="33"/>
  <c r="F43" i="18"/>
  <c r="B389" i="33"/>
  <c r="F47" i="18"/>
  <c r="B393" i="33"/>
  <c r="F51" i="18"/>
  <c r="B399" i="33"/>
  <c r="F57" i="18"/>
  <c r="B403" i="33"/>
  <c r="F61" i="18"/>
  <c r="B407" i="33"/>
  <c r="F65" i="18"/>
  <c r="B411" i="33"/>
  <c r="F69" i="18"/>
  <c r="G69" i="18" s="1"/>
  <c r="B419" i="33"/>
  <c r="F442" i="13"/>
  <c r="F442" i="11"/>
  <c r="F370" i="2"/>
  <c r="G370" i="2" s="1"/>
  <c r="B423" i="33"/>
  <c r="F448" i="13"/>
  <c r="F448" i="11"/>
  <c r="B427" i="33"/>
  <c r="F452" i="13"/>
  <c r="F452" i="11"/>
  <c r="B431" i="33"/>
  <c r="F386" i="13"/>
  <c r="F386" i="11"/>
  <c r="B435" i="33"/>
  <c r="F390" i="13"/>
  <c r="F390" i="11"/>
  <c r="B439" i="33"/>
  <c r="F394" i="13"/>
  <c r="F394" i="11"/>
  <c r="B443" i="33"/>
  <c r="F398" i="13"/>
  <c r="F398" i="11"/>
  <c r="B448" i="33"/>
  <c r="F403" i="11"/>
  <c r="F403" i="13"/>
  <c r="B453" i="33"/>
  <c r="F408" i="13"/>
  <c r="F408" i="11"/>
  <c r="B457" i="33"/>
  <c r="F412" i="13"/>
  <c r="F412" i="11"/>
  <c r="B461" i="33"/>
  <c r="F416" i="13"/>
  <c r="F416" i="11"/>
  <c r="B465" i="33"/>
  <c r="F420" i="13"/>
  <c r="F420" i="11"/>
  <c r="B469" i="33"/>
  <c r="F424" i="13"/>
  <c r="F424" i="11"/>
  <c r="B473" i="33"/>
  <c r="F428" i="13"/>
  <c r="F428" i="11"/>
  <c r="B477" i="33"/>
  <c r="F432" i="13"/>
  <c r="F432" i="11"/>
  <c r="B481" i="33"/>
  <c r="F436" i="13"/>
  <c r="F436" i="11"/>
  <c r="B485" i="33"/>
  <c r="F440" i="13"/>
  <c r="F440" i="11"/>
  <c r="B489" i="33"/>
  <c r="B493" i="33"/>
  <c r="B497" i="33"/>
  <c r="B501" i="33"/>
  <c r="B505" i="33"/>
  <c r="B509" i="33"/>
  <c r="B513" i="33"/>
  <c r="B517" i="33"/>
  <c r="B521" i="33"/>
  <c r="B525" i="33"/>
  <c r="B529" i="33"/>
  <c r="B533" i="33"/>
  <c r="B538" i="33"/>
  <c r="B543" i="33"/>
  <c r="B588" i="33"/>
  <c r="B603" i="33"/>
  <c r="B609" i="33"/>
  <c r="B613" i="33"/>
  <c r="B622" i="33"/>
  <c r="B626" i="33"/>
  <c r="B630" i="33"/>
  <c r="B634" i="33"/>
  <c r="B638" i="33"/>
  <c r="B642" i="33"/>
  <c r="B646" i="33"/>
  <c r="B650" i="33"/>
  <c r="B654" i="33"/>
  <c r="B658" i="33"/>
  <c r="B662" i="33"/>
  <c r="B666" i="33"/>
  <c r="B670" i="33"/>
  <c r="B674" i="33"/>
  <c r="B678" i="33"/>
  <c r="B682" i="33"/>
  <c r="B8" i="33"/>
  <c r="F12" i="19"/>
  <c r="F12" i="13"/>
  <c r="F12" i="11"/>
  <c r="F16" i="2"/>
  <c r="B12" i="33"/>
  <c r="F16" i="19"/>
  <c r="F16" i="13"/>
  <c r="F16" i="11"/>
  <c r="F20" i="2"/>
  <c r="B16" i="33"/>
  <c r="F20" i="19"/>
  <c r="F20" i="13"/>
  <c r="F20" i="11"/>
  <c r="F24" i="2"/>
  <c r="B20" i="33"/>
  <c r="F24" i="19"/>
  <c r="F24" i="13"/>
  <c r="F24" i="11"/>
  <c r="F28" i="2"/>
  <c r="B24" i="33"/>
  <c r="F28" i="19"/>
  <c r="F28" i="13"/>
  <c r="F28" i="11"/>
  <c r="F32" i="2"/>
  <c r="B28" i="33"/>
  <c r="F32" i="19"/>
  <c r="F32" i="13"/>
  <c r="F32" i="11"/>
  <c r="B32" i="33"/>
  <c r="F36" i="19"/>
  <c r="G36" i="19" s="1"/>
  <c r="F34" i="10"/>
  <c r="G34" i="10" s="1"/>
  <c r="F34" i="11"/>
  <c r="F34" i="13"/>
  <c r="B36" i="33"/>
  <c r="F40" i="19"/>
  <c r="F38" i="10"/>
  <c r="F38" i="11"/>
  <c r="F38" i="13"/>
  <c r="B40" i="33"/>
  <c r="F44" i="19"/>
  <c r="F42" i="10"/>
  <c r="F42" i="11"/>
  <c r="F42" i="13"/>
  <c r="B44" i="33"/>
  <c r="F48" i="19"/>
  <c r="F46" i="10"/>
  <c r="F46" i="13"/>
  <c r="F46" i="11"/>
  <c r="B48" i="33"/>
  <c r="F52" i="19"/>
  <c r="F50" i="10"/>
  <c r="F50" i="13"/>
  <c r="F50" i="11"/>
  <c r="B52" i="33"/>
  <c r="F54" i="10"/>
  <c r="F56" i="19"/>
  <c r="F54" i="13"/>
  <c r="F54" i="11"/>
  <c r="B56" i="33"/>
  <c r="F60" i="19"/>
  <c r="G60" i="19" s="1"/>
  <c r="F58" i="10"/>
  <c r="G58" i="10" s="1"/>
  <c r="F58" i="13"/>
  <c r="F58" i="11"/>
  <c r="B60" i="33"/>
  <c r="F66" i="19"/>
  <c r="G66" i="19" s="1"/>
  <c r="F64" i="11"/>
  <c r="F64" i="13"/>
  <c r="B64" i="33"/>
  <c r="F70" i="19"/>
  <c r="G70" i="19" s="1"/>
  <c r="F68" i="11"/>
  <c r="F68" i="13"/>
  <c r="B68" i="33"/>
  <c r="F75" i="19"/>
  <c r="F73" i="13"/>
  <c r="B72" i="33"/>
  <c r="F79" i="19"/>
  <c r="G79" i="19" s="1"/>
  <c r="F77" i="13"/>
  <c r="B76" i="33"/>
  <c r="F83" i="19"/>
  <c r="F81" i="13"/>
  <c r="B80" i="33"/>
  <c r="F87" i="19"/>
  <c r="F85" i="13"/>
  <c r="B84" i="33"/>
  <c r="F92" i="19"/>
  <c r="G92" i="19" s="1"/>
  <c r="F90" i="11"/>
  <c r="B88" i="33"/>
  <c r="F96" i="19"/>
  <c r="G96" i="19" s="1"/>
  <c r="F94" i="11"/>
  <c r="B92" i="33"/>
  <c r="F101" i="19"/>
  <c r="G101" i="19" s="1"/>
  <c r="B96" i="33"/>
  <c r="F105" i="19"/>
  <c r="G105" i="19" s="1"/>
  <c r="B100" i="33"/>
  <c r="F110" i="19"/>
  <c r="G110" i="19" s="1"/>
  <c r="B104" i="33"/>
  <c r="F114" i="19"/>
  <c r="G114" i="19" s="1"/>
  <c r="B108" i="33"/>
  <c r="F118" i="19"/>
  <c r="G118" i="19" s="1"/>
  <c r="B112" i="33"/>
  <c r="F122" i="19"/>
  <c r="G122" i="19" s="1"/>
  <c r="B116" i="33"/>
  <c r="F126" i="19"/>
  <c r="G126" i="19" s="1"/>
  <c r="B120" i="33"/>
  <c r="F131" i="19"/>
  <c r="G131" i="19" s="1"/>
  <c r="F133" i="2"/>
  <c r="B124" i="33"/>
  <c r="F135" i="19"/>
  <c r="G135" i="19" s="1"/>
  <c r="F142" i="19"/>
  <c r="F140" i="13"/>
  <c r="B134" i="33"/>
  <c r="F148" i="19"/>
  <c r="F146" i="13"/>
  <c r="F146" i="2"/>
  <c r="B138" i="33"/>
  <c r="F152" i="19"/>
  <c r="F150" i="13"/>
  <c r="F150" i="2"/>
  <c r="B142" i="33"/>
  <c r="F156" i="19"/>
  <c r="F154" i="13"/>
  <c r="F154" i="2"/>
  <c r="B146" i="33"/>
  <c r="F160" i="19"/>
  <c r="F158" i="13"/>
  <c r="F158" i="2"/>
  <c r="B150" i="33"/>
  <c r="F164" i="19"/>
  <c r="F162" i="13"/>
  <c r="F162" i="2"/>
  <c r="B156" i="33"/>
  <c r="F170" i="19"/>
  <c r="F168" i="13"/>
  <c r="F168" i="2"/>
  <c r="F168" i="15"/>
  <c r="F168" i="11"/>
  <c r="B160" i="33"/>
  <c r="F174" i="19"/>
  <c r="F172" i="13"/>
  <c r="F172" i="2"/>
  <c r="F172" i="11"/>
  <c r="F172" i="15"/>
  <c r="B164" i="33"/>
  <c r="F178" i="19"/>
  <c r="F176" i="13"/>
  <c r="F176" i="11"/>
  <c r="F176" i="15"/>
  <c r="B168" i="33"/>
  <c r="F183" i="19"/>
  <c r="F181" i="13"/>
  <c r="F181" i="2"/>
  <c r="F181" i="15"/>
  <c r="F181" i="11"/>
  <c r="B172" i="33"/>
  <c r="F187" i="19"/>
  <c r="F185" i="13"/>
  <c r="F185" i="2"/>
  <c r="F185" i="11"/>
  <c r="F185" i="15"/>
  <c r="B176" i="33"/>
  <c r="F191" i="19"/>
  <c r="F189" i="13"/>
  <c r="F189" i="2"/>
  <c r="F189" i="11"/>
  <c r="F189" i="15"/>
  <c r="B180" i="33"/>
  <c r="F195" i="19"/>
  <c r="G195" i="19" s="1"/>
  <c r="F193" i="13"/>
  <c r="F193" i="2"/>
  <c r="F193" i="15"/>
  <c r="F193" i="11"/>
  <c r="B184" i="33"/>
  <c r="F199" i="19"/>
  <c r="F197" i="13"/>
  <c r="F197" i="2"/>
  <c r="F197" i="11"/>
  <c r="F197" i="15"/>
  <c r="B188" i="33"/>
  <c r="F203" i="19"/>
  <c r="F201" i="13"/>
  <c r="F201" i="2"/>
  <c r="F201" i="15"/>
  <c r="F201" i="11"/>
  <c r="B192" i="33"/>
  <c r="F207" i="19"/>
  <c r="G207" i="19" s="1"/>
  <c r="F205" i="13"/>
  <c r="F205" i="2"/>
  <c r="F205" i="15"/>
  <c r="F205" i="11"/>
  <c r="B197" i="33"/>
  <c r="F212" i="19"/>
  <c r="G212" i="19" s="1"/>
  <c r="F210" i="13"/>
  <c r="F210" i="11"/>
  <c r="F210" i="15"/>
  <c r="F210" i="2"/>
  <c r="B201" i="33"/>
  <c r="F216" i="19"/>
  <c r="G216" i="19" s="1"/>
  <c r="F214" i="13"/>
  <c r="F214" i="15"/>
  <c r="F214" i="2"/>
  <c r="F214" i="11"/>
  <c r="B205" i="33"/>
  <c r="F220" i="19"/>
  <c r="G220" i="19" s="1"/>
  <c r="F218" i="13"/>
  <c r="F218" i="15"/>
  <c r="F218" i="2"/>
  <c r="F218" i="11"/>
  <c r="B210" i="33"/>
  <c r="F226" i="19"/>
  <c r="F224" i="15"/>
  <c r="F224" i="13"/>
  <c r="F224" i="11"/>
  <c r="F224" i="2"/>
  <c r="B214" i="33"/>
  <c r="F230" i="19"/>
  <c r="F228" i="13"/>
  <c r="F228" i="11"/>
  <c r="F228" i="15"/>
  <c r="F228" i="2"/>
  <c r="B218" i="33"/>
  <c r="F235" i="19"/>
  <c r="F233" i="11"/>
  <c r="F233" i="15"/>
  <c r="F233" i="13"/>
  <c r="F233" i="2"/>
  <c r="B222" i="33"/>
  <c r="F239" i="19"/>
  <c r="F237" i="11"/>
  <c r="F237" i="15"/>
  <c r="F237" i="13"/>
  <c r="F237" i="2"/>
  <c r="B226" i="33"/>
  <c r="F243" i="19"/>
  <c r="F241" i="11"/>
  <c r="F241" i="15"/>
  <c r="F241" i="13"/>
  <c r="F241" i="2"/>
  <c r="B230" i="33"/>
  <c r="F247" i="19"/>
  <c r="F245" i="13"/>
  <c r="F245" i="11"/>
  <c r="F245" i="15"/>
  <c r="F245" i="2"/>
  <c r="B237" i="33"/>
  <c r="F256" i="19"/>
  <c r="F254" i="13"/>
  <c r="F254" i="15"/>
  <c r="F254" i="11"/>
  <c r="F254" i="2"/>
  <c r="G254" i="2" s="1"/>
  <c r="B241" i="33"/>
  <c r="F260" i="19"/>
  <c r="F258" i="13"/>
  <c r="F258" i="15"/>
  <c r="F258" i="2"/>
  <c r="F258" i="11"/>
  <c r="B246" i="33"/>
  <c r="F265" i="19"/>
  <c r="F263" i="13"/>
  <c r="F263" i="15"/>
  <c r="F263" i="2"/>
  <c r="F263" i="11"/>
  <c r="B251" i="33"/>
  <c r="F270" i="19"/>
  <c r="F268" i="11"/>
  <c r="F268" i="15"/>
  <c r="F268" i="13"/>
  <c r="F268" i="2"/>
  <c r="B257" i="33"/>
  <c r="F276" i="19"/>
  <c r="F274" i="13"/>
  <c r="F274" i="11"/>
  <c r="F274" i="15"/>
  <c r="F274" i="2"/>
  <c r="B262" i="33"/>
  <c r="F279" i="13"/>
  <c r="F281" i="19"/>
  <c r="F279" i="11"/>
  <c r="F279" i="2"/>
  <c r="F279" i="15"/>
  <c r="B267" i="33"/>
  <c r="F286" i="19"/>
  <c r="F284" i="11"/>
  <c r="F284" i="15"/>
  <c r="G284" i="15" s="1"/>
  <c r="F284" i="13"/>
  <c r="G284" i="13" s="1"/>
  <c r="F284" i="2"/>
  <c r="G284" i="2" s="1"/>
  <c r="B272" i="33"/>
  <c r="F289" i="13"/>
  <c r="F289" i="11"/>
  <c r="B277" i="33"/>
  <c r="F294" i="13"/>
  <c r="F294" i="11"/>
  <c r="B281" i="33"/>
  <c r="F290" i="19"/>
  <c r="F298" i="11"/>
  <c r="F298" i="13"/>
  <c r="F288" i="2"/>
  <c r="F288" i="15"/>
  <c r="B287" i="33"/>
  <c r="F304" i="13"/>
  <c r="F304" i="11"/>
  <c r="B293" i="33"/>
  <c r="F310" i="13"/>
  <c r="F290" i="2"/>
  <c r="F310" i="11"/>
  <c r="F290" i="15"/>
  <c r="B297" i="33"/>
  <c r="F296" i="2"/>
  <c r="F314" i="11"/>
  <c r="F314" i="13"/>
  <c r="B301" i="33"/>
  <c r="F300" i="2"/>
  <c r="F319" i="13"/>
  <c r="F319" i="11"/>
  <c r="F300" i="15"/>
  <c r="B307" i="33"/>
  <c r="F325" i="13"/>
  <c r="G325" i="13" s="1"/>
  <c r="F306" i="15"/>
  <c r="F306" i="2"/>
  <c r="F325" i="11"/>
  <c r="G325" i="11" s="1"/>
  <c r="B311" i="33"/>
  <c r="F309" i="2"/>
  <c r="F328" i="13"/>
  <c r="F328" i="11"/>
  <c r="F309" i="15"/>
  <c r="B316" i="33"/>
  <c r="F315" i="19"/>
  <c r="G315" i="19" s="1"/>
  <c r="F313" i="2"/>
  <c r="F332" i="13"/>
  <c r="F332" i="11"/>
  <c r="F313" i="15"/>
  <c r="B320" i="33"/>
  <c r="F319" i="19"/>
  <c r="G319" i="19" s="1"/>
  <c r="F336" i="13"/>
  <c r="F336" i="11"/>
  <c r="F317" i="15"/>
  <c r="F317" i="2"/>
  <c r="B325" i="33"/>
  <c r="F324" i="19"/>
  <c r="F341" i="11"/>
  <c r="F341" i="13"/>
  <c r="F322" i="15"/>
  <c r="F322" i="2"/>
  <c r="B329" i="33"/>
  <c r="F328" i="19"/>
  <c r="F345" i="11"/>
  <c r="F345" i="13"/>
  <c r="F326" i="2"/>
  <c r="F326" i="15"/>
  <c r="B333" i="33"/>
  <c r="F332" i="19"/>
  <c r="F349" i="11"/>
  <c r="F349" i="13"/>
  <c r="F330" i="2"/>
  <c r="F330" i="15"/>
  <c r="B338" i="33"/>
  <c r="F337" i="19"/>
  <c r="G337" i="19" s="1"/>
  <c r="F354" i="13"/>
  <c r="F354" i="11"/>
  <c r="F335" i="15"/>
  <c r="F335" i="2"/>
  <c r="B342" i="33"/>
  <c r="F341" i="19"/>
  <c r="G341" i="19" s="1"/>
  <c r="F358" i="11"/>
  <c r="F358" i="13"/>
  <c r="F339" i="15"/>
  <c r="F339" i="2"/>
  <c r="B346" i="33"/>
  <c r="F345" i="19"/>
  <c r="G345" i="19" s="1"/>
  <c r="F362" i="11"/>
  <c r="F362" i="13"/>
  <c r="F343" i="2"/>
  <c r="F343" i="15"/>
  <c r="B350" i="33"/>
  <c r="F349" i="19"/>
  <c r="G349" i="19" s="1"/>
  <c r="F366" i="11"/>
  <c r="F366" i="13"/>
  <c r="F347" i="2"/>
  <c r="F347" i="15"/>
  <c r="B354" i="33"/>
  <c r="F353" i="19"/>
  <c r="G353" i="19" s="1"/>
  <c r="F370" i="13"/>
  <c r="F370" i="11"/>
  <c r="F351" i="15"/>
  <c r="F351" i="2"/>
  <c r="B358" i="33"/>
  <c r="F375" i="13"/>
  <c r="F375" i="11"/>
  <c r="F355" i="2"/>
  <c r="B362" i="33"/>
  <c r="F359" i="2"/>
  <c r="G359" i="2" s="1"/>
  <c r="F379" i="11"/>
  <c r="F379" i="13"/>
  <c r="B367" i="33"/>
  <c r="F25" i="18"/>
  <c r="B371" i="33"/>
  <c r="F29" i="18"/>
  <c r="B375" i="33"/>
  <c r="F33" i="18"/>
  <c r="B380" i="33"/>
  <c r="F38" i="18"/>
  <c r="F44" i="18"/>
  <c r="B386" i="33"/>
  <c r="F48" i="18"/>
  <c r="B390" i="33"/>
  <c r="F52" i="18"/>
  <c r="B394" i="33"/>
  <c r="B400" i="33"/>
  <c r="F58" i="18"/>
  <c r="B404" i="33"/>
  <c r="F62" i="18"/>
  <c r="B408" i="33"/>
  <c r="F66" i="18"/>
  <c r="B413" i="33"/>
  <c r="F364" i="2"/>
  <c r="B420" i="33"/>
  <c r="F443" i="13"/>
  <c r="F371" i="2"/>
  <c r="G371" i="2" s="1"/>
  <c r="F443" i="11"/>
  <c r="B424" i="33"/>
  <c r="F449" i="13"/>
  <c r="F449" i="11"/>
  <c r="B428" i="33"/>
  <c r="F453" i="13"/>
  <c r="F453" i="11"/>
  <c r="B432" i="33"/>
  <c r="F387" i="11"/>
  <c r="F387" i="13"/>
  <c r="B436" i="33"/>
  <c r="F391" i="11"/>
  <c r="F391" i="13"/>
  <c r="B440" i="33"/>
  <c r="F395" i="13"/>
  <c r="F395" i="11"/>
  <c r="B444" i="33"/>
  <c r="F399" i="11"/>
  <c r="F399" i="13"/>
  <c r="B450" i="33"/>
  <c r="F405" i="13"/>
  <c r="G405" i="13" s="1"/>
  <c r="F405" i="11"/>
  <c r="G405" i="11" s="1"/>
  <c r="B454" i="33"/>
  <c r="F409" i="13"/>
  <c r="F409" i="11"/>
  <c r="B458" i="33"/>
  <c r="F413" i="13"/>
  <c r="F413" i="11"/>
  <c r="B462" i="33"/>
  <c r="F417" i="13"/>
  <c r="F417" i="11"/>
  <c r="B466" i="33"/>
  <c r="F421" i="13"/>
  <c r="F421" i="11"/>
  <c r="B470" i="33"/>
  <c r="F425" i="13"/>
  <c r="F425" i="11"/>
  <c r="B474" i="33"/>
  <c r="F429" i="13"/>
  <c r="F429" i="11"/>
  <c r="B478" i="33"/>
  <c r="F433" i="13"/>
  <c r="F433" i="11"/>
  <c r="B482" i="33"/>
  <c r="F437" i="13"/>
  <c r="F437" i="11"/>
  <c r="B486" i="33"/>
  <c r="F441" i="13"/>
  <c r="F441" i="11"/>
  <c r="B490" i="33"/>
  <c r="B494" i="33"/>
  <c r="B498" i="33"/>
  <c r="B502" i="33"/>
  <c r="B506" i="33"/>
  <c r="B510" i="33"/>
  <c r="B514" i="33"/>
  <c r="B518" i="33"/>
  <c r="B522" i="33"/>
  <c r="B526" i="33"/>
  <c r="B530" i="33"/>
  <c r="B534" i="33"/>
  <c r="B539" i="33"/>
  <c r="B585" i="33"/>
  <c r="B589" i="33"/>
  <c r="B600" i="33"/>
  <c r="B606" i="33"/>
  <c r="B610" i="33"/>
  <c r="B614" i="33"/>
  <c r="B623" i="33"/>
  <c r="B627" i="33"/>
  <c r="B631" i="33"/>
  <c r="B635" i="33"/>
  <c r="B639" i="33"/>
  <c r="B643" i="33"/>
  <c r="B647" i="33"/>
  <c r="B651" i="33"/>
  <c r="B655" i="33"/>
  <c r="B659" i="33"/>
  <c r="B663" i="33"/>
  <c r="B667" i="33"/>
  <c r="B671" i="33"/>
  <c r="B675" i="33"/>
  <c r="B679" i="33"/>
  <c r="B683" i="33"/>
  <c r="T1" i="18"/>
  <c r="G81" i="18"/>
  <c r="T6" i="16"/>
  <c r="G373" i="16"/>
  <c r="G375" i="16" s="1"/>
  <c r="T6" i="13"/>
  <c r="T1" i="11"/>
  <c r="F220" i="11"/>
  <c r="F220" i="2"/>
  <c r="F220" i="15"/>
  <c r="E311" i="15"/>
  <c r="E309" i="15"/>
  <c r="E306" i="15"/>
  <c r="E304" i="15"/>
  <c r="E302" i="15"/>
  <c r="J302" i="15" s="1"/>
  <c r="E300" i="15"/>
  <c r="E298" i="15"/>
  <c r="E292" i="15"/>
  <c r="E290" i="15"/>
  <c r="E288" i="15"/>
  <c r="E310" i="15"/>
  <c r="E305" i="15"/>
  <c r="E303" i="15"/>
  <c r="E301" i="15"/>
  <c r="J301" i="15" s="1"/>
  <c r="E297" i="15"/>
  <c r="E291" i="15"/>
  <c r="E307" i="15"/>
  <c r="E308" i="15"/>
  <c r="E299" i="15"/>
  <c r="E293" i="15"/>
  <c r="E289" i="15"/>
  <c r="F144" i="11"/>
  <c r="F144" i="15"/>
  <c r="F148" i="11"/>
  <c r="F148" i="15"/>
  <c r="G148" i="15" s="1"/>
  <c r="F152" i="11"/>
  <c r="F152" i="15"/>
  <c r="F156" i="11"/>
  <c r="F156" i="15"/>
  <c r="F160" i="11"/>
  <c r="F160" i="15"/>
  <c r="F164" i="11"/>
  <c r="F164" i="15"/>
  <c r="F145" i="11"/>
  <c r="F145" i="15"/>
  <c r="G145" i="15" s="1"/>
  <c r="F149" i="11"/>
  <c r="F149" i="15"/>
  <c r="G149" i="15" s="1"/>
  <c r="F153" i="11"/>
  <c r="F153" i="15"/>
  <c r="F157" i="11"/>
  <c r="F157" i="15"/>
  <c r="F161" i="11"/>
  <c r="F161" i="15"/>
  <c r="F146" i="15"/>
  <c r="G146" i="15" s="1"/>
  <c r="F146" i="11"/>
  <c r="F150" i="15"/>
  <c r="F150" i="11"/>
  <c r="F154" i="15"/>
  <c r="F154" i="11"/>
  <c r="F158" i="15"/>
  <c r="F158" i="11"/>
  <c r="F162" i="15"/>
  <c r="F162" i="11"/>
  <c r="F142" i="11"/>
  <c r="F142" i="15"/>
  <c r="F147" i="11"/>
  <c r="F147" i="15"/>
  <c r="G147" i="15" s="1"/>
  <c r="F151" i="11"/>
  <c r="F151" i="15"/>
  <c r="F155" i="11"/>
  <c r="F155" i="15"/>
  <c r="F159" i="11"/>
  <c r="F159" i="15"/>
  <c r="F163" i="11"/>
  <c r="F163" i="15"/>
  <c r="E390" i="25"/>
  <c r="E110" i="21"/>
  <c r="E107" i="21"/>
  <c r="E103" i="21"/>
  <c r="E99" i="21"/>
  <c r="E95" i="21"/>
  <c r="E91" i="21"/>
  <c r="E87" i="21"/>
  <c r="E83" i="21"/>
  <c r="E79" i="21"/>
  <c r="E75" i="21"/>
  <c r="E71" i="21"/>
  <c r="J71" i="21" s="1"/>
  <c r="E67" i="21"/>
  <c r="J67" i="21" s="1"/>
  <c r="E62" i="21"/>
  <c r="J62" i="21" s="1"/>
  <c r="E58" i="21"/>
  <c r="E104" i="21"/>
  <c r="E92" i="21"/>
  <c r="E76" i="21"/>
  <c r="E59" i="21"/>
  <c r="E106" i="21"/>
  <c r="E102" i="21"/>
  <c r="E98" i="21"/>
  <c r="E94" i="21"/>
  <c r="E90" i="21"/>
  <c r="E86" i="21"/>
  <c r="E82" i="21"/>
  <c r="E78" i="21"/>
  <c r="E74" i="21"/>
  <c r="E70" i="21"/>
  <c r="E61" i="21"/>
  <c r="E57" i="21"/>
  <c r="E88" i="21"/>
  <c r="E68" i="21"/>
  <c r="E112" i="21"/>
  <c r="E109" i="21"/>
  <c r="E105" i="21"/>
  <c r="E101" i="21"/>
  <c r="E97" i="21"/>
  <c r="E93" i="21"/>
  <c r="E89" i="21"/>
  <c r="E85" i="21"/>
  <c r="E81" i="21"/>
  <c r="E77" i="21"/>
  <c r="E73" i="21"/>
  <c r="E69" i="21"/>
  <c r="E64" i="21"/>
  <c r="E60" i="21"/>
  <c r="E111" i="21"/>
  <c r="E108" i="21"/>
  <c r="E100" i="21"/>
  <c r="E96" i="21"/>
  <c r="E84" i="21"/>
  <c r="E80" i="21"/>
  <c r="E72" i="21"/>
  <c r="E63" i="21"/>
  <c r="G113" i="21"/>
  <c r="G242" i="21" s="1"/>
  <c r="E338" i="13"/>
  <c r="E319" i="16"/>
  <c r="E233" i="21"/>
  <c r="A6" i="21"/>
  <c r="E72" i="18"/>
  <c r="E338" i="11"/>
  <c r="E319" i="15"/>
  <c r="B445" i="34" l="1"/>
  <c r="I76" i="15"/>
  <c r="I76" i="10"/>
  <c r="I78" i="19"/>
  <c r="I76" i="16"/>
  <c r="I76" i="13"/>
  <c r="I76" i="11"/>
  <c r="I76" i="2"/>
  <c r="I304" i="10"/>
  <c r="B200" i="34"/>
  <c r="I304" i="15"/>
  <c r="I303" i="15"/>
  <c r="I303" i="10"/>
  <c r="B199" i="34"/>
  <c r="I322" i="13"/>
  <c r="I305" i="19"/>
  <c r="I322" i="11"/>
  <c r="I303" i="2"/>
  <c r="I303" i="16"/>
  <c r="B697" i="34"/>
  <c r="I218" i="21"/>
  <c r="J218" i="21" s="1"/>
  <c r="I234" i="10"/>
  <c r="I234" i="15"/>
  <c r="I234" i="16"/>
  <c r="I234" i="2"/>
  <c r="B114" i="34"/>
  <c r="I290" i="19"/>
  <c r="I298" i="13"/>
  <c r="I298" i="11"/>
  <c r="I288" i="2"/>
  <c r="I268" i="2"/>
  <c r="B146" i="34"/>
  <c r="I268" i="15"/>
  <c r="J268" i="15" s="1"/>
  <c r="I268" i="16"/>
  <c r="I268" i="10"/>
  <c r="I270" i="19"/>
  <c r="I268" i="13"/>
  <c r="I268" i="11"/>
  <c r="I44" i="21"/>
  <c r="J44" i="21" s="1"/>
  <c r="B535" i="34"/>
  <c r="B122" i="34"/>
  <c r="I242" i="15"/>
  <c r="I242" i="16"/>
  <c r="I242" i="10"/>
  <c r="I242" i="2"/>
  <c r="I244" i="19"/>
  <c r="I242" i="11"/>
  <c r="I242" i="13"/>
  <c r="B76" i="34"/>
  <c r="I194" i="16"/>
  <c r="J194" i="16" s="1"/>
  <c r="I194" i="15"/>
  <c r="J194" i="15" s="1"/>
  <c r="I196" i="19"/>
  <c r="J196" i="19" s="1"/>
  <c r="I194" i="10"/>
  <c r="J194" i="10" s="1"/>
  <c r="I194" i="13"/>
  <c r="J194" i="13" s="1"/>
  <c r="I194" i="11"/>
  <c r="J194" i="11" s="1"/>
  <c r="I194" i="2"/>
  <c r="J194" i="2" s="1"/>
  <c r="I98" i="10"/>
  <c r="J98" i="10" s="1"/>
  <c r="I100" i="19"/>
  <c r="J100" i="19" s="1"/>
  <c r="I98" i="13"/>
  <c r="J98" i="13" s="1"/>
  <c r="B538" i="34"/>
  <c r="I47" i="21"/>
  <c r="J47" i="21" s="1"/>
  <c r="B297" i="34"/>
  <c r="I60" i="18"/>
  <c r="J60" i="18" s="1"/>
  <c r="I144" i="15"/>
  <c r="B27" i="34"/>
  <c r="I144" i="16"/>
  <c r="I283" i="2"/>
  <c r="J283" i="2" s="1"/>
  <c r="I283" i="10"/>
  <c r="B161" i="34"/>
  <c r="I283" i="15"/>
  <c r="J283" i="15" s="1"/>
  <c r="I283" i="11"/>
  <c r="I283" i="16"/>
  <c r="I285" i="19"/>
  <c r="I283" i="13"/>
  <c r="J283" i="13" s="1"/>
  <c r="I230" i="15"/>
  <c r="I230" i="16"/>
  <c r="I230" i="11"/>
  <c r="I230" i="13"/>
  <c r="I230" i="2"/>
  <c r="I230" i="10"/>
  <c r="B111" i="34"/>
  <c r="I232" i="19"/>
  <c r="I204" i="10"/>
  <c r="J204" i="10" s="1"/>
  <c r="I204" i="11"/>
  <c r="J204" i="11" s="1"/>
  <c r="I204" i="2"/>
  <c r="B86" i="34"/>
  <c r="I204" i="16"/>
  <c r="J204" i="16" s="1"/>
  <c r="B541" i="34"/>
  <c r="I50" i="21"/>
  <c r="J50" i="21" s="1"/>
  <c r="I207" i="11"/>
  <c r="B89" i="34"/>
  <c r="I207" i="15"/>
  <c r="I207" i="13"/>
  <c r="I207" i="16"/>
  <c r="I207" i="10"/>
  <c r="I209" i="19"/>
  <c r="I207" i="2"/>
  <c r="I348" i="13"/>
  <c r="J348" i="13" s="1"/>
  <c r="I329" i="15"/>
  <c r="I331" i="19"/>
  <c r="I348" i="11"/>
  <c r="I329" i="2"/>
  <c r="B227" i="34"/>
  <c r="I329" i="16"/>
  <c r="I329" i="10"/>
  <c r="B298" i="34"/>
  <c r="I61" i="18"/>
  <c r="J61" i="18" s="1"/>
  <c r="B428" i="34"/>
  <c r="I56" i="15"/>
  <c r="I56" i="16"/>
  <c r="I56" i="10"/>
  <c r="I56" i="13"/>
  <c r="I56" i="11"/>
  <c r="I58" i="19"/>
  <c r="I56" i="2"/>
  <c r="B549" i="34"/>
  <c r="I60" i="21"/>
  <c r="B412" i="34"/>
  <c r="I40" i="11"/>
  <c r="I40" i="15"/>
  <c r="I40" i="10"/>
  <c r="I40" i="13"/>
  <c r="I40" i="16"/>
  <c r="I42" i="19"/>
  <c r="I40" i="2"/>
  <c r="I438" i="11"/>
  <c r="J438" i="11" s="1"/>
  <c r="B378" i="34"/>
  <c r="I438" i="13"/>
  <c r="J438" i="13" s="1"/>
  <c r="B533" i="34"/>
  <c r="I42" i="21"/>
  <c r="J42" i="21" s="1"/>
  <c r="I27" i="2"/>
  <c r="I27" i="13"/>
  <c r="I27" i="16"/>
  <c r="B443" i="34"/>
  <c r="I74" i="11"/>
  <c r="I74" i="16"/>
  <c r="I74" i="15"/>
  <c r="I74" i="10"/>
  <c r="I76" i="19"/>
  <c r="I74" i="2"/>
  <c r="I74" i="13"/>
  <c r="I59" i="18"/>
  <c r="J59" i="18" s="1"/>
  <c r="B296" i="34"/>
  <c r="B618" i="34"/>
  <c r="I130" i="21"/>
  <c r="J130" i="21" s="1"/>
  <c r="I269" i="15"/>
  <c r="J269" i="15" s="1"/>
  <c r="B147" i="34"/>
  <c r="I269" i="2"/>
  <c r="B454" i="34"/>
  <c r="I85" i="2"/>
  <c r="I85" i="16"/>
  <c r="I85" i="10"/>
  <c r="I85" i="11"/>
  <c r="I87" i="19"/>
  <c r="I85" i="13"/>
  <c r="I85" i="15"/>
  <c r="B175" i="34"/>
  <c r="I297" i="13"/>
  <c r="I297" i="11"/>
  <c r="I55" i="13"/>
  <c r="I57" i="19"/>
  <c r="I55" i="2"/>
  <c r="B257" i="34"/>
  <c r="I359" i="16"/>
  <c r="J359" i="16" s="1"/>
  <c r="I359" i="15"/>
  <c r="J359" i="15" s="1"/>
  <c r="I359" i="19"/>
  <c r="J359" i="19" s="1"/>
  <c r="B550" i="34"/>
  <c r="I61" i="21"/>
  <c r="I198" i="21"/>
  <c r="J198" i="21" s="1"/>
  <c r="B677" i="34"/>
  <c r="I205" i="2"/>
  <c r="J205" i="2" s="1"/>
  <c r="B87" i="34"/>
  <c r="I205" i="15"/>
  <c r="J205" i="15" s="1"/>
  <c r="I205" i="10"/>
  <c r="J205" i="10" s="1"/>
  <c r="I205" i="16"/>
  <c r="J205" i="16" s="1"/>
  <c r="I205" i="11"/>
  <c r="J205" i="11" s="1"/>
  <c r="I207" i="19"/>
  <c r="J207" i="19" s="1"/>
  <c r="I205" i="13"/>
  <c r="J205" i="13" s="1"/>
  <c r="B423" i="34"/>
  <c r="I51" i="13"/>
  <c r="I51" i="10"/>
  <c r="I53" i="19"/>
  <c r="I51" i="2"/>
  <c r="I51" i="16"/>
  <c r="I51" i="11"/>
  <c r="I51" i="15"/>
  <c r="I92" i="16"/>
  <c r="J92" i="16" s="1"/>
  <c r="I155" i="19"/>
  <c r="B611" i="34"/>
  <c r="I365" i="16"/>
  <c r="J365" i="16" s="1"/>
  <c r="I149" i="10"/>
  <c r="I111" i="13"/>
  <c r="J111" i="13" s="1"/>
  <c r="I57" i="2"/>
  <c r="I345" i="19"/>
  <c r="J345" i="19" s="1"/>
  <c r="I317" i="16"/>
  <c r="J317" i="16" s="1"/>
  <c r="I118" i="15"/>
  <c r="J118" i="15" s="1"/>
  <c r="I92" i="13"/>
  <c r="J92" i="13" s="1"/>
  <c r="B362" i="34"/>
  <c r="I96" i="15"/>
  <c r="J96" i="15" s="1"/>
  <c r="I345" i="10"/>
  <c r="J345" i="10" s="1"/>
  <c r="I361" i="13"/>
  <c r="J361" i="13" s="1"/>
  <c r="I163" i="2"/>
  <c r="I133" i="11"/>
  <c r="J133" i="11" s="1"/>
  <c r="I270" i="2"/>
  <c r="I129" i="16"/>
  <c r="J129" i="16" s="1"/>
  <c r="I153" i="11"/>
  <c r="I62" i="16"/>
  <c r="J62" i="16" s="1"/>
  <c r="I381" i="13"/>
  <c r="J381" i="13" s="1"/>
  <c r="B93" i="34"/>
  <c r="B32" i="34"/>
  <c r="I111" i="15"/>
  <c r="J111" i="15" s="1"/>
  <c r="I57" i="10"/>
  <c r="I335" i="2"/>
  <c r="J335" i="2" s="1"/>
  <c r="I309" i="2"/>
  <c r="I101" i="11"/>
  <c r="J101" i="11" s="1"/>
  <c r="I92" i="10"/>
  <c r="J92" i="10" s="1"/>
  <c r="B243" i="34"/>
  <c r="I112" i="21"/>
  <c r="I358" i="19"/>
  <c r="J358" i="19" s="1"/>
  <c r="I342" i="15"/>
  <c r="J342" i="15" s="1"/>
  <c r="I163" i="13"/>
  <c r="I117" i="16"/>
  <c r="J117" i="16" s="1"/>
  <c r="B37" i="34"/>
  <c r="I133" i="10"/>
  <c r="J133" i="10" s="1"/>
  <c r="I73" i="2"/>
  <c r="I272" i="19"/>
  <c r="B78" i="34"/>
  <c r="I153" i="10"/>
  <c r="I220" i="2"/>
  <c r="I70" i="2"/>
  <c r="I149" i="15"/>
  <c r="J149" i="15" s="1"/>
  <c r="B241" i="34"/>
  <c r="I135" i="19"/>
  <c r="J135" i="19" s="1"/>
  <c r="I375" i="2"/>
  <c r="J375" i="2" s="1"/>
  <c r="I13" i="18"/>
  <c r="J13" i="18" s="1"/>
  <c r="I111" i="10"/>
  <c r="J111" i="10" s="1"/>
  <c r="I57" i="15"/>
  <c r="I210" i="2"/>
  <c r="J210" i="2" s="1"/>
  <c r="I354" i="11"/>
  <c r="J354" i="11" s="1"/>
  <c r="I328" i="11"/>
  <c r="I101" i="13"/>
  <c r="J101" i="13" s="1"/>
  <c r="B240" i="34"/>
  <c r="I163" i="15"/>
  <c r="I147" i="2"/>
  <c r="I133" i="15"/>
  <c r="J133" i="15" s="1"/>
  <c r="I73" i="11"/>
  <c r="I270" i="10"/>
  <c r="I187" i="2"/>
  <c r="I153" i="16"/>
  <c r="I420" i="13"/>
  <c r="J420" i="13" s="1"/>
  <c r="I321" i="15"/>
  <c r="I220" i="11"/>
  <c r="I70" i="13"/>
  <c r="I45" i="19"/>
  <c r="J45" i="19" s="1"/>
  <c r="I45" i="21"/>
  <c r="J45" i="21" s="1"/>
  <c r="I74" i="18"/>
  <c r="J74" i="18" s="1"/>
  <c r="I318" i="2"/>
  <c r="I128" i="13"/>
  <c r="J128" i="13" s="1"/>
  <c r="I102" i="2"/>
  <c r="J102" i="2" s="1"/>
  <c r="I57" i="16"/>
  <c r="I210" i="11"/>
  <c r="J210" i="11" s="1"/>
  <c r="I52" i="21"/>
  <c r="J52" i="21" s="1"/>
  <c r="I335" i="10"/>
  <c r="J335" i="10" s="1"/>
  <c r="I328" i="13"/>
  <c r="I103" i="19"/>
  <c r="J103" i="19" s="1"/>
  <c r="I369" i="11"/>
  <c r="J369" i="11" s="1"/>
  <c r="I165" i="19"/>
  <c r="I147" i="13"/>
  <c r="I133" i="16"/>
  <c r="J133" i="16" s="1"/>
  <c r="I73" i="10"/>
  <c r="I270" i="15"/>
  <c r="J270" i="15" s="1"/>
  <c r="I187" i="11"/>
  <c r="I141" i="21"/>
  <c r="J141" i="21" s="1"/>
  <c r="I153" i="15"/>
  <c r="I420" i="11"/>
  <c r="J420" i="11" s="1"/>
  <c r="I321" i="10"/>
  <c r="I220" i="13"/>
  <c r="I70" i="11"/>
  <c r="I234" i="21"/>
  <c r="J234" i="21" s="1"/>
  <c r="I39" i="18"/>
  <c r="J39" i="18" s="1"/>
  <c r="I337" i="11"/>
  <c r="J337" i="11" s="1"/>
  <c r="I128" i="11"/>
  <c r="J128" i="11" s="1"/>
  <c r="I102" i="11"/>
  <c r="J102" i="11" s="1"/>
  <c r="I212" i="19"/>
  <c r="J212" i="19" s="1"/>
  <c r="I354" i="13"/>
  <c r="J354" i="13" s="1"/>
  <c r="I311" i="19"/>
  <c r="I118" i="2"/>
  <c r="J118" i="2" s="1"/>
  <c r="I101" i="15"/>
  <c r="J101" i="15" s="1"/>
  <c r="I96" i="2"/>
  <c r="J96" i="2" s="1"/>
  <c r="I352" i="19"/>
  <c r="J352" i="19" s="1"/>
  <c r="I163" i="10"/>
  <c r="I147" i="11"/>
  <c r="I270" i="16"/>
  <c r="I187" i="13"/>
  <c r="I240" i="2"/>
  <c r="B36" i="34"/>
  <c r="I222" i="19"/>
  <c r="I70" i="16"/>
  <c r="I65" i="21"/>
  <c r="J65" i="21" s="1"/>
  <c r="I163" i="11"/>
  <c r="I367" i="19"/>
  <c r="J367" i="19" s="1"/>
  <c r="I318" i="16"/>
  <c r="J318" i="16" s="1"/>
  <c r="I128" i="10"/>
  <c r="J128" i="10" s="1"/>
  <c r="I102" i="13"/>
  <c r="J102" i="13" s="1"/>
  <c r="I210" i="13"/>
  <c r="J210" i="13" s="1"/>
  <c r="I343" i="2"/>
  <c r="J343" i="2" s="1"/>
  <c r="I337" i="19"/>
  <c r="J337" i="19" s="1"/>
  <c r="I317" i="2"/>
  <c r="I309" i="10"/>
  <c r="I118" i="11"/>
  <c r="J118" i="11" s="1"/>
  <c r="I101" i="10"/>
  <c r="J101" i="10" s="1"/>
  <c r="I77" i="19"/>
  <c r="I96" i="11"/>
  <c r="J96" i="11" s="1"/>
  <c r="I51" i="21"/>
  <c r="J51" i="21" s="1"/>
  <c r="I369" i="13"/>
  <c r="J369" i="13" s="1"/>
  <c r="I149" i="19"/>
  <c r="I189" i="19"/>
  <c r="I220" i="10"/>
  <c r="I70" i="10"/>
  <c r="J290" i="15"/>
  <c r="I447" i="11"/>
  <c r="J447" i="11" s="1"/>
  <c r="I318" i="15"/>
  <c r="J318" i="15" s="1"/>
  <c r="I149" i="2"/>
  <c r="I119" i="2"/>
  <c r="J119" i="2" s="1"/>
  <c r="I104" i="19"/>
  <c r="J104" i="19" s="1"/>
  <c r="I210" i="10"/>
  <c r="J210" i="10" s="1"/>
  <c r="I362" i="13"/>
  <c r="J362" i="13" s="1"/>
  <c r="I335" i="16"/>
  <c r="J335" i="16" s="1"/>
  <c r="I336" i="11"/>
  <c r="J336" i="11" s="1"/>
  <c r="I309" i="16"/>
  <c r="I118" i="13"/>
  <c r="J118" i="13" s="1"/>
  <c r="I101" i="16"/>
  <c r="J101" i="16" s="1"/>
  <c r="I75" i="13"/>
  <c r="I96" i="13"/>
  <c r="J96" i="13" s="1"/>
  <c r="I345" i="2"/>
  <c r="J345" i="2" s="1"/>
  <c r="I350" i="10"/>
  <c r="J350" i="10" s="1"/>
  <c r="I147" i="16"/>
  <c r="I99" i="2"/>
  <c r="I187" i="16"/>
  <c r="I26" i="18"/>
  <c r="J26" i="18" s="1"/>
  <c r="I220" i="15"/>
  <c r="I447" i="13"/>
  <c r="J447" i="13" s="1"/>
  <c r="B216" i="34"/>
  <c r="I149" i="13"/>
  <c r="I119" i="11"/>
  <c r="J119" i="11" s="1"/>
  <c r="I102" i="15"/>
  <c r="J102" i="15" s="1"/>
  <c r="I210" i="15"/>
  <c r="J210" i="15" s="1"/>
  <c r="I343" i="16"/>
  <c r="J343" i="16" s="1"/>
  <c r="I335" i="15"/>
  <c r="J335" i="15" s="1"/>
  <c r="I336" i="13"/>
  <c r="J336" i="13" s="1"/>
  <c r="I309" i="15"/>
  <c r="I120" i="19"/>
  <c r="J120" i="19" s="1"/>
  <c r="I92" i="2"/>
  <c r="J92" i="2" s="1"/>
  <c r="I75" i="10"/>
  <c r="I96" i="10"/>
  <c r="J96" i="10" s="1"/>
  <c r="I364" i="11"/>
  <c r="J364" i="11" s="1"/>
  <c r="I342" i="2"/>
  <c r="J342" i="2" s="1"/>
  <c r="I147" i="10"/>
  <c r="B509" i="34"/>
  <c r="I99" i="11"/>
  <c r="J99" i="11" s="1"/>
  <c r="I187" i="10"/>
  <c r="I161" i="2"/>
  <c r="I361" i="2"/>
  <c r="J361" i="2" s="1"/>
  <c r="I220" i="16"/>
  <c r="I365" i="10"/>
  <c r="J365" i="10" s="1"/>
  <c r="I149" i="11"/>
  <c r="I111" i="2"/>
  <c r="J111" i="2" s="1"/>
  <c r="I102" i="10"/>
  <c r="J102" i="10" s="1"/>
  <c r="I44" i="2"/>
  <c r="I210" i="16"/>
  <c r="J210" i="16" s="1"/>
  <c r="I362" i="11"/>
  <c r="J362" i="11" s="1"/>
  <c r="I317" i="10"/>
  <c r="J317" i="10" s="1"/>
  <c r="I118" i="16"/>
  <c r="J118" i="16" s="1"/>
  <c r="I92" i="11"/>
  <c r="J92" i="11" s="1"/>
  <c r="I422" i="11"/>
  <c r="J422" i="11" s="1"/>
  <c r="I98" i="19"/>
  <c r="J98" i="19" s="1"/>
  <c r="I347" i="19"/>
  <c r="J347" i="19" s="1"/>
  <c r="I344" i="19"/>
  <c r="J344" i="19" s="1"/>
  <c r="I147" i="15"/>
  <c r="J147" i="15" s="1"/>
  <c r="I133" i="2"/>
  <c r="J133" i="2" s="1"/>
  <c r="I99" i="13"/>
  <c r="J99" i="13" s="1"/>
  <c r="I187" i="15"/>
  <c r="I381" i="11"/>
  <c r="J381" i="11" s="1"/>
  <c r="B625" i="34"/>
  <c r="I111" i="11"/>
  <c r="J111" i="11" s="1"/>
  <c r="I102" i="16"/>
  <c r="J102" i="16" s="1"/>
  <c r="I59" i="19"/>
  <c r="I118" i="10"/>
  <c r="J118" i="10" s="1"/>
  <c r="I94" i="19"/>
  <c r="J94" i="19" s="1"/>
  <c r="I96" i="16"/>
  <c r="J96" i="16" s="1"/>
  <c r="I18" i="18"/>
  <c r="J18" i="18" s="1"/>
  <c r="I211" i="16"/>
  <c r="J211" i="16" s="1"/>
  <c r="B346" i="34"/>
  <c r="I406" i="13"/>
  <c r="J406" i="13" s="1"/>
  <c r="I406" i="11"/>
  <c r="J406" i="11" s="1"/>
  <c r="B264" i="34"/>
  <c r="I27" i="18"/>
  <c r="J27" i="18" s="1"/>
  <c r="B527" i="34"/>
  <c r="I36" i="21"/>
  <c r="J36" i="21" s="1"/>
  <c r="I252" i="10"/>
  <c r="B130" i="34"/>
  <c r="I252" i="16"/>
  <c r="I252" i="15"/>
  <c r="J252" i="15" s="1"/>
  <c r="I252" i="13"/>
  <c r="I252" i="11"/>
  <c r="I252" i="2"/>
  <c r="J252" i="2" s="1"/>
  <c r="B185" i="34"/>
  <c r="I307" i="11"/>
  <c r="J307" i="11" s="1"/>
  <c r="I307" i="13"/>
  <c r="J307" i="13" s="1"/>
  <c r="B685" i="34"/>
  <c r="I206" i="21"/>
  <c r="J206" i="21" s="1"/>
  <c r="B630" i="34"/>
  <c r="I146" i="21"/>
  <c r="J146" i="21" s="1"/>
  <c r="I348" i="16"/>
  <c r="J348" i="16" s="1"/>
  <c r="I350" i="19"/>
  <c r="J350" i="19" s="1"/>
  <c r="I367" i="11"/>
  <c r="J367" i="11" s="1"/>
  <c r="I367" i="13"/>
  <c r="J367" i="13" s="1"/>
  <c r="I348" i="2"/>
  <c r="J348" i="2" s="1"/>
  <c r="B246" i="34"/>
  <c r="I348" i="10"/>
  <c r="J348" i="10" s="1"/>
  <c r="I348" i="15"/>
  <c r="J348" i="15" s="1"/>
  <c r="I64" i="21"/>
  <c r="J64" i="21" s="1"/>
  <c r="B553" i="34"/>
  <c r="I191" i="15"/>
  <c r="I191" i="16"/>
  <c r="I191" i="13"/>
  <c r="I193" i="19"/>
  <c r="I191" i="10"/>
  <c r="I191" i="11"/>
  <c r="I191" i="2"/>
  <c r="B255" i="34"/>
  <c r="I357" i="10"/>
  <c r="J357" i="10" s="1"/>
  <c r="I357" i="15"/>
  <c r="J357" i="15" s="1"/>
  <c r="I357" i="19"/>
  <c r="J357" i="19" s="1"/>
  <c r="I377" i="11"/>
  <c r="J377" i="11" s="1"/>
  <c r="I377" i="13"/>
  <c r="J377" i="13" s="1"/>
  <c r="I357" i="2"/>
  <c r="J357" i="2" s="1"/>
  <c r="B449" i="34"/>
  <c r="I80" i="13"/>
  <c r="I80" i="11"/>
  <c r="I80" i="16"/>
  <c r="I80" i="2"/>
  <c r="I80" i="15"/>
  <c r="I80" i="10"/>
  <c r="I82" i="19"/>
  <c r="B328" i="34"/>
  <c r="I388" i="13"/>
  <c r="J388" i="13" s="1"/>
  <c r="I388" i="11"/>
  <c r="J388" i="11" s="1"/>
  <c r="B463" i="34"/>
  <c r="I97" i="19"/>
  <c r="J97" i="19" s="1"/>
  <c r="I95" i="11"/>
  <c r="J95" i="11" s="1"/>
  <c r="I95" i="10"/>
  <c r="J95" i="10" s="1"/>
  <c r="I95" i="13"/>
  <c r="J95" i="13" s="1"/>
  <c r="I95" i="2"/>
  <c r="J95" i="2" s="1"/>
  <c r="I95" i="15"/>
  <c r="J95" i="15" s="1"/>
  <c r="B446" i="34"/>
  <c r="I77" i="13"/>
  <c r="J77" i="13" s="1"/>
  <c r="I77" i="2"/>
  <c r="J77" i="2" s="1"/>
  <c r="I77" i="10"/>
  <c r="J77" i="10" s="1"/>
  <c r="I77" i="16"/>
  <c r="J77" i="16" s="1"/>
  <c r="I77" i="15"/>
  <c r="J77" i="15" s="1"/>
  <c r="B645" i="34"/>
  <c r="I165" i="21"/>
  <c r="J165" i="21" s="1"/>
  <c r="B182" i="34"/>
  <c r="I304" i="11"/>
  <c r="I304" i="13"/>
  <c r="B77" i="34"/>
  <c r="I195" i="10"/>
  <c r="J195" i="10" s="1"/>
  <c r="I195" i="11"/>
  <c r="J195" i="11" s="1"/>
  <c r="I195" i="2"/>
  <c r="J195" i="2" s="1"/>
  <c r="I195" i="13"/>
  <c r="J195" i="13" s="1"/>
  <c r="I195" i="16"/>
  <c r="J195" i="16" s="1"/>
  <c r="I197" i="19"/>
  <c r="J197" i="19" s="1"/>
  <c r="B418" i="34"/>
  <c r="I46" i="10"/>
  <c r="I46" i="13"/>
  <c r="I46" i="11"/>
  <c r="I48" i="19"/>
  <c r="I46" i="2"/>
  <c r="I46" i="16"/>
  <c r="B544" i="34"/>
  <c r="I53" i="21"/>
  <c r="J53" i="21" s="1"/>
  <c r="I330" i="16"/>
  <c r="I330" i="15"/>
  <c r="B228" i="34"/>
  <c r="I330" i="10"/>
  <c r="I349" i="13"/>
  <c r="I349" i="11"/>
  <c r="I330" i="2"/>
  <c r="I238" i="10"/>
  <c r="I238" i="15"/>
  <c r="I238" i="16"/>
  <c r="I240" i="19"/>
  <c r="I238" i="13"/>
  <c r="I238" i="11"/>
  <c r="B118" i="34"/>
  <c r="I238" i="2"/>
  <c r="B520" i="34"/>
  <c r="I29" i="21"/>
  <c r="J29" i="21" s="1"/>
  <c r="B437" i="34"/>
  <c r="I67" i="15"/>
  <c r="J67" i="15" s="1"/>
  <c r="I67" i="13"/>
  <c r="J67" i="13" s="1"/>
  <c r="I67" i="16"/>
  <c r="J67" i="16" s="1"/>
  <c r="I67" i="2"/>
  <c r="J67" i="2" s="1"/>
  <c r="I67" i="11"/>
  <c r="J67" i="11" s="1"/>
  <c r="B332" i="34"/>
  <c r="I392" i="11"/>
  <c r="J392" i="11" s="1"/>
  <c r="I392" i="13"/>
  <c r="J392" i="13" s="1"/>
  <c r="B671" i="34"/>
  <c r="I192" i="21"/>
  <c r="J192" i="21" s="1"/>
  <c r="B417" i="34"/>
  <c r="I45" i="15"/>
  <c r="J45" i="15" s="1"/>
  <c r="I45" i="16"/>
  <c r="J45" i="16" s="1"/>
  <c r="I45" i="10"/>
  <c r="J45" i="10" s="1"/>
  <c r="I45" i="13"/>
  <c r="J45" i="13" s="1"/>
  <c r="I45" i="11"/>
  <c r="J45" i="11" s="1"/>
  <c r="I45" i="2"/>
  <c r="J45" i="2" s="1"/>
  <c r="B430" i="34"/>
  <c r="I58" i="15"/>
  <c r="I58" i="2"/>
  <c r="I58" i="16"/>
  <c r="J58" i="16" s="1"/>
  <c r="I58" i="10"/>
  <c r="J58" i="10" s="1"/>
  <c r="I58" i="13"/>
  <c r="I60" i="19"/>
  <c r="J60" i="19" s="1"/>
  <c r="I58" i="11"/>
  <c r="I277" i="2"/>
  <c r="J277" i="2" s="1"/>
  <c r="I77" i="11"/>
  <c r="J77" i="11" s="1"/>
  <c r="I208" i="21"/>
  <c r="J208" i="21" s="1"/>
  <c r="B687" i="34"/>
  <c r="I297" i="10"/>
  <c r="I316" i="11"/>
  <c r="B194" i="34"/>
  <c r="I297" i="16"/>
  <c r="I300" i="19"/>
  <c r="I297" i="15"/>
  <c r="J297" i="15" s="1"/>
  <c r="I297" i="2"/>
  <c r="I292" i="16"/>
  <c r="I312" i="11"/>
  <c r="I294" i="19"/>
  <c r="I312" i="13"/>
  <c r="I292" i="10"/>
  <c r="I292" i="2"/>
  <c r="I331" i="16"/>
  <c r="I333" i="19"/>
  <c r="I350" i="11"/>
  <c r="I350" i="13"/>
  <c r="I331" i="2"/>
  <c r="B229" i="34"/>
  <c r="B409" i="34"/>
  <c r="I37" i="2"/>
  <c r="I37" i="15"/>
  <c r="I37" i="16"/>
  <c r="I37" i="10"/>
  <c r="I37" i="13"/>
  <c r="I37" i="11"/>
  <c r="B421" i="34"/>
  <c r="I51" i="19"/>
  <c r="I49" i="15"/>
  <c r="I49" i="10"/>
  <c r="I49" i="13"/>
  <c r="I49" i="16"/>
  <c r="B640" i="34"/>
  <c r="I160" i="21"/>
  <c r="J160" i="21" s="1"/>
  <c r="B431" i="34"/>
  <c r="I61" i="2"/>
  <c r="J61" i="2" s="1"/>
  <c r="I61" i="11"/>
  <c r="J61" i="11" s="1"/>
  <c r="I61" i="13"/>
  <c r="J61" i="13" s="1"/>
  <c r="I61" i="15"/>
  <c r="J61" i="15" s="1"/>
  <c r="I63" i="19"/>
  <c r="J63" i="19" s="1"/>
  <c r="I61" i="16"/>
  <c r="J61" i="16" s="1"/>
  <c r="I61" i="10"/>
  <c r="J61" i="10" s="1"/>
  <c r="B226" i="34"/>
  <c r="I328" i="15"/>
  <c r="I328" i="16"/>
  <c r="I328" i="10"/>
  <c r="I347" i="13"/>
  <c r="J347" i="13" s="1"/>
  <c r="I347" i="11"/>
  <c r="I328" i="2"/>
  <c r="I330" i="19"/>
  <c r="I254" i="19"/>
  <c r="B190" i="34"/>
  <c r="I79" i="19"/>
  <c r="J79" i="19" s="1"/>
  <c r="I186" i="21"/>
  <c r="J186" i="21" s="1"/>
  <c r="I124" i="13"/>
  <c r="J124" i="13" s="1"/>
  <c r="I331" i="10"/>
  <c r="B394" i="34"/>
  <c r="I24" i="2"/>
  <c r="I24" i="11"/>
  <c r="I24" i="15"/>
  <c r="I24" i="19"/>
  <c r="I24" i="13"/>
  <c r="B391" i="34"/>
  <c r="I21" i="13"/>
  <c r="I21" i="16"/>
  <c r="I21" i="2"/>
  <c r="I21" i="15"/>
  <c r="I21" i="19"/>
  <c r="I21" i="10"/>
  <c r="I21" i="11"/>
  <c r="I356" i="13"/>
  <c r="J356" i="13" s="1"/>
  <c r="I339" i="19"/>
  <c r="J339" i="19" s="1"/>
  <c r="I356" i="11"/>
  <c r="J356" i="11" s="1"/>
  <c r="I337" i="2"/>
  <c r="J337" i="2" s="1"/>
  <c r="B235" i="34"/>
  <c r="I337" i="16"/>
  <c r="J337" i="16" s="1"/>
  <c r="I337" i="10"/>
  <c r="J337" i="10" s="1"/>
  <c r="I296" i="13"/>
  <c r="B174" i="34"/>
  <c r="B489" i="34"/>
  <c r="I123" i="15"/>
  <c r="J123" i="15" s="1"/>
  <c r="I123" i="16"/>
  <c r="J123" i="16" s="1"/>
  <c r="I123" i="10"/>
  <c r="J123" i="10" s="1"/>
  <c r="I123" i="13"/>
  <c r="J123" i="13" s="1"/>
  <c r="I125" i="19"/>
  <c r="J125" i="19" s="1"/>
  <c r="I123" i="11"/>
  <c r="J123" i="11" s="1"/>
  <c r="I123" i="2"/>
  <c r="J123" i="2" s="1"/>
  <c r="B558" i="34"/>
  <c r="I69" i="21"/>
  <c r="I284" i="15"/>
  <c r="J284" i="15" s="1"/>
  <c r="I284" i="16"/>
  <c r="I284" i="10"/>
  <c r="I286" i="19"/>
  <c r="I284" i="13"/>
  <c r="J284" i="13" s="1"/>
  <c r="I284" i="11"/>
  <c r="I284" i="2"/>
  <c r="J284" i="2" s="1"/>
  <c r="B162" i="34"/>
  <c r="B546" i="34"/>
  <c r="I57" i="21"/>
  <c r="B487" i="34"/>
  <c r="I123" i="19"/>
  <c r="J123" i="19" s="1"/>
  <c r="I121" i="11"/>
  <c r="J121" i="11" s="1"/>
  <c r="I121" i="13"/>
  <c r="J121" i="13" s="1"/>
  <c r="I121" i="10"/>
  <c r="J121" i="10" s="1"/>
  <c r="I121" i="16"/>
  <c r="J121" i="16" s="1"/>
  <c r="I121" i="2"/>
  <c r="J121" i="2" s="1"/>
  <c r="I121" i="15"/>
  <c r="J121" i="15" s="1"/>
  <c r="B448" i="34"/>
  <c r="I79" i="2"/>
  <c r="I79" i="15"/>
  <c r="J79" i="15" s="1"/>
  <c r="I79" i="16"/>
  <c r="J79" i="16" s="1"/>
  <c r="I81" i="19"/>
  <c r="J81" i="19" s="1"/>
  <c r="I79" i="13"/>
  <c r="J79" i="13" s="1"/>
  <c r="I79" i="11"/>
  <c r="J79" i="11" s="1"/>
  <c r="I79" i="10"/>
  <c r="J79" i="10" s="1"/>
  <c r="B667" i="34"/>
  <c r="I28" i="15"/>
  <c r="I357" i="16"/>
  <c r="J357" i="16" s="1"/>
  <c r="I291" i="15"/>
  <c r="J291" i="15" s="1"/>
  <c r="B504" i="34"/>
  <c r="I13" i="21"/>
  <c r="J13" i="21" s="1"/>
  <c r="B605" i="34"/>
  <c r="I118" i="21"/>
  <c r="J118" i="21" s="1"/>
  <c r="I204" i="21"/>
  <c r="J204" i="21" s="1"/>
  <c r="B683" i="34"/>
  <c r="B648" i="34"/>
  <c r="I168" i="21"/>
  <c r="J168" i="21" s="1"/>
  <c r="B458" i="34"/>
  <c r="I90" i="16"/>
  <c r="J90" i="16" s="1"/>
  <c r="I90" i="15"/>
  <c r="J90" i="15" s="1"/>
  <c r="I90" i="13"/>
  <c r="J90" i="13" s="1"/>
  <c r="I92" i="19"/>
  <c r="J92" i="19" s="1"/>
  <c r="I90" i="10"/>
  <c r="J90" i="10" s="1"/>
  <c r="I90" i="2"/>
  <c r="J90" i="2" s="1"/>
  <c r="I90" i="11"/>
  <c r="J90" i="11" s="1"/>
  <c r="B642" i="34"/>
  <c r="I162" i="21"/>
  <c r="J162" i="21" s="1"/>
  <c r="B420" i="34"/>
  <c r="I48" i="16"/>
  <c r="I48" i="15"/>
  <c r="I48" i="11"/>
  <c r="I48" i="10"/>
  <c r="I48" i="13"/>
  <c r="I48" i="2"/>
  <c r="I50" i="19"/>
  <c r="B499" i="34"/>
  <c r="I134" i="16"/>
  <c r="J134" i="16" s="1"/>
  <c r="I134" i="11"/>
  <c r="J134" i="11" s="1"/>
  <c r="I19" i="18"/>
  <c r="J19" i="18" s="1"/>
  <c r="I134" i="2"/>
  <c r="J134" i="2" s="1"/>
  <c r="I136" i="19"/>
  <c r="J136" i="19" s="1"/>
  <c r="I134" i="10"/>
  <c r="J134" i="10" s="1"/>
  <c r="B254" i="34"/>
  <c r="I376" i="13"/>
  <c r="J376" i="13" s="1"/>
  <c r="I356" i="2"/>
  <c r="J356" i="2" s="1"/>
  <c r="I356" i="10"/>
  <c r="J356" i="10" s="1"/>
  <c r="I356" i="16"/>
  <c r="J356" i="16" s="1"/>
  <c r="I376" i="11"/>
  <c r="J376" i="11" s="1"/>
  <c r="I281" i="10"/>
  <c r="I281" i="15"/>
  <c r="J281" i="15" s="1"/>
  <c r="B159" i="34"/>
  <c r="I283" i="19"/>
  <c r="I281" i="2"/>
  <c r="I281" i="11"/>
  <c r="I281" i="13"/>
  <c r="J281" i="13" s="1"/>
  <c r="I256" i="15"/>
  <c r="J256" i="15" s="1"/>
  <c r="B134" i="34"/>
  <c r="I256" i="16"/>
  <c r="I258" i="19"/>
  <c r="I256" i="11"/>
  <c r="I256" i="13"/>
  <c r="B510" i="34"/>
  <c r="I19" i="21"/>
  <c r="J19" i="21" s="1"/>
  <c r="B474" i="34"/>
  <c r="I108" i="10"/>
  <c r="J108" i="10" s="1"/>
  <c r="I108" i="13"/>
  <c r="J108" i="13" s="1"/>
  <c r="I110" i="19"/>
  <c r="J110" i="19" s="1"/>
  <c r="I108" i="11"/>
  <c r="J108" i="11" s="1"/>
  <c r="I108" i="15"/>
  <c r="J108" i="15" s="1"/>
  <c r="I108" i="2"/>
  <c r="J108" i="2" s="1"/>
  <c r="I108" i="16"/>
  <c r="J108" i="16" s="1"/>
  <c r="I327" i="15"/>
  <c r="I327" i="16"/>
  <c r="I327" i="10"/>
  <c r="I346" i="13"/>
  <c r="J346" i="13" s="1"/>
  <c r="I329" i="19"/>
  <c r="I346" i="11"/>
  <c r="I327" i="2"/>
  <c r="I191" i="21"/>
  <c r="J191" i="21" s="1"/>
  <c r="B670" i="34"/>
  <c r="B156" i="34"/>
  <c r="I278" i="16"/>
  <c r="I278" i="10"/>
  <c r="I278" i="11"/>
  <c r="I278" i="15"/>
  <c r="J278" i="15" s="1"/>
  <c r="I278" i="13"/>
  <c r="I280" i="19"/>
  <c r="B521" i="34"/>
  <c r="I30" i="21"/>
  <c r="J30" i="21" s="1"/>
  <c r="B388" i="34"/>
  <c r="I18" i="19"/>
  <c r="I18" i="13"/>
  <c r="I18" i="15"/>
  <c r="I18" i="10"/>
  <c r="I18" i="16"/>
  <c r="B288" i="34"/>
  <c r="I51" i="18"/>
  <c r="J51" i="18" s="1"/>
  <c r="I67" i="10"/>
  <c r="J67" i="10" s="1"/>
  <c r="I316" i="13"/>
  <c r="I168" i="2"/>
  <c r="I168" i="15"/>
  <c r="I168" i="16"/>
  <c r="I168" i="10"/>
  <c r="I170" i="19"/>
  <c r="B627" i="34"/>
  <c r="I143" i="21"/>
  <c r="J143" i="21" s="1"/>
  <c r="I253" i="10"/>
  <c r="I255" i="19"/>
  <c r="I253" i="13"/>
  <c r="I253" i="16"/>
  <c r="B131" i="34"/>
  <c r="I253" i="15"/>
  <c r="J253" i="15" s="1"/>
  <c r="I428" i="11"/>
  <c r="J428" i="11" s="1"/>
  <c r="B368" i="34"/>
  <c r="I428" i="13"/>
  <c r="J428" i="13" s="1"/>
  <c r="B641" i="34"/>
  <c r="I161" i="21"/>
  <c r="J161" i="21" s="1"/>
  <c r="B398" i="34"/>
  <c r="I28" i="10"/>
  <c r="I28" i="11"/>
  <c r="I28" i="19"/>
  <c r="I28" i="13"/>
  <c r="B414" i="34"/>
  <c r="I42" i="13"/>
  <c r="I42" i="10"/>
  <c r="I42" i="11"/>
  <c r="I44" i="19"/>
  <c r="I42" i="2"/>
  <c r="I42" i="16"/>
  <c r="B353" i="34"/>
  <c r="I413" i="13"/>
  <c r="J413" i="13" s="1"/>
  <c r="I413" i="11"/>
  <c r="J413" i="11" s="1"/>
  <c r="I42" i="15"/>
  <c r="I95" i="16"/>
  <c r="J95" i="16" s="1"/>
  <c r="I382" i="15"/>
  <c r="J382" i="15" s="1"/>
  <c r="I453" i="13"/>
  <c r="J453" i="13" s="1"/>
  <c r="B323" i="34"/>
  <c r="I371" i="16"/>
  <c r="J371" i="16" s="1"/>
  <c r="I373" i="19"/>
  <c r="J373" i="19" s="1"/>
  <c r="I371" i="10"/>
  <c r="J371" i="10" s="1"/>
  <c r="I240" i="21"/>
  <c r="J240" i="21" s="1"/>
  <c r="I381" i="2"/>
  <c r="J381" i="2" s="1"/>
  <c r="B453" i="34"/>
  <c r="I84" i="10"/>
  <c r="I84" i="16"/>
  <c r="I84" i="15"/>
  <c r="I84" i="13"/>
  <c r="I84" i="11"/>
  <c r="I84" i="2"/>
  <c r="B496" i="34"/>
  <c r="I131" i="15"/>
  <c r="J131" i="15" s="1"/>
  <c r="I131" i="16"/>
  <c r="J131" i="16" s="1"/>
  <c r="I16" i="18"/>
  <c r="J16" i="18" s="1"/>
  <c r="I131" i="2"/>
  <c r="J131" i="2" s="1"/>
  <c r="I133" i="19"/>
  <c r="J133" i="19" s="1"/>
  <c r="I131" i="13"/>
  <c r="J131" i="13" s="1"/>
  <c r="I131" i="11"/>
  <c r="J131" i="11" s="1"/>
  <c r="I408" i="11"/>
  <c r="J408" i="11" s="1"/>
  <c r="B348" i="34"/>
  <c r="I408" i="13"/>
  <c r="J408" i="13" s="1"/>
  <c r="B100" i="34"/>
  <c r="I218" i="16"/>
  <c r="J218" i="16" s="1"/>
  <c r="I218" i="11"/>
  <c r="J218" i="11" s="1"/>
  <c r="I218" i="2"/>
  <c r="I220" i="19"/>
  <c r="J220" i="19" s="1"/>
  <c r="I218" i="15"/>
  <c r="J218" i="15" s="1"/>
  <c r="I218" i="10"/>
  <c r="J218" i="10" s="1"/>
  <c r="I253" i="19"/>
  <c r="I251" i="11"/>
  <c r="I251" i="10"/>
  <c r="I251" i="2"/>
  <c r="I251" i="15"/>
  <c r="J251" i="15" s="1"/>
  <c r="B129" i="34"/>
  <c r="B407" i="34"/>
  <c r="I35" i="16"/>
  <c r="J35" i="16" s="1"/>
  <c r="I35" i="10"/>
  <c r="J35" i="10" s="1"/>
  <c r="I35" i="11"/>
  <c r="J35" i="11" s="1"/>
  <c r="I35" i="2"/>
  <c r="J35" i="2" s="1"/>
  <c r="I35" i="15"/>
  <c r="J35" i="15" s="1"/>
  <c r="I230" i="19"/>
  <c r="B109" i="34"/>
  <c r="I228" i="15"/>
  <c r="I228" i="16"/>
  <c r="I228" i="2"/>
  <c r="I228" i="13"/>
  <c r="I228" i="11"/>
  <c r="I228" i="10"/>
  <c r="I277" i="15"/>
  <c r="J277" i="15" s="1"/>
  <c r="B155" i="34"/>
  <c r="I277" i="10"/>
  <c r="I279" i="19"/>
  <c r="I277" i="11"/>
  <c r="I277" i="13"/>
  <c r="B490" i="34"/>
  <c r="I124" i="10"/>
  <c r="J124" i="10" s="1"/>
  <c r="I126" i="19"/>
  <c r="J126" i="19" s="1"/>
  <c r="I124" i="11"/>
  <c r="J124" i="11" s="1"/>
  <c r="I124" i="2"/>
  <c r="J124" i="2" s="1"/>
  <c r="I124" i="16"/>
  <c r="J124" i="16" s="1"/>
  <c r="B540" i="34"/>
  <c r="I49" i="21"/>
  <c r="J49" i="21" s="1"/>
  <c r="I344" i="15"/>
  <c r="J344" i="15" s="1"/>
  <c r="I363" i="13"/>
  <c r="J363" i="13" s="1"/>
  <c r="I344" i="16"/>
  <c r="J344" i="16" s="1"/>
  <c r="I344" i="10"/>
  <c r="J344" i="10" s="1"/>
  <c r="I346" i="19"/>
  <c r="J346" i="19" s="1"/>
  <c r="I363" i="11"/>
  <c r="J363" i="11" s="1"/>
  <c r="I344" i="2"/>
  <c r="J344" i="2" s="1"/>
  <c r="I263" i="15"/>
  <c r="J263" i="15" s="1"/>
  <c r="I263" i="16"/>
  <c r="I265" i="19"/>
  <c r="I263" i="13"/>
  <c r="I263" i="10"/>
  <c r="I263" i="11"/>
  <c r="I263" i="2"/>
  <c r="B141" i="34"/>
  <c r="I305" i="16"/>
  <c r="I307" i="19"/>
  <c r="I324" i="11"/>
  <c r="J324" i="11" s="1"/>
  <c r="B201" i="34"/>
  <c r="I324" i="13"/>
  <c r="J324" i="13" s="1"/>
  <c r="I305" i="10"/>
  <c r="I305" i="15"/>
  <c r="B189" i="34"/>
  <c r="I311" i="11"/>
  <c r="I293" i="19"/>
  <c r="I291" i="2"/>
  <c r="I291" i="16"/>
  <c r="I291" i="10"/>
  <c r="B139" i="34"/>
  <c r="I261" i="15"/>
  <c r="J261" i="15" s="1"/>
  <c r="I263" i="19"/>
  <c r="I261" i="2"/>
  <c r="I261" i="13"/>
  <c r="I261" i="10"/>
  <c r="I261" i="16"/>
  <c r="B341" i="34"/>
  <c r="I401" i="13"/>
  <c r="J401" i="13" s="1"/>
  <c r="I450" i="11"/>
  <c r="J450" i="11" s="1"/>
  <c r="B320" i="34"/>
  <c r="I368" i="16"/>
  <c r="J368" i="16" s="1"/>
  <c r="I379" i="15"/>
  <c r="J379" i="15" s="1"/>
  <c r="I450" i="13"/>
  <c r="J450" i="13" s="1"/>
  <c r="I368" i="10"/>
  <c r="J368" i="10" s="1"/>
  <c r="I370" i="19"/>
  <c r="J370" i="19" s="1"/>
  <c r="I77" i="18"/>
  <c r="J77" i="18" s="1"/>
  <c r="I237" i="21"/>
  <c r="J237" i="21" s="1"/>
  <c r="B186" i="34"/>
  <c r="I308" i="11"/>
  <c r="J308" i="11" s="1"/>
  <c r="I308" i="13"/>
  <c r="J308" i="13" s="1"/>
  <c r="I265" i="10"/>
  <c r="I265" i="16"/>
  <c r="I265" i="11"/>
  <c r="I265" i="15"/>
  <c r="J265" i="15" s="1"/>
  <c r="I267" i="19"/>
  <c r="I265" i="13"/>
  <c r="I265" i="2"/>
  <c r="I378" i="13"/>
  <c r="J378" i="13" s="1"/>
  <c r="I378" i="11"/>
  <c r="J378" i="11" s="1"/>
  <c r="I358" i="2"/>
  <c r="J358" i="2" s="1"/>
  <c r="B256" i="34"/>
  <c r="I358" i="15"/>
  <c r="J358" i="15" s="1"/>
  <c r="I358" i="10"/>
  <c r="J358" i="10" s="1"/>
  <c r="B67" i="34"/>
  <c r="I185" i="16"/>
  <c r="I185" i="15"/>
  <c r="I185" i="10"/>
  <c r="I187" i="19"/>
  <c r="I185" i="13"/>
  <c r="I185" i="2"/>
  <c r="I185" i="11"/>
  <c r="I229" i="13"/>
  <c r="I229" i="16"/>
  <c r="I231" i="19"/>
  <c r="I229" i="11"/>
  <c r="I229" i="15"/>
  <c r="B110" i="34"/>
  <c r="I229" i="10"/>
  <c r="B501" i="34"/>
  <c r="I136" i="16"/>
  <c r="J136" i="16" s="1"/>
  <c r="I136" i="10"/>
  <c r="J136" i="10" s="1"/>
  <c r="I138" i="19"/>
  <c r="J138" i="19" s="1"/>
  <c r="I136" i="15"/>
  <c r="J136" i="15" s="1"/>
  <c r="I136" i="2"/>
  <c r="J136" i="2" s="1"/>
  <c r="I136" i="13"/>
  <c r="J136" i="13" s="1"/>
  <c r="I21" i="18"/>
  <c r="J21" i="18" s="1"/>
  <c r="I136" i="11"/>
  <c r="J136" i="11" s="1"/>
  <c r="I28" i="16"/>
  <c r="B461" i="34"/>
  <c r="I93" i="15"/>
  <c r="J93" i="15" s="1"/>
  <c r="I93" i="11"/>
  <c r="J93" i="11" s="1"/>
  <c r="I93" i="13"/>
  <c r="J93" i="13" s="1"/>
  <c r="I93" i="2"/>
  <c r="J93" i="2" s="1"/>
  <c r="I93" i="10"/>
  <c r="J93" i="10" s="1"/>
  <c r="I278" i="2"/>
  <c r="I46" i="15"/>
  <c r="I195" i="15"/>
  <c r="J195" i="15" s="1"/>
  <c r="B324" i="34"/>
  <c r="I384" i="11"/>
  <c r="J384" i="11" s="1"/>
  <c r="I364" i="15"/>
  <c r="J364" i="15" s="1"/>
  <c r="I384" i="13"/>
  <c r="J384" i="13" s="1"/>
  <c r="B303" i="34"/>
  <c r="I66" i="18"/>
  <c r="J66" i="18" s="1"/>
  <c r="B491" i="34"/>
  <c r="I125" i="16"/>
  <c r="J125" i="16" s="1"/>
  <c r="I125" i="15"/>
  <c r="J125" i="15" s="1"/>
  <c r="I127" i="19"/>
  <c r="J127" i="19" s="1"/>
  <c r="I125" i="13"/>
  <c r="J125" i="13" s="1"/>
  <c r="I125" i="11"/>
  <c r="J125" i="11" s="1"/>
  <c r="I125" i="10"/>
  <c r="J125" i="10" s="1"/>
  <c r="I125" i="2"/>
  <c r="J125" i="2" s="1"/>
  <c r="B354" i="34"/>
  <c r="I414" i="13"/>
  <c r="J414" i="13" s="1"/>
  <c r="I414" i="11"/>
  <c r="J414" i="11" s="1"/>
  <c r="I443" i="11"/>
  <c r="J443" i="11" s="1"/>
  <c r="I72" i="18"/>
  <c r="J72" i="18" s="1"/>
  <c r="I371" i="2"/>
  <c r="J371" i="2" s="1"/>
  <c r="B315" i="34"/>
  <c r="I315" i="13"/>
  <c r="I299" i="19"/>
  <c r="B193" i="34"/>
  <c r="I238" i="21"/>
  <c r="J238" i="21" s="1"/>
  <c r="I379" i="2"/>
  <c r="J379" i="2" s="1"/>
  <c r="I78" i="18"/>
  <c r="J78" i="18" s="1"/>
  <c r="I369" i="10"/>
  <c r="J369" i="10" s="1"/>
  <c r="I380" i="15"/>
  <c r="J380" i="15" s="1"/>
  <c r="I369" i="16"/>
  <c r="J369" i="16" s="1"/>
  <c r="I451" i="11"/>
  <c r="J451" i="11" s="1"/>
  <c r="I451" i="13"/>
  <c r="J451" i="13" s="1"/>
  <c r="B321" i="34"/>
  <c r="I243" i="16"/>
  <c r="J243" i="16" s="1"/>
  <c r="I243" i="10"/>
  <c r="J243" i="10" s="1"/>
  <c r="I243" i="15"/>
  <c r="J243" i="15" s="1"/>
  <c r="I243" i="13"/>
  <c r="J243" i="13" s="1"/>
  <c r="I245" i="19"/>
  <c r="J245" i="19" s="1"/>
  <c r="I243" i="11"/>
  <c r="J243" i="11" s="1"/>
  <c r="I243" i="2"/>
  <c r="J243" i="2" s="1"/>
  <c r="B419" i="34"/>
  <c r="I47" i="16"/>
  <c r="I47" i="15"/>
  <c r="I47" i="13"/>
  <c r="I47" i="10"/>
  <c r="I47" i="11"/>
  <c r="I47" i="2"/>
  <c r="I40" i="21"/>
  <c r="J40" i="21" s="1"/>
  <c r="B531" i="34"/>
  <c r="B177" i="34"/>
  <c r="I299" i="11"/>
  <c r="I299" i="13"/>
  <c r="I202" i="21"/>
  <c r="J202" i="21" s="1"/>
  <c r="B681" i="34"/>
  <c r="B225" i="34"/>
  <c r="I253" i="2"/>
  <c r="J253" i="2" s="1"/>
  <c r="I47" i="19"/>
  <c r="J47" i="19" s="1"/>
  <c r="B475" i="34"/>
  <c r="I109" i="16"/>
  <c r="J109" i="16" s="1"/>
  <c r="I109" i="15"/>
  <c r="J109" i="15" s="1"/>
  <c r="I111" i="19"/>
  <c r="J111" i="19" s="1"/>
  <c r="I109" i="13"/>
  <c r="J109" i="13" s="1"/>
  <c r="I109" i="11"/>
  <c r="J109" i="11" s="1"/>
  <c r="I109" i="10"/>
  <c r="J109" i="10" s="1"/>
  <c r="I109" i="2"/>
  <c r="J109" i="2" s="1"/>
  <c r="B286" i="34"/>
  <c r="I49" i="18"/>
  <c r="J49" i="18" s="1"/>
  <c r="B172" i="34"/>
  <c r="I294" i="13"/>
  <c r="I145" i="16"/>
  <c r="I147" i="19"/>
  <c r="I145" i="13"/>
  <c r="I145" i="15"/>
  <c r="J145" i="15" s="1"/>
  <c r="I145" i="11"/>
  <c r="I145" i="10"/>
  <c r="B28" i="34"/>
  <c r="I145" i="2"/>
  <c r="J145" i="2" s="1"/>
  <c r="I175" i="10"/>
  <c r="B58" i="34"/>
  <c r="I175" i="11"/>
  <c r="I175" i="15"/>
  <c r="I175" i="16"/>
  <c r="I177" i="19"/>
  <c r="I175" i="13"/>
  <c r="I177" i="21"/>
  <c r="J177" i="21" s="1"/>
  <c r="B657" i="34"/>
  <c r="B41" i="34"/>
  <c r="I158" i="15"/>
  <c r="I158" i="16"/>
  <c r="I160" i="19"/>
  <c r="I158" i="10"/>
  <c r="I158" i="2"/>
  <c r="I158" i="13"/>
  <c r="I158" i="11"/>
  <c r="I355" i="11"/>
  <c r="J355" i="11" s="1"/>
  <c r="I34" i="21"/>
  <c r="J34" i="21" s="1"/>
  <c r="B678" i="34"/>
  <c r="I199" i="21"/>
  <c r="J199" i="21" s="1"/>
  <c r="B438" i="34"/>
  <c r="I68" i="11"/>
  <c r="J68" i="11" s="1"/>
  <c r="I68" i="15"/>
  <c r="J68" i="15" s="1"/>
  <c r="I68" i="13"/>
  <c r="J68" i="13" s="1"/>
  <c r="I68" i="16"/>
  <c r="J68" i="16" s="1"/>
  <c r="I68" i="2"/>
  <c r="J68" i="2" s="1"/>
  <c r="J305" i="15"/>
  <c r="I427" i="11"/>
  <c r="J427" i="11" s="1"/>
  <c r="I355" i="13"/>
  <c r="J355" i="13" s="1"/>
  <c r="I337" i="13"/>
  <c r="J337" i="13" s="1"/>
  <c r="I300" i="10"/>
  <c r="I168" i="19"/>
  <c r="I128" i="15"/>
  <c r="J128" i="15" s="1"/>
  <c r="I71" i="11"/>
  <c r="I28" i="21"/>
  <c r="J28" i="21" s="1"/>
  <c r="I359" i="2"/>
  <c r="J359" i="2" s="1"/>
  <c r="I135" i="11"/>
  <c r="J135" i="11" s="1"/>
  <c r="I83" i="15"/>
  <c r="I285" i="2"/>
  <c r="J285" i="2" s="1"/>
  <c r="I55" i="15"/>
  <c r="I233" i="11"/>
  <c r="I397" i="11"/>
  <c r="J397" i="11" s="1"/>
  <c r="I211" i="2"/>
  <c r="B390" i="34"/>
  <c r="I20" i="10"/>
  <c r="I20" i="19"/>
  <c r="I20" i="13"/>
  <c r="I20" i="11"/>
  <c r="I20" i="16"/>
  <c r="I20" i="2"/>
  <c r="B459" i="34"/>
  <c r="I91" i="15"/>
  <c r="J91" i="15" s="1"/>
  <c r="I91" i="16"/>
  <c r="J91" i="16" s="1"/>
  <c r="I91" i="2"/>
  <c r="J91" i="2" s="1"/>
  <c r="B559" i="34"/>
  <c r="I70" i="21"/>
  <c r="B467" i="34"/>
  <c r="I100" i="11"/>
  <c r="J100" i="11" s="1"/>
  <c r="I100" i="2"/>
  <c r="J100" i="2" s="1"/>
  <c r="I100" i="16"/>
  <c r="J100" i="16" s="1"/>
  <c r="B376" i="34"/>
  <c r="I436" i="13"/>
  <c r="J436" i="13" s="1"/>
  <c r="B478" i="34"/>
  <c r="I112" i="16"/>
  <c r="J112" i="16" s="1"/>
  <c r="I112" i="15"/>
  <c r="J112" i="15" s="1"/>
  <c r="I114" i="19"/>
  <c r="J114" i="19" s="1"/>
  <c r="I112" i="13"/>
  <c r="J112" i="13" s="1"/>
  <c r="I112" i="2"/>
  <c r="J112" i="2" s="1"/>
  <c r="B422" i="34"/>
  <c r="I50" i="11"/>
  <c r="I52" i="19"/>
  <c r="I50" i="2"/>
  <c r="I50" i="10"/>
  <c r="B221" i="34"/>
  <c r="I342" i="11"/>
  <c r="I342" i="13"/>
  <c r="I323" i="2"/>
  <c r="B471" i="34"/>
  <c r="I104" i="10"/>
  <c r="J104" i="10" s="1"/>
  <c r="I106" i="19"/>
  <c r="J106" i="19" s="1"/>
  <c r="I104" i="16"/>
  <c r="J104" i="16" s="1"/>
  <c r="I104" i="13"/>
  <c r="J104" i="13" s="1"/>
  <c r="I104" i="15"/>
  <c r="J104" i="15" s="1"/>
  <c r="I313" i="19"/>
  <c r="I330" i="11"/>
  <c r="I311" i="2"/>
  <c r="B208" i="34"/>
  <c r="I311" i="16"/>
  <c r="I311" i="15"/>
  <c r="I311" i="10"/>
  <c r="I330" i="13"/>
  <c r="B483" i="34"/>
  <c r="I117" i="10"/>
  <c r="J117" i="10" s="1"/>
  <c r="I117" i="13"/>
  <c r="J117" i="13" s="1"/>
  <c r="B494" i="34"/>
  <c r="I131" i="19"/>
  <c r="J131" i="19" s="1"/>
  <c r="I129" i="13"/>
  <c r="J129" i="13" s="1"/>
  <c r="I14" i="18"/>
  <c r="J14" i="18" s="1"/>
  <c r="I129" i="2"/>
  <c r="J129" i="2" s="1"/>
  <c r="I129" i="15"/>
  <c r="J129" i="15" s="1"/>
  <c r="I290" i="13"/>
  <c r="I290" i="11"/>
  <c r="B537" i="34"/>
  <c r="I46" i="21"/>
  <c r="J46" i="21" s="1"/>
  <c r="I427" i="13"/>
  <c r="J427" i="13" s="1"/>
  <c r="I338" i="19"/>
  <c r="J338" i="19" s="1"/>
  <c r="I320" i="19"/>
  <c r="J320" i="19" s="1"/>
  <c r="I319" i="11"/>
  <c r="I288" i="11"/>
  <c r="I166" i="16"/>
  <c r="I130" i="19"/>
  <c r="J130" i="19" s="1"/>
  <c r="I71" i="13"/>
  <c r="I379" i="11"/>
  <c r="J379" i="11" s="1"/>
  <c r="I135" i="13"/>
  <c r="J135" i="13" s="1"/>
  <c r="I75" i="2"/>
  <c r="I285" i="11"/>
  <c r="I91" i="10"/>
  <c r="J91" i="10" s="1"/>
  <c r="I55" i="16"/>
  <c r="I235" i="19"/>
  <c r="I397" i="13"/>
  <c r="J397" i="13" s="1"/>
  <c r="I323" i="16"/>
  <c r="I300" i="13"/>
  <c r="B168" i="34"/>
  <c r="I211" i="10"/>
  <c r="J211" i="10" s="1"/>
  <c r="I104" i="2"/>
  <c r="J104" i="2" s="1"/>
  <c r="I436" i="11"/>
  <c r="J436" i="11" s="1"/>
  <c r="U5" i="11" s="1"/>
  <c r="B557" i="34"/>
  <c r="I68" i="21"/>
  <c r="J68" i="21" s="1"/>
  <c r="B530" i="34"/>
  <c r="I39" i="21"/>
  <c r="J39" i="21" s="1"/>
  <c r="B442" i="34"/>
  <c r="I73" i="16"/>
  <c r="I73" i="15"/>
  <c r="I73" i="13"/>
  <c r="B371" i="34"/>
  <c r="I431" i="11"/>
  <c r="J431" i="11" s="1"/>
  <c r="I431" i="13"/>
  <c r="J431" i="13" s="1"/>
  <c r="B451" i="34"/>
  <c r="I84" i="19"/>
  <c r="I82" i="13"/>
  <c r="I82" i="11"/>
  <c r="I82" i="2"/>
  <c r="B380" i="34"/>
  <c r="I440" i="13"/>
  <c r="J440" i="13" s="1"/>
  <c r="I440" i="11"/>
  <c r="J440" i="11" s="1"/>
  <c r="B686" i="34"/>
  <c r="I207" i="21"/>
  <c r="J207" i="21" s="1"/>
  <c r="B693" i="34"/>
  <c r="I214" i="21"/>
  <c r="J214" i="21" s="1"/>
  <c r="I336" i="10"/>
  <c r="J336" i="10" s="1"/>
  <c r="I166" i="15"/>
  <c r="I128" i="16"/>
  <c r="J128" i="16" s="1"/>
  <c r="I73" i="19"/>
  <c r="I379" i="13"/>
  <c r="J379" i="13" s="1"/>
  <c r="I137" i="19"/>
  <c r="J137" i="19" s="1"/>
  <c r="I75" i="11"/>
  <c r="I350" i="2"/>
  <c r="J350" i="2" s="1"/>
  <c r="I285" i="13"/>
  <c r="J285" i="13" s="1"/>
  <c r="I117" i="2"/>
  <c r="J117" i="2" s="1"/>
  <c r="I129" i="11"/>
  <c r="J129" i="11" s="1"/>
  <c r="I33" i="21"/>
  <c r="J33" i="21" s="1"/>
  <c r="I323" i="10"/>
  <c r="B646" i="34"/>
  <c r="I300" i="11"/>
  <c r="I104" i="11"/>
  <c r="J104" i="11" s="1"/>
  <c r="B435" i="34"/>
  <c r="I67" i="19"/>
  <c r="J67" i="19" s="1"/>
  <c r="I65" i="10"/>
  <c r="J65" i="10" s="1"/>
  <c r="I65" i="11"/>
  <c r="J65" i="11" s="1"/>
  <c r="I65" i="13"/>
  <c r="J65" i="13" s="1"/>
  <c r="I65" i="16"/>
  <c r="J65" i="16" s="1"/>
  <c r="I65" i="2"/>
  <c r="J65" i="2" s="1"/>
  <c r="B290" i="34"/>
  <c r="I53" i="18"/>
  <c r="J53" i="18" s="1"/>
  <c r="I322" i="15"/>
  <c r="I322" i="16"/>
  <c r="I322" i="10"/>
  <c r="I324" i="19"/>
  <c r="I341" i="13"/>
  <c r="I341" i="11"/>
  <c r="B653" i="34"/>
  <c r="I173" i="21"/>
  <c r="J173" i="21" s="1"/>
  <c r="I119" i="13"/>
  <c r="J119" i="13" s="1"/>
  <c r="I41" i="13"/>
  <c r="I46" i="19"/>
  <c r="I245" i="11"/>
  <c r="I359" i="10"/>
  <c r="J359" i="10" s="1"/>
  <c r="I110" i="11"/>
  <c r="J110" i="11" s="1"/>
  <c r="I75" i="16"/>
  <c r="I37" i="18"/>
  <c r="J37" i="18" s="1"/>
  <c r="I350" i="15"/>
  <c r="J350" i="15" s="1"/>
  <c r="I285" i="15"/>
  <c r="J285" i="15" s="1"/>
  <c r="I117" i="15"/>
  <c r="J117" i="15" s="1"/>
  <c r="I99" i="15"/>
  <c r="J99" i="15" s="1"/>
  <c r="I175" i="21"/>
  <c r="J175" i="21" s="1"/>
  <c r="I439" i="13"/>
  <c r="J439" i="13" s="1"/>
  <c r="I234" i="19"/>
  <c r="I50" i="16"/>
  <c r="I23" i="21"/>
  <c r="J23" i="21" s="1"/>
  <c r="I70" i="19"/>
  <c r="J70" i="19" s="1"/>
  <c r="B329" i="34"/>
  <c r="I389" i="13"/>
  <c r="J389" i="13" s="1"/>
  <c r="I389" i="11"/>
  <c r="J389" i="11" s="1"/>
  <c r="B372" i="34"/>
  <c r="I432" i="13"/>
  <c r="J432" i="13" s="1"/>
  <c r="I432" i="11"/>
  <c r="J432" i="11" s="1"/>
  <c r="I196" i="10"/>
  <c r="I198" i="19"/>
  <c r="I196" i="16"/>
  <c r="I196" i="13"/>
  <c r="I196" i="11"/>
  <c r="I196" i="15"/>
  <c r="B308" i="34"/>
  <c r="I365" i="15"/>
  <c r="J365" i="15" s="1"/>
  <c r="I364" i="2"/>
  <c r="J364" i="2" s="1"/>
  <c r="I202" i="10"/>
  <c r="I202" i="15"/>
  <c r="I204" i="19"/>
  <c r="I202" i="13"/>
  <c r="I202" i="16"/>
  <c r="I202" i="11"/>
  <c r="I245" i="2"/>
  <c r="J245" i="2" s="1"/>
  <c r="I232" i="13"/>
  <c r="B516" i="34"/>
  <c r="I25" i="21"/>
  <c r="J25" i="21" s="1"/>
  <c r="B411" i="34"/>
  <c r="I39" i="2"/>
  <c r="I39" i="16"/>
  <c r="I39" i="13"/>
  <c r="B238" i="34"/>
  <c r="I359" i="11"/>
  <c r="J359" i="11" s="1"/>
  <c r="I359" i="13"/>
  <c r="J359" i="13" s="1"/>
  <c r="I340" i="2"/>
  <c r="J340" i="2" s="1"/>
  <c r="I213" i="15"/>
  <c r="J213" i="15" s="1"/>
  <c r="I213" i="10"/>
  <c r="J213" i="10" s="1"/>
  <c r="I213" i="16"/>
  <c r="J213" i="16" s="1"/>
  <c r="I215" i="19"/>
  <c r="J215" i="19" s="1"/>
  <c r="I213" i="13"/>
  <c r="J213" i="13" s="1"/>
  <c r="I213" i="11"/>
  <c r="J213" i="11" s="1"/>
  <c r="B314" i="34"/>
  <c r="I371" i="15"/>
  <c r="J371" i="15" s="1"/>
  <c r="I442" i="13"/>
  <c r="J442" i="13" s="1"/>
  <c r="I442" i="11"/>
  <c r="J442" i="11" s="1"/>
  <c r="I189" i="10"/>
  <c r="I191" i="19"/>
  <c r="B179" i="34"/>
  <c r="I301" i="13"/>
  <c r="I301" i="11"/>
  <c r="B361" i="34"/>
  <c r="I421" i="13"/>
  <c r="J421" i="13" s="1"/>
  <c r="I421" i="11"/>
  <c r="J421" i="11" s="1"/>
  <c r="I213" i="19"/>
  <c r="J213" i="19" s="1"/>
  <c r="I211" i="13"/>
  <c r="J211" i="13" s="1"/>
  <c r="I211" i="11"/>
  <c r="J211" i="11" s="1"/>
  <c r="B389" i="34"/>
  <c r="I19" i="11"/>
  <c r="I19" i="2"/>
  <c r="I19" i="13"/>
  <c r="I19" i="16"/>
  <c r="I19" i="19"/>
  <c r="I19" i="10"/>
  <c r="I121" i="19"/>
  <c r="J121" i="19" s="1"/>
  <c r="I41" i="10"/>
  <c r="I44" i="13"/>
  <c r="I247" i="19"/>
  <c r="I112" i="19"/>
  <c r="J112" i="19" s="1"/>
  <c r="I75" i="15"/>
  <c r="I144" i="2"/>
  <c r="I169" i="21"/>
  <c r="J169" i="21" s="1"/>
  <c r="I35" i="21"/>
  <c r="J35" i="21" s="1"/>
  <c r="I350" i="16"/>
  <c r="J350" i="16" s="1"/>
  <c r="I39" i="15"/>
  <c r="I189" i="2"/>
  <c r="I204" i="15"/>
  <c r="J204" i="15" s="1"/>
  <c r="I206" i="19"/>
  <c r="J206" i="19" s="1"/>
  <c r="I204" i="13"/>
  <c r="J204" i="13" s="1"/>
  <c r="B356" i="34"/>
  <c r="I416" i="11"/>
  <c r="J416" i="11" s="1"/>
  <c r="I254" i="15"/>
  <c r="J254" i="15" s="1"/>
  <c r="I254" i="13"/>
  <c r="B679" i="34"/>
  <c r="I200" i="21"/>
  <c r="I161" i="15"/>
  <c r="I161" i="16"/>
  <c r="I161" i="10"/>
  <c r="I163" i="19"/>
  <c r="I161" i="13"/>
  <c r="I161" i="11"/>
  <c r="B408" i="34"/>
  <c r="I36" i="15"/>
  <c r="I36" i="16"/>
  <c r="I36" i="10"/>
  <c r="I154" i="10"/>
  <c r="I154" i="15"/>
  <c r="I154" i="16"/>
  <c r="I156" i="19"/>
  <c r="I154" i="13"/>
  <c r="I154" i="11"/>
  <c r="I224" i="19"/>
  <c r="I222" i="13"/>
  <c r="I222" i="11"/>
  <c r="I222" i="2"/>
  <c r="B103" i="34"/>
  <c r="B269" i="34"/>
  <c r="I32" i="18"/>
  <c r="J32" i="18" s="1"/>
  <c r="B684" i="34"/>
  <c r="I205" i="21"/>
  <c r="J205" i="21" s="1"/>
  <c r="I338" i="11"/>
  <c r="J338" i="11" s="1"/>
  <c r="I319" i="2"/>
  <c r="B217" i="34"/>
  <c r="I319" i="15"/>
  <c r="J319" i="15" s="1"/>
  <c r="I319" i="16"/>
  <c r="J319" i="16" s="1"/>
  <c r="B280" i="34"/>
  <c r="I43" i="18"/>
  <c r="J43" i="18" s="1"/>
  <c r="I197" i="21"/>
  <c r="J197" i="21" s="1"/>
  <c r="B676" i="34"/>
  <c r="B447" i="34"/>
  <c r="I78" i="2"/>
  <c r="I78" i="15"/>
  <c r="I78" i="16"/>
  <c r="B83" i="34"/>
  <c r="I201" i="16"/>
  <c r="I201" i="15"/>
  <c r="I201" i="10"/>
  <c r="I232" i="16"/>
  <c r="I232" i="10"/>
  <c r="I232" i="11"/>
  <c r="I353" i="15"/>
  <c r="J353" i="15" s="1"/>
  <c r="I353" i="10"/>
  <c r="J353" i="10" s="1"/>
  <c r="I372" i="11"/>
  <c r="J372" i="11" s="1"/>
  <c r="I353" i="2"/>
  <c r="J353" i="2" s="1"/>
  <c r="I119" i="15"/>
  <c r="J119" i="15" s="1"/>
  <c r="I119" i="16"/>
  <c r="J119" i="16" s="1"/>
  <c r="I41" i="15"/>
  <c r="I44" i="10"/>
  <c r="I245" i="15"/>
  <c r="J245" i="15" s="1"/>
  <c r="I110" i="15"/>
  <c r="J110" i="15" s="1"/>
  <c r="I31" i="10"/>
  <c r="J31" i="10" s="1"/>
  <c r="I146" i="19"/>
  <c r="B265" i="34"/>
  <c r="I275" i="13"/>
  <c r="I234" i="11"/>
  <c r="I36" i="18"/>
  <c r="J36" i="18" s="1"/>
  <c r="I189" i="11"/>
  <c r="I340" i="15"/>
  <c r="J340" i="15" s="1"/>
  <c r="I213" i="2"/>
  <c r="I52" i="18"/>
  <c r="J52" i="18" s="1"/>
  <c r="I201" i="2"/>
  <c r="I374" i="11"/>
  <c r="J374" i="11" s="1"/>
  <c r="I353" i="16"/>
  <c r="J353" i="16" s="1"/>
  <c r="I240" i="15"/>
  <c r="I242" i="19"/>
  <c r="I240" i="16"/>
  <c r="I240" i="10"/>
  <c r="I240" i="11"/>
  <c r="I240" i="13"/>
  <c r="I217" i="19"/>
  <c r="J217" i="19" s="1"/>
  <c r="I215" i="11"/>
  <c r="J215" i="11" s="1"/>
  <c r="I380" i="2"/>
  <c r="J380" i="2" s="1"/>
  <c r="I370" i="16"/>
  <c r="J370" i="16" s="1"/>
  <c r="I452" i="11"/>
  <c r="J452" i="11" s="1"/>
  <c r="B450" i="34"/>
  <c r="I81" i="2"/>
  <c r="I81" i="16"/>
  <c r="I83" i="19"/>
  <c r="I262" i="16"/>
  <c r="I262" i="15"/>
  <c r="J262" i="15" s="1"/>
  <c r="I262" i="10"/>
  <c r="I262" i="13"/>
  <c r="I264" i="19"/>
  <c r="I262" i="11"/>
  <c r="B279" i="34"/>
  <c r="I42" i="18"/>
  <c r="J42" i="18" s="1"/>
  <c r="B548" i="34"/>
  <c r="I59" i="21"/>
  <c r="J59" i="21" s="1"/>
  <c r="B661" i="34"/>
  <c r="I181" i="21"/>
  <c r="B352" i="34"/>
  <c r="I412" i="11"/>
  <c r="J412" i="11" s="1"/>
  <c r="I412" i="13"/>
  <c r="J412" i="13" s="1"/>
  <c r="I372" i="13"/>
  <c r="J372" i="13" s="1"/>
  <c r="B202" i="34"/>
  <c r="I325" i="11"/>
  <c r="J325" i="11" s="1"/>
  <c r="I325" i="13"/>
  <c r="J325" i="13" s="1"/>
  <c r="I306" i="2"/>
  <c r="I160" i="13"/>
  <c r="I162" i="19"/>
  <c r="I160" i="11"/>
  <c r="I160" i="2"/>
  <c r="B43" i="34"/>
  <c r="B663" i="34"/>
  <c r="I183" i="21"/>
  <c r="B466" i="34"/>
  <c r="I101" i="19"/>
  <c r="J101" i="19" s="1"/>
  <c r="I99" i="10"/>
  <c r="J99" i="10" s="1"/>
  <c r="I119" i="10"/>
  <c r="J119" i="10" s="1"/>
  <c r="I44" i="16"/>
  <c r="I245" i="10"/>
  <c r="I110" i="16"/>
  <c r="J110" i="16" s="1"/>
  <c r="I83" i="2"/>
  <c r="I31" i="2"/>
  <c r="J31" i="2" s="1"/>
  <c r="I144" i="13"/>
  <c r="I275" i="11"/>
  <c r="I234" i="13"/>
  <c r="I100" i="13"/>
  <c r="J100" i="13" s="1"/>
  <c r="I189" i="15"/>
  <c r="I342" i="19"/>
  <c r="J342" i="19" s="1"/>
  <c r="B95" i="34"/>
  <c r="I201" i="11"/>
  <c r="I374" i="13"/>
  <c r="J374" i="13" s="1"/>
  <c r="B251" i="34"/>
  <c r="B479" i="34"/>
  <c r="I115" i="19"/>
  <c r="J115" i="19" s="1"/>
  <c r="I113" i="10"/>
  <c r="J113" i="10" s="1"/>
  <c r="I113" i="11"/>
  <c r="J113" i="11" s="1"/>
  <c r="I197" i="15"/>
  <c r="I197" i="16"/>
  <c r="I197" i="10"/>
  <c r="I197" i="11"/>
  <c r="I199" i="19"/>
  <c r="I197" i="13"/>
  <c r="B473" i="34"/>
  <c r="I107" i="15"/>
  <c r="J107" i="15" s="1"/>
  <c r="I107" i="10"/>
  <c r="J107" i="10" s="1"/>
  <c r="I107" i="16"/>
  <c r="J107" i="16" s="1"/>
  <c r="I109" i="19"/>
  <c r="J109" i="19" s="1"/>
  <c r="B434" i="34"/>
  <c r="I64" i="11"/>
  <c r="J64" i="11" s="1"/>
  <c r="I64" i="2"/>
  <c r="J64" i="2" s="1"/>
  <c r="I64" i="16"/>
  <c r="J64" i="16" s="1"/>
  <c r="I64" i="15"/>
  <c r="J64" i="15" s="1"/>
  <c r="I188" i="15"/>
  <c r="I190" i="19"/>
  <c r="I188" i="13"/>
  <c r="I304" i="16"/>
  <c r="I306" i="19"/>
  <c r="I323" i="13"/>
  <c r="I323" i="11"/>
  <c r="I304" i="2"/>
  <c r="B631" i="34"/>
  <c r="I148" i="21"/>
  <c r="J148" i="21" s="1"/>
  <c r="I159" i="11"/>
  <c r="I161" i="19"/>
  <c r="I159" i="13"/>
  <c r="I159" i="2"/>
  <c r="B259" i="34"/>
  <c r="I361" i="15"/>
  <c r="J361" i="15" s="1"/>
  <c r="I361" i="16"/>
  <c r="J361" i="16" s="1"/>
  <c r="I361" i="10"/>
  <c r="J361" i="10" s="1"/>
  <c r="B370" i="34"/>
  <c r="I430" i="13"/>
  <c r="J430" i="13" s="1"/>
  <c r="I430" i="11"/>
  <c r="J430" i="11" s="1"/>
  <c r="I245" i="13"/>
  <c r="I110" i="13"/>
  <c r="J110" i="13" s="1"/>
  <c r="I189" i="13"/>
  <c r="I340" i="13"/>
  <c r="I323" i="19"/>
  <c r="I340" i="11"/>
  <c r="I321" i="2"/>
  <c r="B219" i="34"/>
  <c r="B662" i="34"/>
  <c r="I182" i="21"/>
  <c r="B433" i="34"/>
  <c r="I65" i="19"/>
  <c r="J65" i="19" s="1"/>
  <c r="I63" i="11"/>
  <c r="J63" i="11" s="1"/>
  <c r="I63" i="13"/>
  <c r="J63" i="13" s="1"/>
  <c r="I63" i="16"/>
  <c r="J63" i="16" s="1"/>
  <c r="I63" i="10"/>
  <c r="J63" i="10" s="1"/>
  <c r="I63" i="2"/>
  <c r="J63" i="2" s="1"/>
  <c r="B338" i="34"/>
  <c r="I398" i="13"/>
  <c r="J398" i="13" s="1"/>
  <c r="I233" i="10"/>
  <c r="I233" i="13"/>
  <c r="I44" i="15"/>
  <c r="I245" i="16"/>
  <c r="I110" i="10"/>
  <c r="J110" i="10" s="1"/>
  <c r="I83" i="11"/>
  <c r="I31" i="11"/>
  <c r="J31" i="11" s="1"/>
  <c r="I144" i="10"/>
  <c r="I144" i="21"/>
  <c r="J144" i="21" s="1"/>
  <c r="I275" i="10"/>
  <c r="I236" i="19"/>
  <c r="I102" i="19"/>
  <c r="J102" i="19" s="1"/>
  <c r="I398" i="11"/>
  <c r="J398" i="11" s="1"/>
  <c r="I189" i="16"/>
  <c r="I58" i="21"/>
  <c r="I340" i="10"/>
  <c r="J340" i="10" s="1"/>
  <c r="I201" i="13"/>
  <c r="I162" i="13"/>
  <c r="I164" i="19"/>
  <c r="B400" i="34"/>
  <c r="I30" i="15"/>
  <c r="I30" i="11"/>
  <c r="I30" i="16"/>
  <c r="I30" i="19"/>
  <c r="I30" i="13"/>
  <c r="J30" i="13" s="1"/>
  <c r="I30" i="10"/>
  <c r="B497" i="34"/>
  <c r="I134" i="19"/>
  <c r="J134" i="19" s="1"/>
  <c r="I132" i="13"/>
  <c r="J132" i="13" s="1"/>
  <c r="I132" i="11"/>
  <c r="J132" i="11" s="1"/>
  <c r="B432" i="34"/>
  <c r="I62" i="11"/>
  <c r="J62" i="11" s="1"/>
  <c r="I62" i="2"/>
  <c r="J62" i="2" s="1"/>
  <c r="I62" i="13"/>
  <c r="J62" i="13" s="1"/>
  <c r="B604" i="34"/>
  <c r="I117" i="21"/>
  <c r="J117" i="21" s="1"/>
  <c r="B176" i="34"/>
  <c r="I288" i="16"/>
  <c r="I288" i="15"/>
  <c r="I288" i="10"/>
  <c r="B427" i="34"/>
  <c r="I55" i="10"/>
  <c r="I55" i="11"/>
  <c r="B330" i="34"/>
  <c r="I390" i="13"/>
  <c r="J390" i="13" s="1"/>
  <c r="I390" i="11"/>
  <c r="J390" i="11" s="1"/>
  <c r="I41" i="16"/>
  <c r="I44" i="11"/>
  <c r="I144" i="11"/>
  <c r="I275" i="2"/>
  <c r="B112" i="34"/>
  <c r="B75" i="34"/>
  <c r="I193" i="16"/>
  <c r="J193" i="16" s="1"/>
  <c r="I193" i="15"/>
  <c r="J193" i="15" s="1"/>
  <c r="I193" i="13"/>
  <c r="J193" i="13" s="1"/>
  <c r="I193" i="10"/>
  <c r="J193" i="10" s="1"/>
  <c r="I193" i="11"/>
  <c r="J193" i="11" s="1"/>
  <c r="I195" i="19"/>
  <c r="J195" i="19" s="1"/>
  <c r="B390" i="43"/>
  <c r="E390" i="43" s="1"/>
  <c r="I128" i="2"/>
  <c r="J128" i="2" s="1"/>
  <c r="I83" i="13"/>
  <c r="I31" i="16"/>
  <c r="J31" i="16" s="1"/>
  <c r="I100" i="10"/>
  <c r="J100" i="10" s="1"/>
  <c r="B71" i="34"/>
  <c r="I340" i="16"/>
  <c r="J340" i="16" s="1"/>
  <c r="I308" i="19"/>
  <c r="I203" i="19"/>
  <c r="I225" i="15"/>
  <c r="I225" i="16"/>
  <c r="I225" i="10"/>
  <c r="I227" i="19"/>
  <c r="I225" i="13"/>
  <c r="B465" i="34"/>
  <c r="I98" i="11"/>
  <c r="J98" i="11" s="1"/>
  <c r="I98" i="2"/>
  <c r="J98" i="2" s="1"/>
  <c r="I98" i="15"/>
  <c r="J98" i="15" s="1"/>
  <c r="I98" i="16"/>
  <c r="J98" i="16" s="1"/>
  <c r="I150" i="11"/>
  <c r="I150" i="2"/>
  <c r="B33" i="34"/>
  <c r="I150" i="15"/>
  <c r="I150" i="16"/>
  <c r="I355" i="15"/>
  <c r="J355" i="15" s="1"/>
  <c r="I375" i="13"/>
  <c r="J375" i="13" s="1"/>
  <c r="I375" i="11"/>
  <c r="J375" i="11" s="1"/>
  <c r="I146" i="16"/>
  <c r="I148" i="19"/>
  <c r="I206" i="15"/>
  <c r="I208" i="19"/>
  <c r="I206" i="16"/>
  <c r="I206" i="11"/>
  <c r="I206" i="10"/>
  <c r="I206" i="13"/>
  <c r="B617" i="34"/>
  <c r="I127" i="21"/>
  <c r="J127" i="21" s="1"/>
  <c r="B481" i="34"/>
  <c r="I115" i="10"/>
  <c r="J115" i="10" s="1"/>
  <c r="I115" i="16"/>
  <c r="J115" i="16" s="1"/>
  <c r="I117" i="19"/>
  <c r="J117" i="19" s="1"/>
  <c r="B209" i="34"/>
  <c r="I298" i="2"/>
  <c r="I317" i="13"/>
  <c r="B470" i="34"/>
  <c r="I103" i="15"/>
  <c r="J103" i="15" s="1"/>
  <c r="I103" i="10"/>
  <c r="J103" i="10" s="1"/>
  <c r="I103" i="11"/>
  <c r="J103" i="11" s="1"/>
  <c r="B495" i="34"/>
  <c r="I130" i="15"/>
  <c r="J130" i="15" s="1"/>
  <c r="B396" i="34"/>
  <c r="I26" i="16"/>
  <c r="I188" i="19"/>
  <c r="I186" i="13"/>
  <c r="I186" i="11"/>
  <c r="B455" i="34"/>
  <c r="I86" i="15"/>
  <c r="I88" i="19"/>
  <c r="I86" i="11"/>
  <c r="I86" i="10"/>
  <c r="B439" i="34"/>
  <c r="I72" i="19"/>
  <c r="I190" i="21"/>
  <c r="J190" i="21" s="1"/>
  <c r="I269" i="11"/>
  <c r="I186" i="10"/>
  <c r="B415" i="34"/>
  <c r="I43" i="10"/>
  <c r="J43" i="10" s="1"/>
  <c r="I43" i="11"/>
  <c r="J43" i="11" s="1"/>
  <c r="I43" i="13"/>
  <c r="J43" i="13" s="1"/>
  <c r="I43" i="2"/>
  <c r="I269" i="13"/>
  <c r="J269" i="13" s="1"/>
  <c r="I186" i="16"/>
  <c r="I132" i="19"/>
  <c r="J132" i="19" s="1"/>
  <c r="I271" i="19"/>
  <c r="I186" i="15"/>
  <c r="I130" i="16"/>
  <c r="J130" i="16" s="1"/>
  <c r="I26" i="15"/>
  <c r="B397" i="34"/>
  <c r="I27" i="15"/>
  <c r="I27" i="11"/>
  <c r="I27" i="10"/>
  <c r="I27" i="19"/>
  <c r="I269" i="10"/>
  <c r="B68" i="34"/>
  <c r="I269" i="16"/>
  <c r="B334" i="34"/>
  <c r="I394" i="11"/>
  <c r="J394" i="11" s="1"/>
  <c r="I394" i="13"/>
  <c r="J394" i="13" s="1"/>
  <c r="I43" i="15"/>
  <c r="J43" i="15" s="1"/>
  <c r="B668" i="34"/>
  <c r="I189" i="21"/>
  <c r="J189" i="21" s="1"/>
  <c r="I142" i="10"/>
  <c r="I142" i="13"/>
  <c r="I142" i="11"/>
  <c r="I200" i="13"/>
  <c r="B82" i="34"/>
  <c r="I200" i="10"/>
  <c r="I202" i="19"/>
  <c r="I200" i="2"/>
  <c r="I200" i="15"/>
  <c r="I200" i="16"/>
  <c r="I200" i="11"/>
  <c r="I199" i="15"/>
  <c r="B81" i="34"/>
  <c r="I199" i="16"/>
  <c r="I199" i="10"/>
  <c r="I201" i="19"/>
  <c r="I199" i="13"/>
  <c r="I199" i="11"/>
  <c r="I199" i="2"/>
  <c r="B115" i="34"/>
  <c r="I235" i="16"/>
  <c r="I235" i="15"/>
  <c r="I235" i="2"/>
  <c r="I235" i="10"/>
  <c r="I237" i="19"/>
  <c r="I235" i="13"/>
  <c r="I235" i="11"/>
  <c r="I236" i="10"/>
  <c r="I236" i="15"/>
  <c r="I238" i="19"/>
  <c r="I236" i="2"/>
  <c r="I236" i="16"/>
  <c r="I236" i="13"/>
  <c r="I236" i="11"/>
  <c r="B116" i="34"/>
  <c r="I237" i="15"/>
  <c r="I239" i="19"/>
  <c r="I237" i="2"/>
  <c r="I237" i="13"/>
  <c r="I237" i="11"/>
  <c r="I237" i="16"/>
  <c r="I237" i="10"/>
  <c r="B117" i="34"/>
  <c r="B137" i="34"/>
  <c r="I259" i="16"/>
  <c r="I259" i="15"/>
  <c r="J259" i="15" s="1"/>
  <c r="I261" i="19"/>
  <c r="I259" i="10"/>
  <c r="I259" i="11"/>
  <c r="I259" i="13"/>
  <c r="I259" i="2"/>
  <c r="J259" i="2" s="1"/>
  <c r="I224" i="10"/>
  <c r="I224" i="2"/>
  <c r="B105" i="34"/>
  <c r="I226" i="19"/>
  <c r="I224" i="11"/>
  <c r="I224" i="15"/>
  <c r="I224" i="13"/>
  <c r="I224" i="16"/>
  <c r="B104" i="34"/>
  <c r="I223" i="16"/>
  <c r="I223" i="10"/>
  <c r="I223" i="15"/>
  <c r="I223" i="11"/>
  <c r="I223" i="13"/>
  <c r="I225" i="19"/>
  <c r="I223" i="2"/>
  <c r="B59" i="34"/>
  <c r="I176" i="15"/>
  <c r="I176" i="10"/>
  <c r="I176" i="16"/>
  <c r="I178" i="19"/>
  <c r="I176" i="13"/>
  <c r="I176" i="11"/>
  <c r="I176" i="2"/>
  <c r="B64" i="34"/>
  <c r="I184" i="19"/>
  <c r="I182" i="15"/>
  <c r="I182" i="16"/>
  <c r="I182" i="10"/>
  <c r="I182" i="11"/>
  <c r="I182" i="13"/>
  <c r="I182" i="2"/>
  <c r="I181" i="16"/>
  <c r="I181" i="15"/>
  <c r="I181" i="10"/>
  <c r="I183" i="19"/>
  <c r="I181" i="11"/>
  <c r="I181" i="13"/>
  <c r="I181" i="2"/>
  <c r="B63" i="34"/>
  <c r="I180" i="15"/>
  <c r="I180" i="16"/>
  <c r="I180" i="13"/>
  <c r="I180" i="11"/>
  <c r="I180" i="2"/>
  <c r="B62" i="34"/>
  <c r="I180" i="10"/>
  <c r="I182" i="19"/>
  <c r="I179" i="15"/>
  <c r="I179" i="13"/>
  <c r="I181" i="19"/>
  <c r="I179" i="11"/>
  <c r="I179" i="2"/>
  <c r="B61" i="34"/>
  <c r="I179" i="10"/>
  <c r="I179" i="16"/>
  <c r="I173" i="19"/>
  <c r="I171" i="11"/>
  <c r="I171" i="2"/>
  <c r="B54" i="34"/>
  <c r="I171" i="16"/>
  <c r="I171" i="10"/>
  <c r="I171" i="15"/>
  <c r="I171" i="13"/>
  <c r="I172" i="19"/>
  <c r="I170" i="15"/>
  <c r="I170" i="13"/>
  <c r="I170" i="11"/>
  <c r="I170" i="2"/>
  <c r="B53" i="34"/>
  <c r="I170" i="10"/>
  <c r="I170" i="16"/>
  <c r="I171" i="19"/>
  <c r="I169" i="13"/>
  <c r="I169" i="2"/>
  <c r="B52" i="34"/>
  <c r="I169" i="16"/>
  <c r="I169" i="15"/>
  <c r="I169" i="10"/>
  <c r="I169" i="11"/>
  <c r="B66" i="34"/>
  <c r="I184" i="10"/>
  <c r="J184" i="10" s="1"/>
  <c r="I184" i="16"/>
  <c r="J184" i="16" s="1"/>
  <c r="I184" i="13"/>
  <c r="J184" i="13" s="1"/>
  <c r="I184" i="2"/>
  <c r="J184" i="2" s="1"/>
  <c r="I184" i="15"/>
  <c r="J184" i="15" s="1"/>
  <c r="I186" i="19"/>
  <c r="J186" i="19" s="1"/>
  <c r="I184" i="11"/>
  <c r="J184" i="11" s="1"/>
  <c r="I183" i="15"/>
  <c r="J183" i="15" s="1"/>
  <c r="I183" i="16"/>
  <c r="J183" i="16" s="1"/>
  <c r="B65" i="34"/>
  <c r="I185" i="19"/>
  <c r="J185" i="19" s="1"/>
  <c r="I183" i="10"/>
  <c r="J183" i="10" s="1"/>
  <c r="I183" i="13"/>
  <c r="J183" i="13" s="1"/>
  <c r="I183" i="11"/>
  <c r="J183" i="11" s="1"/>
  <c r="I183" i="2"/>
  <c r="J183" i="2" s="1"/>
  <c r="B204" i="34"/>
  <c r="J298" i="15"/>
  <c r="J303" i="15"/>
  <c r="J338" i="13"/>
  <c r="J310" i="15"/>
  <c r="J289" i="15"/>
  <c r="J178" i="15"/>
  <c r="J307" i="15"/>
  <c r="J292" i="15"/>
  <c r="J300" i="15"/>
  <c r="J293" i="15"/>
  <c r="J306" i="15"/>
  <c r="J308" i="15"/>
  <c r="J309" i="15"/>
  <c r="J288" i="15"/>
  <c r="J304" i="15"/>
  <c r="G97" i="21"/>
  <c r="J97" i="21"/>
  <c r="G98" i="21"/>
  <c r="J98" i="21"/>
  <c r="G95" i="21"/>
  <c r="J95" i="21"/>
  <c r="G72" i="21"/>
  <c r="J72" i="21"/>
  <c r="G80" i="21"/>
  <c r="J80" i="21"/>
  <c r="G101" i="21"/>
  <c r="J101" i="21"/>
  <c r="G102" i="21"/>
  <c r="J102" i="21"/>
  <c r="G99" i="21"/>
  <c r="J99" i="21"/>
  <c r="G84" i="21"/>
  <c r="J84" i="21"/>
  <c r="G106" i="21"/>
  <c r="J106" i="21"/>
  <c r="G96" i="21"/>
  <c r="J96" i="21"/>
  <c r="G77" i="21"/>
  <c r="J77" i="21"/>
  <c r="G109" i="21"/>
  <c r="J109" i="21"/>
  <c r="G78" i="21"/>
  <c r="J78" i="21"/>
  <c r="G75" i="21"/>
  <c r="J75" i="21"/>
  <c r="G107" i="21"/>
  <c r="J107" i="21"/>
  <c r="J233" i="21"/>
  <c r="J112" i="21"/>
  <c r="G73" i="21"/>
  <c r="J73" i="21"/>
  <c r="G103" i="21"/>
  <c r="J103" i="21"/>
  <c r="G100" i="21"/>
  <c r="J100" i="21"/>
  <c r="G81" i="21"/>
  <c r="J81" i="21"/>
  <c r="G82" i="21"/>
  <c r="J82" i="21"/>
  <c r="G76" i="21"/>
  <c r="J76" i="21"/>
  <c r="G79" i="21"/>
  <c r="J79" i="21"/>
  <c r="G110" i="21"/>
  <c r="J110" i="21"/>
  <c r="J299" i="15"/>
  <c r="B24" i="34"/>
  <c r="I140" i="15"/>
  <c r="I140" i="16"/>
  <c r="I140" i="11"/>
  <c r="I140" i="13"/>
  <c r="I140" i="10"/>
  <c r="I142" i="19"/>
  <c r="I140" i="2"/>
  <c r="J70" i="21"/>
  <c r="I116" i="16"/>
  <c r="J116" i="16" s="1"/>
  <c r="I116" i="15"/>
  <c r="J116" i="15" s="1"/>
  <c r="I116" i="10"/>
  <c r="J116" i="10" s="1"/>
  <c r="I118" i="19"/>
  <c r="J118" i="19" s="1"/>
  <c r="I116" i="13"/>
  <c r="J116" i="13" s="1"/>
  <c r="I116" i="11"/>
  <c r="J116" i="11" s="1"/>
  <c r="I116" i="2"/>
  <c r="J116" i="2" s="1"/>
  <c r="G105" i="21"/>
  <c r="J105" i="21"/>
  <c r="G85" i="21"/>
  <c r="J85" i="21"/>
  <c r="G86" i="21"/>
  <c r="J86" i="21"/>
  <c r="G92" i="21"/>
  <c r="J92" i="21"/>
  <c r="G83" i="21"/>
  <c r="J83" i="21"/>
  <c r="J63" i="21"/>
  <c r="J61" i="21"/>
  <c r="J58" i="21"/>
  <c r="J69" i="21"/>
  <c r="G74" i="21"/>
  <c r="J74" i="21"/>
  <c r="G111" i="21"/>
  <c r="J111" i="21"/>
  <c r="G89" i="21"/>
  <c r="J89" i="21"/>
  <c r="G88" i="21"/>
  <c r="J88" i="21"/>
  <c r="G90" i="21"/>
  <c r="J90" i="21"/>
  <c r="G104" i="21"/>
  <c r="J104" i="21"/>
  <c r="G87" i="21"/>
  <c r="J87" i="21"/>
  <c r="J311" i="15"/>
  <c r="I12" i="15"/>
  <c r="I12" i="10"/>
  <c r="I12" i="19"/>
  <c r="I12" i="13"/>
  <c r="J12" i="13" s="1"/>
  <c r="I12" i="11"/>
  <c r="I12" i="2"/>
  <c r="I12" i="16"/>
  <c r="J60" i="21"/>
  <c r="J57" i="21"/>
  <c r="G108" i="21"/>
  <c r="J108" i="21"/>
  <c r="G93" i="21"/>
  <c r="J93" i="21"/>
  <c r="G94" i="21"/>
  <c r="J94" i="21"/>
  <c r="G91" i="21"/>
  <c r="J91" i="21"/>
  <c r="G177" i="15"/>
  <c r="G295" i="15"/>
  <c r="G296" i="15"/>
  <c r="G167" i="15"/>
  <c r="G294" i="15"/>
  <c r="U2" i="18"/>
  <c r="J81" i="18"/>
  <c r="U2" i="16"/>
  <c r="U2" i="13"/>
  <c r="U2" i="11"/>
  <c r="G178" i="15"/>
  <c r="G63" i="21"/>
  <c r="G68" i="21"/>
  <c r="T1" i="21"/>
  <c r="G112" i="21"/>
  <c r="G64" i="21"/>
  <c r="F56" i="18"/>
  <c r="B398" i="33"/>
  <c r="G62" i="21"/>
  <c r="G58" i="21"/>
  <c r="G67" i="21"/>
  <c r="G57" i="21"/>
  <c r="G60" i="21"/>
  <c r="G61" i="21"/>
  <c r="G71" i="21"/>
  <c r="G69" i="21"/>
  <c r="G59" i="21"/>
  <c r="G70" i="21"/>
  <c r="G83" i="18"/>
  <c r="T4" i="18"/>
  <c r="D8" i="21"/>
  <c r="G372" i="2"/>
  <c r="T5" i="2" s="1"/>
  <c r="G362" i="2"/>
  <c r="T3" i="2" s="1"/>
  <c r="E355" i="2"/>
  <c r="E318" i="2"/>
  <c r="J318" i="2" s="1"/>
  <c r="E317" i="2"/>
  <c r="E316" i="2"/>
  <c r="J316" i="2" s="1"/>
  <c r="E315" i="2"/>
  <c r="J315" i="2" s="1"/>
  <c r="E314" i="2"/>
  <c r="J314" i="2" s="1"/>
  <c r="E313" i="2"/>
  <c r="J313" i="2" s="1"/>
  <c r="E218" i="2"/>
  <c r="E217" i="2"/>
  <c r="J217" i="2" s="1"/>
  <c r="E216" i="2"/>
  <c r="J216" i="2" s="1"/>
  <c r="E215" i="2"/>
  <c r="J215" i="2" s="1"/>
  <c r="E214" i="2"/>
  <c r="J214" i="2" s="1"/>
  <c r="E213" i="2"/>
  <c r="J213" i="2" s="1"/>
  <c r="E212" i="2"/>
  <c r="J212" i="2" s="1"/>
  <c r="E211" i="2"/>
  <c r="J211" i="2" s="1"/>
  <c r="E203" i="2"/>
  <c r="J203" i="2" s="1"/>
  <c r="E99" i="2"/>
  <c r="J99" i="2" s="1"/>
  <c r="E79" i="2"/>
  <c r="J79" i="2" s="1"/>
  <c r="E43" i="2"/>
  <c r="J43" i="2" s="1"/>
  <c r="J317" i="2" l="1"/>
  <c r="B293" i="34"/>
  <c r="I56" i="18"/>
  <c r="J56" i="18" s="1"/>
  <c r="J218" i="2"/>
  <c r="G355" i="2"/>
  <c r="J355" i="2"/>
  <c r="U8" i="15"/>
  <c r="U7" i="15"/>
  <c r="J83" i="18"/>
  <c r="U5" i="18" s="1"/>
  <c r="U4" i="18"/>
  <c r="T5" i="18"/>
  <c r="B83" i="18"/>
  <c r="D8" i="18"/>
  <c r="E319" i="2"/>
  <c r="J319" i="2" s="1"/>
  <c r="E227" i="2"/>
  <c r="J227" i="2" s="1"/>
  <c r="E327" i="2" l="1"/>
  <c r="J327" i="2" s="1"/>
  <c r="E330" i="2"/>
  <c r="J330" i="2" s="1"/>
  <c r="E326" i="2"/>
  <c r="J326" i="2" s="1"/>
  <c r="E329" i="2"/>
  <c r="J329" i="2" s="1"/>
  <c r="E328" i="2"/>
  <c r="J328" i="2" s="1"/>
  <c r="E286" i="2"/>
  <c r="J286" i="2" s="1"/>
  <c r="E282" i="2"/>
  <c r="J282" i="2" s="1"/>
  <c r="E269" i="2"/>
  <c r="J269" i="2" s="1"/>
  <c r="E281" i="2"/>
  <c r="J281" i="2" s="1"/>
  <c r="E29" i="2"/>
  <c r="J29" i="2" s="1"/>
  <c r="E70" i="2"/>
  <c r="J70" i="2" s="1"/>
  <c r="E30" i="2"/>
  <c r="J30" i="2" s="1"/>
  <c r="E12" i="2"/>
  <c r="J12" i="2" s="1"/>
  <c r="J137" i="2" s="1"/>
  <c r="U1" i="2" s="1"/>
  <c r="E34" i="2"/>
  <c r="J34" i="2" s="1"/>
  <c r="E333" i="2"/>
  <c r="J333" i="2" s="1"/>
  <c r="E324" i="2"/>
  <c r="J324" i="2" s="1"/>
  <c r="E321" i="2"/>
  <c r="J321" i="2" s="1"/>
  <c r="E325" i="2"/>
  <c r="J325" i="2" s="1"/>
  <c r="E322" i="2"/>
  <c r="J322" i="2" s="1"/>
  <c r="E332" i="2"/>
  <c r="J332" i="2" s="1"/>
  <c r="E331" i="2"/>
  <c r="J331" i="2" s="1"/>
  <c r="E323" i="2"/>
  <c r="J323" i="2" s="1"/>
  <c r="E271" i="2"/>
  <c r="J271" i="2" s="1"/>
  <c r="E266" i="2"/>
  <c r="J266" i="2" s="1"/>
  <c r="E278" i="2"/>
  <c r="J278" i="2" s="1"/>
  <c r="E276" i="2"/>
  <c r="J276" i="2" s="1"/>
  <c r="E274" i="2"/>
  <c r="J274" i="2" s="1"/>
  <c r="E267" i="2"/>
  <c r="J267" i="2" s="1"/>
  <c r="E265" i="2"/>
  <c r="J265" i="2" s="1"/>
  <c r="E280" i="2"/>
  <c r="J280" i="2" s="1"/>
  <c r="E275" i="2"/>
  <c r="J275" i="2" s="1"/>
  <c r="E262" i="2"/>
  <c r="J262" i="2" s="1"/>
  <c r="E251" i="2"/>
  <c r="J251" i="2" s="1"/>
  <c r="E241" i="2"/>
  <c r="J241" i="2" s="1"/>
  <c r="E236" i="2"/>
  <c r="J236" i="2" s="1"/>
  <c r="E230" i="2"/>
  <c r="J230" i="2" s="1"/>
  <c r="E223" i="2"/>
  <c r="J223" i="2" s="1"/>
  <c r="E220" i="2"/>
  <c r="J220" i="2" s="1"/>
  <c r="E270" i="2"/>
  <c r="J270" i="2" s="1"/>
  <c r="E264" i="2"/>
  <c r="J264" i="2" s="1"/>
  <c r="E261" i="2"/>
  <c r="J261" i="2" s="1"/>
  <c r="E244" i="2"/>
  <c r="J244" i="2" s="1"/>
  <c r="E242" i="2"/>
  <c r="J242" i="2" s="1"/>
  <c r="E238" i="2"/>
  <c r="J238" i="2" s="1"/>
  <c r="E233" i="2"/>
  <c r="J233" i="2" s="1"/>
  <c r="E232" i="2"/>
  <c r="J232" i="2" s="1"/>
  <c r="E228" i="2"/>
  <c r="J228" i="2" s="1"/>
  <c r="E224" i="2"/>
  <c r="J224" i="2" s="1"/>
  <c r="E263" i="2"/>
  <c r="J263" i="2" s="1"/>
  <c r="E240" i="2"/>
  <c r="J240" i="2" s="1"/>
  <c r="E234" i="2"/>
  <c r="J234" i="2" s="1"/>
  <c r="E225" i="2"/>
  <c r="J225" i="2" s="1"/>
  <c r="E222" i="2"/>
  <c r="J222" i="2" s="1"/>
  <c r="E237" i="2"/>
  <c r="J237" i="2" s="1"/>
  <c r="E235" i="2"/>
  <c r="J235" i="2" s="1"/>
  <c r="E279" i="2"/>
  <c r="J279" i="2" s="1"/>
  <c r="E229" i="2"/>
  <c r="J229" i="2" s="1"/>
  <c r="E226" i="2"/>
  <c r="J226" i="2" s="1"/>
  <c r="E158" i="2"/>
  <c r="J158" i="2" s="1"/>
  <c r="E154" i="2"/>
  <c r="J154" i="2" s="1"/>
  <c r="E144" i="2"/>
  <c r="J144" i="2" s="1"/>
  <c r="E85" i="2"/>
  <c r="J85" i="2" s="1"/>
  <c r="E84" i="2"/>
  <c r="J84" i="2" s="1"/>
  <c r="E163" i="2"/>
  <c r="J163" i="2" s="1"/>
  <c r="E159" i="2"/>
  <c r="J159" i="2" s="1"/>
  <c r="E147" i="2"/>
  <c r="J147" i="2" s="1"/>
  <c r="E146" i="2"/>
  <c r="E140" i="2"/>
  <c r="J140" i="2" s="1"/>
  <c r="E86" i="2"/>
  <c r="J86" i="2" s="1"/>
  <c r="E161" i="2"/>
  <c r="J161" i="2" s="1"/>
  <c r="E160" i="2"/>
  <c r="J160" i="2" s="1"/>
  <c r="E155" i="2"/>
  <c r="J155" i="2" s="1"/>
  <c r="E149" i="2"/>
  <c r="J149" i="2" s="1"/>
  <c r="E148" i="2"/>
  <c r="J148" i="2" s="1"/>
  <c r="E142" i="2"/>
  <c r="J142" i="2" s="1"/>
  <c r="E81" i="2"/>
  <c r="J81" i="2" s="1"/>
  <c r="E80" i="2"/>
  <c r="J80" i="2" s="1"/>
  <c r="E164" i="2"/>
  <c r="J164" i="2" s="1"/>
  <c r="E157" i="2"/>
  <c r="J157" i="2" s="1"/>
  <c r="E156" i="2"/>
  <c r="J156" i="2" s="1"/>
  <c r="E153" i="2"/>
  <c r="J153" i="2" s="1"/>
  <c r="E152" i="2"/>
  <c r="J152" i="2" s="1"/>
  <c r="E150" i="2"/>
  <c r="J150" i="2" s="1"/>
  <c r="E83" i="2"/>
  <c r="J83" i="2" s="1"/>
  <c r="E82" i="2"/>
  <c r="J82" i="2" s="1"/>
  <c r="E78" i="2"/>
  <c r="J78" i="2" s="1"/>
  <c r="E76" i="2"/>
  <c r="J76" i="2" s="1"/>
  <c r="E74" i="2"/>
  <c r="J74" i="2" s="1"/>
  <c r="E73" i="2"/>
  <c r="J73" i="2" s="1"/>
  <c r="E75" i="2"/>
  <c r="J75" i="2" s="1"/>
  <c r="E26" i="2"/>
  <c r="J26" i="2" s="1"/>
  <c r="E19" i="2"/>
  <c r="J19" i="2" s="1"/>
  <c r="E13" i="2"/>
  <c r="J13" i="2" s="1"/>
  <c r="E23" i="2"/>
  <c r="J23" i="2" s="1"/>
  <c r="E22" i="2"/>
  <c r="J22" i="2" s="1"/>
  <c r="E72" i="2"/>
  <c r="J72" i="2" s="1"/>
  <c r="E71" i="2"/>
  <c r="J71" i="2" s="1"/>
  <c r="E32" i="2"/>
  <c r="J32" i="2" s="1"/>
  <c r="E27" i="2"/>
  <c r="J27" i="2" s="1"/>
  <c r="E21" i="2"/>
  <c r="J21" i="2" s="1"/>
  <c r="E20" i="2"/>
  <c r="J20" i="2" s="1"/>
  <c r="E17" i="2"/>
  <c r="J17" i="2" s="1"/>
  <c r="E16" i="2"/>
  <c r="J16" i="2" s="1"/>
  <c r="E15" i="2"/>
  <c r="J15" i="2" s="1"/>
  <c r="E14" i="2"/>
  <c r="J14" i="2" s="1"/>
  <c r="E25" i="2"/>
  <c r="J25" i="2" s="1"/>
  <c r="E24" i="2"/>
  <c r="J24" i="2" s="1"/>
  <c r="E18" i="2"/>
  <c r="J18" i="2" s="1"/>
  <c r="E28" i="2"/>
  <c r="J28" i="2" s="1"/>
  <c r="A6" i="2"/>
  <c r="E190" i="2" l="1"/>
  <c r="J190" i="2" s="1"/>
  <c r="E177" i="2"/>
  <c r="G146" i="2"/>
  <c r="J146" i="2"/>
  <c r="E294" i="2"/>
  <c r="E295" i="2"/>
  <c r="E178" i="2"/>
  <c r="J178" i="2" s="1"/>
  <c r="E59" i="2"/>
  <c r="E167" i="2"/>
  <c r="E168" i="2"/>
  <c r="E309" i="2"/>
  <c r="E302" i="2"/>
  <c r="E298" i="2"/>
  <c r="E299" i="2"/>
  <c r="E304" i="2"/>
  <c r="E308" i="2"/>
  <c r="E305" i="2"/>
  <c r="E303" i="2"/>
  <c r="E300" i="2"/>
  <c r="E301" i="2"/>
  <c r="E204" i="2"/>
  <c r="J204" i="2" s="1"/>
  <c r="E310" i="2"/>
  <c r="E306" i="2"/>
  <c r="E291" i="2"/>
  <c r="E293" i="2"/>
  <c r="E311" i="2"/>
  <c r="E307" i="2"/>
  <c r="E296" i="2"/>
  <c r="E289" i="2"/>
  <c r="E288" i="2"/>
  <c r="J288" i="2" s="1"/>
  <c r="E207" i="2"/>
  <c r="J207" i="2" s="1"/>
  <c r="E196" i="2"/>
  <c r="J196" i="2" s="1"/>
  <c r="E188" i="2"/>
  <c r="J188" i="2" s="1"/>
  <c r="E297" i="2"/>
  <c r="E199" i="2"/>
  <c r="J199" i="2" s="1"/>
  <c r="E191" i="2"/>
  <c r="J191" i="2" s="1"/>
  <c r="E198" i="2"/>
  <c r="J198" i="2" s="1"/>
  <c r="E290" i="2"/>
  <c r="E201" i="2"/>
  <c r="J201" i="2" s="1"/>
  <c r="E292" i="2"/>
  <c r="E202" i="2"/>
  <c r="J202" i="2" s="1"/>
  <c r="E187" i="2"/>
  <c r="J187" i="2" s="1"/>
  <c r="E208" i="2"/>
  <c r="J208" i="2" s="1"/>
  <c r="E206" i="2"/>
  <c r="J206" i="2" s="1"/>
  <c r="E200" i="2"/>
  <c r="J200" i="2" s="1"/>
  <c r="E197" i="2"/>
  <c r="J197" i="2" s="1"/>
  <c r="E180" i="2"/>
  <c r="J180" i="2" s="1"/>
  <c r="E179" i="2"/>
  <c r="J179" i="2" s="1"/>
  <c r="E175" i="2"/>
  <c r="J175" i="2" s="1"/>
  <c r="E174" i="2"/>
  <c r="J174" i="2" s="1"/>
  <c r="E173" i="2"/>
  <c r="J173" i="2" s="1"/>
  <c r="E186" i="2"/>
  <c r="J186" i="2" s="1"/>
  <c r="E182" i="2"/>
  <c r="J182" i="2" s="1"/>
  <c r="E176" i="2"/>
  <c r="J176" i="2" s="1"/>
  <c r="E169" i="2"/>
  <c r="J169" i="2" s="1"/>
  <c r="E185" i="2"/>
  <c r="J185" i="2" s="1"/>
  <c r="E181" i="2"/>
  <c r="J181" i="2" s="1"/>
  <c r="E171" i="2"/>
  <c r="J171" i="2" s="1"/>
  <c r="E170" i="2"/>
  <c r="J170" i="2" s="1"/>
  <c r="E189" i="2"/>
  <c r="J189" i="2" s="1"/>
  <c r="E172" i="2"/>
  <c r="J172" i="2" s="1"/>
  <c r="E166" i="2"/>
  <c r="J166" i="2" s="1"/>
  <c r="E57" i="2"/>
  <c r="J57" i="2" s="1"/>
  <c r="E50" i="2"/>
  <c r="J50" i="2" s="1"/>
  <c r="E55" i="2"/>
  <c r="J55" i="2" s="1"/>
  <c r="E54" i="2"/>
  <c r="J54" i="2" s="1"/>
  <c r="E53" i="2"/>
  <c r="J53" i="2" s="1"/>
  <c r="E52" i="2"/>
  <c r="J52" i="2" s="1"/>
  <c r="E48" i="2"/>
  <c r="J48" i="2" s="1"/>
  <c r="E44" i="2"/>
  <c r="J44" i="2" s="1"/>
  <c r="E41" i="2"/>
  <c r="J41" i="2" s="1"/>
  <c r="E58" i="2"/>
  <c r="J58" i="2" s="1"/>
  <c r="E56" i="2"/>
  <c r="J56" i="2" s="1"/>
  <c r="E51" i="2"/>
  <c r="J51" i="2" s="1"/>
  <c r="E49" i="2"/>
  <c r="J49" i="2" s="1"/>
  <c r="E42" i="2"/>
  <c r="J42" i="2" s="1"/>
  <c r="E36" i="2"/>
  <c r="J36" i="2" s="1"/>
  <c r="E47" i="2"/>
  <c r="J47" i="2" s="1"/>
  <c r="E46" i="2"/>
  <c r="J46" i="2" s="1"/>
  <c r="E40" i="2"/>
  <c r="J40" i="2" s="1"/>
  <c r="E39" i="2"/>
  <c r="J39" i="2" s="1"/>
  <c r="E38" i="2"/>
  <c r="J38" i="2" s="1"/>
  <c r="E37" i="2"/>
  <c r="J37" i="2" s="1"/>
  <c r="E268" i="2"/>
  <c r="J268" i="2" s="1"/>
  <c r="G289" i="2" l="1"/>
  <c r="J289" i="2"/>
  <c r="G307" i="2"/>
  <c r="J307" i="2"/>
  <c r="G293" i="2"/>
  <c r="J293" i="2"/>
  <c r="G306" i="2"/>
  <c r="J306" i="2"/>
  <c r="G300" i="2"/>
  <c r="J300" i="2"/>
  <c r="G305" i="2"/>
  <c r="J305" i="2"/>
  <c r="G304" i="2"/>
  <c r="J304" i="2"/>
  <c r="G298" i="2"/>
  <c r="J298" i="2"/>
  <c r="G309" i="2"/>
  <c r="J309" i="2"/>
  <c r="G167" i="2"/>
  <c r="J167" i="2"/>
  <c r="G295" i="2"/>
  <c r="J295" i="2"/>
  <c r="G292" i="2"/>
  <c r="J292" i="2"/>
  <c r="G290" i="2"/>
  <c r="J290" i="2"/>
  <c r="G297" i="2"/>
  <c r="J297" i="2"/>
  <c r="G296" i="2"/>
  <c r="J296" i="2"/>
  <c r="G311" i="2"/>
  <c r="J311" i="2"/>
  <c r="G291" i="2"/>
  <c r="J291" i="2"/>
  <c r="G310" i="2"/>
  <c r="J310" i="2"/>
  <c r="G301" i="2"/>
  <c r="J301" i="2"/>
  <c r="G303" i="2"/>
  <c r="J303" i="2"/>
  <c r="G308" i="2"/>
  <c r="J308" i="2"/>
  <c r="G299" i="2"/>
  <c r="J299" i="2"/>
  <c r="G302" i="2"/>
  <c r="J302" i="2"/>
  <c r="G168" i="2"/>
  <c r="J168" i="2"/>
  <c r="J248" i="2" s="1"/>
  <c r="G59" i="2"/>
  <c r="J59" i="2"/>
  <c r="G177" i="2"/>
  <c r="J177" i="2"/>
  <c r="G294" i="2"/>
  <c r="J294" i="2"/>
  <c r="F14" i="15"/>
  <c r="F13" i="15"/>
  <c r="F15" i="15"/>
  <c r="F17" i="15"/>
  <c r="F19" i="15"/>
  <c r="F21" i="15"/>
  <c r="F23" i="15"/>
  <c r="F25" i="15"/>
  <c r="F27" i="15"/>
  <c r="F29" i="15"/>
  <c r="F31" i="15"/>
  <c r="F59" i="15"/>
  <c r="F35" i="15"/>
  <c r="F35" i="2"/>
  <c r="G35" i="2" s="1"/>
  <c r="F37" i="15"/>
  <c r="F37" i="2"/>
  <c r="F39" i="15"/>
  <c r="F39" i="2"/>
  <c r="F41" i="15"/>
  <c r="F41" i="2"/>
  <c r="F43" i="15"/>
  <c r="F43" i="2"/>
  <c r="F45" i="15"/>
  <c r="F45" i="2"/>
  <c r="F47" i="15"/>
  <c r="F47" i="2"/>
  <c r="F49" i="15"/>
  <c r="F49" i="2"/>
  <c r="F51" i="15"/>
  <c r="F51" i="2"/>
  <c r="F53" i="15"/>
  <c r="F53" i="2"/>
  <c r="F55" i="15"/>
  <c r="F55" i="2"/>
  <c r="F57" i="15"/>
  <c r="F57" i="2"/>
  <c r="F61" i="15"/>
  <c r="F61" i="2"/>
  <c r="F63" i="15"/>
  <c r="F63" i="2"/>
  <c r="G63" i="2" s="1"/>
  <c r="F65" i="15"/>
  <c r="F65" i="2"/>
  <c r="F67" i="15"/>
  <c r="F67" i="2"/>
  <c r="F70" i="11"/>
  <c r="F70" i="15"/>
  <c r="F70" i="2"/>
  <c r="F72" i="11"/>
  <c r="F72" i="15"/>
  <c r="F72" i="2"/>
  <c r="F74" i="11"/>
  <c r="F74" i="15"/>
  <c r="F74" i="2"/>
  <c r="F76" i="11"/>
  <c r="F76" i="15"/>
  <c r="F76" i="2"/>
  <c r="F78" i="11"/>
  <c r="F78" i="15"/>
  <c r="F78" i="2"/>
  <c r="F80" i="11"/>
  <c r="F80" i="15"/>
  <c r="F80" i="2"/>
  <c r="F82" i="11"/>
  <c r="F82" i="15"/>
  <c r="F82" i="2"/>
  <c r="F84" i="11"/>
  <c r="F84" i="15"/>
  <c r="F84" i="2"/>
  <c r="F86" i="11"/>
  <c r="F86" i="15"/>
  <c r="F86" i="2"/>
  <c r="F89" i="13"/>
  <c r="F89" i="15"/>
  <c r="F89" i="2"/>
  <c r="F91" i="13"/>
  <c r="F91" i="15"/>
  <c r="F91" i="2"/>
  <c r="F93" i="13"/>
  <c r="F93" i="15"/>
  <c r="F93" i="2"/>
  <c r="F95" i="13"/>
  <c r="F95" i="15"/>
  <c r="F95" i="2"/>
  <c r="F98" i="11"/>
  <c r="F98" i="13"/>
  <c r="F98" i="15"/>
  <c r="F98" i="2"/>
  <c r="F100" i="13"/>
  <c r="F100" i="11"/>
  <c r="F100" i="15"/>
  <c r="F100" i="2"/>
  <c r="F102" i="13"/>
  <c r="F102" i="15"/>
  <c r="F102" i="11"/>
  <c r="F102" i="2"/>
  <c r="F104" i="11"/>
  <c r="F104" i="15"/>
  <c r="F104" i="13"/>
  <c r="F104" i="2"/>
  <c r="F107" i="13"/>
  <c r="F107" i="15"/>
  <c r="F107" i="11"/>
  <c r="F107" i="2"/>
  <c r="F109" i="13"/>
  <c r="F109" i="11"/>
  <c r="F109" i="15"/>
  <c r="F109" i="2"/>
  <c r="F111" i="13"/>
  <c r="F111" i="15"/>
  <c r="F111" i="11"/>
  <c r="F111" i="2"/>
  <c r="F113" i="13"/>
  <c r="F113" i="11"/>
  <c r="F113" i="15"/>
  <c r="F113" i="2"/>
  <c r="F115" i="13"/>
  <c r="F115" i="15"/>
  <c r="F115" i="11"/>
  <c r="F115" i="2"/>
  <c r="F117" i="13"/>
  <c r="F117" i="11"/>
  <c r="F117" i="15"/>
  <c r="F117" i="2"/>
  <c r="F119" i="13"/>
  <c r="F119" i="15"/>
  <c r="F119" i="11"/>
  <c r="F119" i="2"/>
  <c r="F121" i="11"/>
  <c r="F121" i="15"/>
  <c r="F121" i="13"/>
  <c r="F121" i="2"/>
  <c r="F123" i="13"/>
  <c r="F123" i="15"/>
  <c r="F123" i="11"/>
  <c r="F123" i="2"/>
  <c r="F125" i="13"/>
  <c r="F125" i="11"/>
  <c r="F125" i="15"/>
  <c r="F125" i="2"/>
  <c r="F13" i="18"/>
  <c r="F128" i="13"/>
  <c r="F128" i="15"/>
  <c r="F128" i="11"/>
  <c r="F128" i="2"/>
  <c r="F15" i="18"/>
  <c r="F130" i="13"/>
  <c r="F130" i="11"/>
  <c r="F130" i="15"/>
  <c r="F130" i="2"/>
  <c r="F132" i="13"/>
  <c r="F17" i="18"/>
  <c r="F132" i="15"/>
  <c r="F132" i="11"/>
  <c r="F19" i="18"/>
  <c r="F134" i="13"/>
  <c r="F134" i="11"/>
  <c r="F134" i="15"/>
  <c r="F21" i="18"/>
  <c r="F136" i="13"/>
  <c r="F136" i="15"/>
  <c r="F136" i="11"/>
  <c r="G257" i="2"/>
  <c r="G261" i="2"/>
  <c r="F72" i="18"/>
  <c r="F74" i="18"/>
  <c r="F76" i="18"/>
  <c r="F78" i="18"/>
  <c r="G186" i="21"/>
  <c r="F12" i="15"/>
  <c r="F16" i="15"/>
  <c r="F18" i="15"/>
  <c r="F20" i="15"/>
  <c r="F22" i="15"/>
  <c r="F24" i="15"/>
  <c r="F26" i="15"/>
  <c r="F28" i="15"/>
  <c r="F30" i="15"/>
  <c r="F32" i="15"/>
  <c r="F34" i="15"/>
  <c r="F34" i="2"/>
  <c r="F36" i="15"/>
  <c r="F36" i="2"/>
  <c r="F38" i="15"/>
  <c r="F38" i="2"/>
  <c r="F40" i="15"/>
  <c r="F40" i="2"/>
  <c r="F42" i="15"/>
  <c r="F42" i="2"/>
  <c r="F44" i="15"/>
  <c r="F44" i="2"/>
  <c r="F46" i="15"/>
  <c r="F46" i="2"/>
  <c r="F48" i="15"/>
  <c r="F48" i="2"/>
  <c r="F50" i="15"/>
  <c r="F50" i="2"/>
  <c r="F52" i="15"/>
  <c r="F52" i="2"/>
  <c r="F54" i="15"/>
  <c r="F54" i="2"/>
  <c r="G54" i="2" s="1"/>
  <c r="F56" i="15"/>
  <c r="F56" i="2"/>
  <c r="F58" i="15"/>
  <c r="F58" i="2"/>
  <c r="F62" i="15"/>
  <c r="F62" i="2"/>
  <c r="F64" i="15"/>
  <c r="F64" i="2"/>
  <c r="F66" i="15"/>
  <c r="F66" i="2"/>
  <c r="F68" i="15"/>
  <c r="F68" i="2"/>
  <c r="F71" i="11"/>
  <c r="F71" i="15"/>
  <c r="F71" i="2"/>
  <c r="F73" i="11"/>
  <c r="F73" i="15"/>
  <c r="F73" i="2"/>
  <c r="F75" i="11"/>
  <c r="F75" i="15"/>
  <c r="F75" i="2"/>
  <c r="F77" i="11"/>
  <c r="F77" i="15"/>
  <c r="F77" i="2"/>
  <c r="F79" i="15"/>
  <c r="F79" i="11"/>
  <c r="F79" i="2"/>
  <c r="F81" i="11"/>
  <c r="F81" i="15"/>
  <c r="F81" i="2"/>
  <c r="F83" i="15"/>
  <c r="F83" i="11"/>
  <c r="F83" i="2"/>
  <c r="F85" i="11"/>
  <c r="F85" i="15"/>
  <c r="F85" i="2"/>
  <c r="F88" i="13"/>
  <c r="F88" i="15"/>
  <c r="F88" i="2"/>
  <c r="F90" i="13"/>
  <c r="F90" i="15"/>
  <c r="F90" i="2"/>
  <c r="F92" i="13"/>
  <c r="F92" i="15"/>
  <c r="F92" i="2"/>
  <c r="F94" i="13"/>
  <c r="F94" i="15"/>
  <c r="F94" i="2"/>
  <c r="F96" i="13"/>
  <c r="F96" i="15"/>
  <c r="F96" i="2"/>
  <c r="F99" i="13"/>
  <c r="F99" i="11"/>
  <c r="F99" i="15"/>
  <c r="F99" i="2"/>
  <c r="F101" i="13"/>
  <c r="F101" i="11"/>
  <c r="F101" i="15"/>
  <c r="F101" i="2"/>
  <c r="F103" i="13"/>
  <c r="F103" i="11"/>
  <c r="F103" i="15"/>
  <c r="F103" i="2"/>
  <c r="F106" i="13"/>
  <c r="F106" i="11"/>
  <c r="F106" i="15"/>
  <c r="F106" i="2"/>
  <c r="F108" i="13"/>
  <c r="F108" i="11"/>
  <c r="F108" i="15"/>
  <c r="F108" i="2"/>
  <c r="F110" i="13"/>
  <c r="F110" i="11"/>
  <c r="F110" i="15"/>
  <c r="F110" i="2"/>
  <c r="F112" i="13"/>
  <c r="F112" i="11"/>
  <c r="F112" i="15"/>
  <c r="F112" i="2"/>
  <c r="F114" i="13"/>
  <c r="F114" i="11"/>
  <c r="F114" i="15"/>
  <c r="F114" i="2"/>
  <c r="F116" i="13"/>
  <c r="F116" i="11"/>
  <c r="F116" i="15"/>
  <c r="F118" i="13"/>
  <c r="F118" i="11"/>
  <c r="F118" i="15"/>
  <c r="F118" i="2"/>
  <c r="F120" i="13"/>
  <c r="F120" i="11"/>
  <c r="F120" i="15"/>
  <c r="F120" i="2"/>
  <c r="F122" i="13"/>
  <c r="F122" i="11"/>
  <c r="F122" i="15"/>
  <c r="F122" i="2"/>
  <c r="F124" i="13"/>
  <c r="F124" i="11"/>
  <c r="F124" i="15"/>
  <c r="F124" i="2"/>
  <c r="F127" i="13"/>
  <c r="F12" i="18"/>
  <c r="F127" i="11"/>
  <c r="F127" i="15"/>
  <c r="F127" i="2"/>
  <c r="F14" i="18"/>
  <c r="F129" i="13"/>
  <c r="F129" i="11"/>
  <c r="F129" i="15"/>
  <c r="F129" i="2"/>
  <c r="F16" i="18"/>
  <c r="F131" i="13"/>
  <c r="F131" i="11"/>
  <c r="F131" i="15"/>
  <c r="F131" i="2"/>
  <c r="F18" i="18"/>
  <c r="F133" i="13"/>
  <c r="F133" i="11"/>
  <c r="F133" i="15"/>
  <c r="F20" i="18"/>
  <c r="F135" i="13"/>
  <c r="F135" i="11"/>
  <c r="F135" i="15"/>
  <c r="F140" i="11"/>
  <c r="F140" i="15"/>
  <c r="F140" i="2"/>
  <c r="G256" i="2"/>
  <c r="G258" i="2"/>
  <c r="G54" i="18"/>
  <c r="F73" i="18"/>
  <c r="F75" i="18"/>
  <c r="F77" i="18"/>
  <c r="F79" i="18"/>
  <c r="G187" i="21"/>
  <c r="A4" i="19"/>
  <c r="E247" i="19" s="1"/>
  <c r="A2" i="19"/>
  <c r="A4" i="16"/>
  <c r="E245" i="16" s="1"/>
  <c r="J245" i="16" s="1"/>
  <c r="A2" i="16"/>
  <c r="G247" i="19" l="1"/>
  <c r="J247" i="19"/>
  <c r="U2" i="2"/>
  <c r="J383" i="2"/>
  <c r="E233" i="19"/>
  <c r="E33" i="19"/>
  <c r="E34" i="19"/>
  <c r="E143" i="16"/>
  <c r="E231" i="16"/>
  <c r="E223" i="19"/>
  <c r="E145" i="19"/>
  <c r="E364" i="16"/>
  <c r="E221" i="16"/>
  <c r="E329" i="19"/>
  <c r="E286" i="19"/>
  <c r="E284" i="19"/>
  <c r="E153" i="19"/>
  <c r="E72" i="19"/>
  <c r="E30" i="19"/>
  <c r="E12" i="19"/>
  <c r="E332" i="19"/>
  <c r="E287" i="19"/>
  <c r="E271" i="19"/>
  <c r="E330" i="19"/>
  <c r="E328" i="19"/>
  <c r="E331" i="19"/>
  <c r="E288" i="19"/>
  <c r="E283" i="19"/>
  <c r="E29" i="19"/>
  <c r="E285" i="19"/>
  <c r="E327" i="19"/>
  <c r="E277" i="19"/>
  <c r="E275" i="19"/>
  <c r="E269" i="19"/>
  <c r="E267" i="19"/>
  <c r="E262" i="19"/>
  <c r="E260" i="19"/>
  <c r="E253" i="19"/>
  <c r="E244" i="19"/>
  <c r="E235" i="19"/>
  <c r="E232" i="19"/>
  <c r="E227" i="19"/>
  <c r="E225" i="19"/>
  <c r="E164" i="19"/>
  <c r="E162" i="19"/>
  <c r="E155" i="19"/>
  <c r="E148" i="19"/>
  <c r="E146" i="19"/>
  <c r="E84" i="19"/>
  <c r="E82" i="19"/>
  <c r="E80" i="19"/>
  <c r="E74" i="19"/>
  <c r="E32" i="19"/>
  <c r="E21" i="19"/>
  <c r="E19" i="19"/>
  <c r="E14" i="19"/>
  <c r="E366" i="19"/>
  <c r="E334" i="19"/>
  <c r="E325" i="19"/>
  <c r="E323" i="19"/>
  <c r="E282" i="19"/>
  <c r="E280" i="19"/>
  <c r="E273" i="19"/>
  <c r="E265" i="19"/>
  <c r="E263" i="19"/>
  <c r="E258" i="19"/>
  <c r="E256" i="19"/>
  <c r="E246" i="19"/>
  <c r="E242" i="19"/>
  <c r="E240" i="19"/>
  <c r="E238" i="19"/>
  <c r="E230" i="19"/>
  <c r="E228" i="19"/>
  <c r="E222" i="19"/>
  <c r="E335" i="19"/>
  <c r="E324" i="19"/>
  <c r="E281" i="19"/>
  <c r="E274" i="19"/>
  <c r="E266" i="19"/>
  <c r="E255" i="19"/>
  <c r="E234" i="19"/>
  <c r="E226" i="19"/>
  <c r="E166" i="19"/>
  <c r="E161" i="19"/>
  <c r="E159" i="19"/>
  <c r="E154" i="19"/>
  <c r="E152" i="19"/>
  <c r="E149" i="19"/>
  <c r="E147" i="19"/>
  <c r="E88" i="19"/>
  <c r="E83" i="19"/>
  <c r="E77" i="19"/>
  <c r="E75" i="19"/>
  <c r="E25" i="19"/>
  <c r="E20" i="19"/>
  <c r="E18" i="19"/>
  <c r="E15" i="19"/>
  <c r="E13" i="19"/>
  <c r="E276" i="19"/>
  <c r="E268" i="19"/>
  <c r="E261" i="19"/>
  <c r="E254" i="19"/>
  <c r="E237" i="19"/>
  <c r="E165" i="19"/>
  <c r="E163" i="19"/>
  <c r="E158" i="19"/>
  <c r="E156" i="19"/>
  <c r="E151" i="19"/>
  <c r="E143" i="19"/>
  <c r="E87" i="19"/>
  <c r="E85" i="19"/>
  <c r="E27" i="19"/>
  <c r="E24" i="19"/>
  <c r="E22" i="19"/>
  <c r="E17" i="19"/>
  <c r="E279" i="19"/>
  <c r="E272" i="19"/>
  <c r="E264" i="19"/>
  <c r="J264" i="19" s="1"/>
  <c r="E257" i="19"/>
  <c r="E236" i="19"/>
  <c r="E224" i="19"/>
  <c r="E160" i="19"/>
  <c r="E76" i="19"/>
  <c r="E26" i="19"/>
  <c r="E333" i="19"/>
  <c r="E326" i="19"/>
  <c r="E278" i="19"/>
  <c r="E259" i="19"/>
  <c r="E243" i="19"/>
  <c r="E239" i="19"/>
  <c r="E231" i="19"/>
  <c r="E157" i="19"/>
  <c r="E150" i="19"/>
  <c r="E144" i="19"/>
  <c r="E142" i="19"/>
  <c r="E86" i="19"/>
  <c r="E78" i="19"/>
  <c r="E73" i="19"/>
  <c r="E28" i="19"/>
  <c r="E23" i="19"/>
  <c r="E16" i="19"/>
  <c r="E151" i="16"/>
  <c r="E286" i="16"/>
  <c r="E282" i="16"/>
  <c r="E285" i="16"/>
  <c r="E281" i="16"/>
  <c r="E269" i="16"/>
  <c r="E284" i="16"/>
  <c r="E283" i="16"/>
  <c r="E278" i="16"/>
  <c r="E274" i="16"/>
  <c r="E270" i="16"/>
  <c r="E265" i="16"/>
  <c r="J265" i="16" s="1"/>
  <c r="E261" i="16"/>
  <c r="E257" i="16"/>
  <c r="E253" i="16"/>
  <c r="E275" i="16"/>
  <c r="E258" i="16"/>
  <c r="E277" i="16"/>
  <c r="E273" i="16"/>
  <c r="E264" i="16"/>
  <c r="E260" i="16"/>
  <c r="J260" i="16" s="1"/>
  <c r="E256" i="16"/>
  <c r="E252" i="16"/>
  <c r="J252" i="16" s="1"/>
  <c r="E271" i="16"/>
  <c r="E254" i="16"/>
  <c r="E280" i="16"/>
  <c r="E276" i="16"/>
  <c r="E272" i="16"/>
  <c r="E267" i="16"/>
  <c r="J267" i="16" s="1"/>
  <c r="E263" i="16"/>
  <c r="E259" i="16"/>
  <c r="E255" i="16"/>
  <c r="E251" i="16"/>
  <c r="J251" i="16" s="1"/>
  <c r="E279" i="16"/>
  <c r="E266" i="16"/>
  <c r="E262" i="16"/>
  <c r="E161" i="16"/>
  <c r="E157" i="16"/>
  <c r="E153" i="16"/>
  <c r="E149" i="16"/>
  <c r="E145" i="16"/>
  <c r="E140" i="16"/>
  <c r="E150" i="16"/>
  <c r="E164" i="16"/>
  <c r="E160" i="16"/>
  <c r="E156" i="16"/>
  <c r="E152" i="16"/>
  <c r="E148" i="16"/>
  <c r="E144" i="16"/>
  <c r="E158" i="16"/>
  <c r="E141" i="16"/>
  <c r="E163" i="16"/>
  <c r="E159" i="16"/>
  <c r="E155" i="16"/>
  <c r="E147" i="16"/>
  <c r="E142" i="16"/>
  <c r="E162" i="16"/>
  <c r="E146" i="16"/>
  <c r="E154" i="16"/>
  <c r="E375" i="15"/>
  <c r="E332" i="15"/>
  <c r="E324" i="15"/>
  <c r="E322" i="15"/>
  <c r="G280" i="15"/>
  <c r="G278" i="15"/>
  <c r="G275" i="15"/>
  <c r="G271" i="15"/>
  <c r="G266" i="15"/>
  <c r="G264" i="15"/>
  <c r="G262" i="15"/>
  <c r="G260" i="15"/>
  <c r="G258" i="15"/>
  <c r="G256" i="15"/>
  <c r="G253" i="15"/>
  <c r="E244" i="15"/>
  <c r="E241" i="15"/>
  <c r="E238" i="15"/>
  <c r="E236" i="15"/>
  <c r="E234" i="15"/>
  <c r="E232" i="15"/>
  <c r="E229" i="15"/>
  <c r="E225" i="15"/>
  <c r="E223" i="15"/>
  <c r="E220" i="15"/>
  <c r="E164" i="15"/>
  <c r="E162" i="15"/>
  <c r="E160" i="15"/>
  <c r="E158" i="15"/>
  <c r="E156" i="15"/>
  <c r="E154" i="15"/>
  <c r="E152" i="15"/>
  <c r="E150" i="15"/>
  <c r="E142" i="15"/>
  <c r="E86" i="15"/>
  <c r="E84" i="15"/>
  <c r="E82" i="15"/>
  <c r="E80" i="15"/>
  <c r="E76" i="15"/>
  <c r="E74" i="15"/>
  <c r="E72" i="15"/>
  <c r="E32" i="15"/>
  <c r="E27" i="15"/>
  <c r="E25" i="15"/>
  <c r="E23" i="15"/>
  <c r="E21" i="15"/>
  <c r="E19" i="15"/>
  <c r="E17" i="15"/>
  <c r="E15" i="15"/>
  <c r="E13" i="15"/>
  <c r="E333" i="15"/>
  <c r="E331" i="15"/>
  <c r="E325" i="15"/>
  <c r="E323" i="15"/>
  <c r="E321" i="15"/>
  <c r="G279" i="15"/>
  <c r="G276" i="15"/>
  <c r="G274" i="15"/>
  <c r="G270" i="15"/>
  <c r="G265" i="15"/>
  <c r="G263" i="15"/>
  <c r="G261" i="15"/>
  <c r="G259" i="15"/>
  <c r="G257" i="15"/>
  <c r="G255" i="15"/>
  <c r="E242" i="15"/>
  <c r="E240" i="15"/>
  <c r="E237" i="15"/>
  <c r="E235" i="15"/>
  <c r="E233" i="15"/>
  <c r="E230" i="15"/>
  <c r="E228" i="15"/>
  <c r="E226" i="15"/>
  <c r="E224" i="15"/>
  <c r="E222" i="15"/>
  <c r="E163" i="15"/>
  <c r="E161" i="15"/>
  <c r="E159" i="15"/>
  <c r="E157" i="15"/>
  <c r="E155" i="15"/>
  <c r="E153" i="15"/>
  <c r="G151" i="15"/>
  <c r="E144" i="15"/>
  <c r="E140" i="15"/>
  <c r="E85" i="15"/>
  <c r="E83" i="15"/>
  <c r="E81" i="15"/>
  <c r="E78" i="15"/>
  <c r="E75" i="15"/>
  <c r="E73" i="15"/>
  <c r="E71" i="15"/>
  <c r="E28" i="15"/>
  <c r="E26" i="15"/>
  <c r="E24" i="15"/>
  <c r="E22" i="15"/>
  <c r="E20" i="15"/>
  <c r="E18" i="15"/>
  <c r="E16" i="15"/>
  <c r="E14" i="15"/>
  <c r="E332" i="16"/>
  <c r="E324" i="16"/>
  <c r="E322" i="16"/>
  <c r="E242" i="16"/>
  <c r="E240" i="16"/>
  <c r="E237" i="16"/>
  <c r="E235" i="16"/>
  <c r="E233" i="16"/>
  <c r="E230" i="16"/>
  <c r="E228" i="16"/>
  <c r="E226" i="16"/>
  <c r="E224" i="16"/>
  <c r="E222" i="16"/>
  <c r="E333" i="16"/>
  <c r="E331" i="16"/>
  <c r="E325" i="16"/>
  <c r="E323" i="16"/>
  <c r="E321" i="16"/>
  <c r="G251" i="16"/>
  <c r="E244" i="16"/>
  <c r="E241" i="16"/>
  <c r="E238" i="16"/>
  <c r="E236" i="16"/>
  <c r="E234" i="16"/>
  <c r="E232" i="16"/>
  <c r="E229" i="16"/>
  <c r="E225" i="16"/>
  <c r="E223" i="16"/>
  <c r="E220" i="16"/>
  <c r="E85" i="16"/>
  <c r="E83" i="16"/>
  <c r="E81" i="16"/>
  <c r="E78" i="16"/>
  <c r="E75" i="16"/>
  <c r="E73" i="16"/>
  <c r="E71" i="16"/>
  <c r="E32" i="16"/>
  <c r="E27" i="16"/>
  <c r="E25" i="16"/>
  <c r="E23" i="16"/>
  <c r="E21" i="16"/>
  <c r="E19" i="16"/>
  <c r="E17" i="16"/>
  <c r="E15" i="16"/>
  <c r="E13" i="16"/>
  <c r="E86" i="16"/>
  <c r="E84" i="16"/>
  <c r="E82" i="16"/>
  <c r="E80" i="16"/>
  <c r="E76" i="16"/>
  <c r="E74" i="16"/>
  <c r="E72" i="16"/>
  <c r="E28" i="16"/>
  <c r="E26" i="16"/>
  <c r="E24" i="16"/>
  <c r="E22" i="16"/>
  <c r="E20" i="16"/>
  <c r="E18" i="16"/>
  <c r="E16" i="16"/>
  <c r="E14" i="16"/>
  <c r="E330" i="15"/>
  <c r="E328" i="15"/>
  <c r="E326" i="15"/>
  <c r="G282" i="15"/>
  <c r="G269" i="15"/>
  <c r="E70" i="15"/>
  <c r="E29" i="15"/>
  <c r="E329" i="15"/>
  <c r="E327" i="15"/>
  <c r="G297" i="15"/>
  <c r="G286" i="15"/>
  <c r="G281" i="15"/>
  <c r="E30" i="15"/>
  <c r="E12" i="15"/>
  <c r="E330" i="16"/>
  <c r="E328" i="16"/>
  <c r="E326" i="16"/>
  <c r="E329" i="16"/>
  <c r="E327" i="16"/>
  <c r="E29" i="16"/>
  <c r="E70" i="16"/>
  <c r="E30" i="16"/>
  <c r="E12" i="16"/>
  <c r="G223" i="21"/>
  <c r="G218" i="21"/>
  <c r="G212" i="21"/>
  <c r="G206" i="21"/>
  <c r="G204" i="21"/>
  <c r="G174" i="21"/>
  <c r="G168" i="21"/>
  <c r="G164" i="21"/>
  <c r="G160" i="21"/>
  <c r="G148" i="21"/>
  <c r="G116" i="21"/>
  <c r="G51" i="21"/>
  <c r="G43" i="21"/>
  <c r="G31" i="21"/>
  <c r="G23" i="21"/>
  <c r="G17" i="21"/>
  <c r="G13" i="21"/>
  <c r="G441" i="11"/>
  <c r="G435" i="13"/>
  <c r="G433" i="11"/>
  <c r="G431" i="13"/>
  <c r="G425" i="11"/>
  <c r="G423" i="11"/>
  <c r="G421" i="13"/>
  <c r="G419" i="13"/>
  <c r="G415" i="13"/>
  <c r="G413" i="13"/>
  <c r="G409" i="13"/>
  <c r="G407" i="13"/>
  <c r="G399" i="11"/>
  <c r="G385" i="13"/>
  <c r="G79" i="18"/>
  <c r="G379" i="2"/>
  <c r="G451" i="11"/>
  <c r="G451" i="13"/>
  <c r="G238" i="21"/>
  <c r="G375" i="2"/>
  <c r="G376" i="15"/>
  <c r="G234" i="21"/>
  <c r="G364" i="2"/>
  <c r="G442" i="13"/>
  <c r="G66" i="18"/>
  <c r="G56" i="18"/>
  <c r="G41" i="18"/>
  <c r="G39" i="18"/>
  <c r="G34" i="18"/>
  <c r="G28" i="18"/>
  <c r="G229" i="21"/>
  <c r="G225" i="21"/>
  <c r="G222" i="21"/>
  <c r="G214" i="21"/>
  <c r="G210" i="21"/>
  <c r="G202" i="21"/>
  <c r="G199" i="21"/>
  <c r="G197" i="21"/>
  <c r="G195" i="21"/>
  <c r="G191" i="21"/>
  <c r="G184" i="21"/>
  <c r="G176" i="21"/>
  <c r="G172" i="21"/>
  <c r="G166" i="21"/>
  <c r="G162" i="21"/>
  <c r="G155" i="21"/>
  <c r="G145" i="21"/>
  <c r="G140" i="21"/>
  <c r="G135" i="21"/>
  <c r="G131" i="21"/>
  <c r="G53" i="21"/>
  <c r="G49" i="21"/>
  <c r="G45" i="21"/>
  <c r="G41" i="21"/>
  <c r="G37" i="21"/>
  <c r="G33" i="21"/>
  <c r="G29" i="21"/>
  <c r="G25" i="21"/>
  <c r="G21" i="21"/>
  <c r="G19" i="21"/>
  <c r="G15" i="21"/>
  <c r="G441" i="13"/>
  <c r="G437" i="11"/>
  <c r="G435" i="11"/>
  <c r="G433" i="13"/>
  <c r="G431" i="11"/>
  <c r="G429" i="13"/>
  <c r="G427" i="11"/>
  <c r="G425" i="13"/>
  <c r="G423" i="13"/>
  <c r="G421" i="11"/>
  <c r="G417" i="11"/>
  <c r="G417" i="13"/>
  <c r="G411" i="11"/>
  <c r="G411" i="13"/>
  <c r="G402" i="13"/>
  <c r="G397" i="11"/>
  <c r="G397" i="13"/>
  <c r="G395" i="11"/>
  <c r="G395" i="13"/>
  <c r="G393" i="11"/>
  <c r="G391" i="11"/>
  <c r="G391" i="13"/>
  <c r="G389" i="11"/>
  <c r="G387" i="11"/>
  <c r="G381" i="2"/>
  <c r="G382" i="15"/>
  <c r="G453" i="13"/>
  <c r="G453" i="11"/>
  <c r="G240" i="21"/>
  <c r="G380" i="15"/>
  <c r="G77" i="18"/>
  <c r="G377" i="2"/>
  <c r="G449" i="13"/>
  <c r="G378" i="15"/>
  <c r="G449" i="11"/>
  <c r="G75" i="18"/>
  <c r="G236" i="21"/>
  <c r="G447" i="11"/>
  <c r="G447" i="13"/>
  <c r="G443" i="11"/>
  <c r="G26" i="18"/>
  <c r="G24" i="18"/>
  <c r="G359" i="15"/>
  <c r="G376" i="11"/>
  <c r="G357" i="15"/>
  <c r="G376" i="13"/>
  <c r="G355" i="15"/>
  <c r="G352" i="2"/>
  <c r="G352" i="15"/>
  <c r="G371" i="11"/>
  <c r="G371" i="13"/>
  <c r="G352" i="16"/>
  <c r="G350" i="2"/>
  <c r="G350" i="15"/>
  <c r="G350" i="16"/>
  <c r="G348" i="2"/>
  <c r="G348" i="16"/>
  <c r="G346" i="15"/>
  <c r="G365" i="11"/>
  <c r="G365" i="13"/>
  <c r="G344" i="2"/>
  <c r="G344" i="16"/>
  <c r="G342" i="16"/>
  <c r="G340" i="2"/>
  <c r="G340" i="15"/>
  <c r="G359" i="11"/>
  <c r="G359" i="13"/>
  <c r="G340" i="16"/>
  <c r="G338" i="15"/>
  <c r="G336" i="15"/>
  <c r="G355" i="11"/>
  <c r="G355" i="13"/>
  <c r="G336" i="16"/>
  <c r="G333" i="2"/>
  <c r="G329" i="2"/>
  <c r="G327" i="2"/>
  <c r="G323" i="2"/>
  <c r="G337" i="11"/>
  <c r="G337" i="13"/>
  <c r="G318" i="16"/>
  <c r="G316" i="2"/>
  <c r="G335" i="11"/>
  <c r="G314" i="15"/>
  <c r="G314" i="16"/>
  <c r="G288" i="2"/>
  <c r="G286" i="2"/>
  <c r="G281" i="2"/>
  <c r="G276" i="2"/>
  <c r="G270" i="2"/>
  <c r="G265" i="2"/>
  <c r="G246" i="2"/>
  <c r="G246" i="13"/>
  <c r="G246" i="16"/>
  <c r="G244" i="2"/>
  <c r="G240" i="2"/>
  <c r="G238" i="2"/>
  <c r="G234" i="2"/>
  <c r="G229" i="2"/>
  <c r="G227" i="11"/>
  <c r="G227" i="16"/>
  <c r="G227" i="13"/>
  <c r="G225" i="2"/>
  <c r="G220" i="2"/>
  <c r="G217" i="2"/>
  <c r="G217" i="11"/>
  <c r="G217" i="13"/>
  <c r="G215" i="11"/>
  <c r="G215" i="15"/>
  <c r="G215" i="13"/>
  <c r="G213" i="2"/>
  <c r="G213" i="11"/>
  <c r="G211" i="15"/>
  <c r="G208" i="2"/>
  <c r="G204" i="2"/>
  <c r="G204" i="15"/>
  <c r="G204" i="13"/>
  <c r="G204" i="16"/>
  <c r="G202" i="2"/>
  <c r="G198" i="2"/>
  <c r="G194" i="13"/>
  <c r="G194" i="15"/>
  <c r="G194" i="11"/>
  <c r="G192" i="2"/>
  <c r="G192" i="13"/>
  <c r="G192" i="16"/>
  <c r="G192" i="15"/>
  <c r="G192" i="11"/>
  <c r="G188" i="2"/>
  <c r="G184" i="2"/>
  <c r="G180" i="2"/>
  <c r="G175" i="2"/>
  <c r="G171" i="2"/>
  <c r="G166" i="2"/>
  <c r="G161" i="2"/>
  <c r="G157" i="2"/>
  <c r="G153" i="2"/>
  <c r="G149" i="2"/>
  <c r="G144" i="2"/>
  <c r="G135" i="11"/>
  <c r="G135" i="13"/>
  <c r="G135" i="16"/>
  <c r="G20" i="18"/>
  <c r="G133" i="13"/>
  <c r="G133" i="16"/>
  <c r="G18" i="18"/>
  <c r="G131" i="2"/>
  <c r="G131" i="11"/>
  <c r="G131" i="13"/>
  <c r="G131" i="16"/>
  <c r="G16" i="18"/>
  <c r="G129" i="2"/>
  <c r="G129" i="11"/>
  <c r="G129" i="13"/>
  <c r="G14" i="18"/>
  <c r="G127" i="15"/>
  <c r="G124" i="2"/>
  <c r="G124" i="16"/>
  <c r="G122" i="2"/>
  <c r="G122" i="15"/>
  <c r="G122" i="11"/>
  <c r="G120" i="2"/>
  <c r="G120" i="11"/>
  <c r="G120" i="16"/>
  <c r="G120" i="13"/>
  <c r="G118" i="2"/>
  <c r="G118" i="16"/>
  <c r="G118" i="11"/>
  <c r="G116" i="2"/>
  <c r="G116" i="11"/>
  <c r="G116" i="16"/>
  <c r="G116" i="13"/>
  <c r="G114" i="2"/>
  <c r="G114" i="15"/>
  <c r="G114" i="13"/>
  <c r="G112" i="2"/>
  <c r="G112" i="16"/>
  <c r="G112" i="13"/>
  <c r="G110" i="2"/>
  <c r="G110" i="15"/>
  <c r="G110" i="16"/>
  <c r="G108" i="2"/>
  <c r="G108" i="11"/>
  <c r="G108" i="13"/>
  <c r="G108" i="16"/>
  <c r="G106" i="2"/>
  <c r="G106" i="11"/>
  <c r="G106" i="16"/>
  <c r="G106" i="13"/>
  <c r="G103" i="2"/>
  <c r="G103" i="11"/>
  <c r="G103" i="13"/>
  <c r="G101" i="15"/>
  <c r="G101" i="11"/>
  <c r="G101" i="16"/>
  <c r="G99" i="2"/>
  <c r="G99" i="11"/>
  <c r="G99" i="13"/>
  <c r="G96" i="2"/>
  <c r="G96" i="15"/>
  <c r="G96" i="11"/>
  <c r="G96" i="13"/>
  <c r="G96" i="16"/>
  <c r="G92" i="2"/>
  <c r="G92" i="11"/>
  <c r="G92" i="13"/>
  <c r="G92" i="16"/>
  <c r="G90" i="2"/>
  <c r="G90" i="15"/>
  <c r="G88" i="15"/>
  <c r="G88" i="11"/>
  <c r="G88" i="13"/>
  <c r="G88" i="16"/>
  <c r="G85" i="2"/>
  <c r="G81" i="2"/>
  <c r="G79" i="15"/>
  <c r="G79" i="13"/>
  <c r="G79" i="16"/>
  <c r="G77" i="2"/>
  <c r="G77" i="11"/>
  <c r="G77" i="16"/>
  <c r="G73" i="2"/>
  <c r="G68" i="2"/>
  <c r="G66" i="2"/>
  <c r="G66" i="15"/>
  <c r="G66" i="13"/>
  <c r="G64" i="2"/>
  <c r="G64" i="13"/>
  <c r="G64" i="11"/>
  <c r="G62" i="11"/>
  <c r="G62" i="16"/>
  <c r="G58" i="2"/>
  <c r="G50" i="2"/>
  <c r="G46" i="2"/>
  <c r="G44" i="2"/>
  <c r="G42" i="2"/>
  <c r="G38" i="2"/>
  <c r="G34" i="2"/>
  <c r="G34" i="15"/>
  <c r="G34" i="16"/>
  <c r="G32" i="2"/>
  <c r="G28" i="2"/>
  <c r="G24" i="2"/>
  <c r="G20" i="2"/>
  <c r="G16" i="2"/>
  <c r="G228" i="21"/>
  <c r="G221" i="21"/>
  <c r="G217" i="21"/>
  <c r="G213" i="21"/>
  <c r="G209" i="21"/>
  <c r="G205" i="21"/>
  <c r="G201" i="21"/>
  <c r="G198" i="21"/>
  <c r="G194" i="21"/>
  <c r="G190" i="21"/>
  <c r="G179" i="21"/>
  <c r="G175" i="21"/>
  <c r="G171" i="21"/>
  <c r="G169" i="21"/>
  <c r="G165" i="21"/>
  <c r="G161" i="21"/>
  <c r="G149" i="21"/>
  <c r="G139" i="21"/>
  <c r="G130" i="21"/>
  <c r="G117" i="21"/>
  <c r="G48" i="21"/>
  <c r="G44" i="21"/>
  <c r="G40" i="21"/>
  <c r="G32" i="21"/>
  <c r="G28" i="21"/>
  <c r="G24" i="21"/>
  <c r="G18" i="21"/>
  <c r="G14" i="21"/>
  <c r="G440" i="13"/>
  <c r="G438" i="11"/>
  <c r="G436" i="13"/>
  <c r="G432" i="13"/>
  <c r="G432" i="11"/>
  <c r="G428" i="11"/>
  <c r="G424" i="13"/>
  <c r="G422" i="13"/>
  <c r="G420" i="11"/>
  <c r="G418" i="13"/>
  <c r="G414" i="11"/>
  <c r="G412" i="11"/>
  <c r="G410" i="11"/>
  <c r="G408" i="11"/>
  <c r="G408" i="13"/>
  <c r="G406" i="11"/>
  <c r="G406" i="13"/>
  <c r="G403" i="11"/>
  <c r="G403" i="13"/>
  <c r="G400" i="13"/>
  <c r="G396" i="13"/>
  <c r="G394" i="11"/>
  <c r="G392" i="11"/>
  <c r="G392" i="13"/>
  <c r="G390" i="13"/>
  <c r="G388" i="13"/>
  <c r="G388" i="11"/>
  <c r="G386" i="11"/>
  <c r="G386" i="13"/>
  <c r="G384" i="13"/>
  <c r="G380" i="2"/>
  <c r="G381" i="15"/>
  <c r="G379" i="15"/>
  <c r="G450" i="11"/>
  <c r="G450" i="13"/>
  <c r="G76" i="18"/>
  <c r="G237" i="21"/>
  <c r="G376" i="2"/>
  <c r="G74" i="18"/>
  <c r="G446" i="11"/>
  <c r="G233" i="21"/>
  <c r="G443" i="13"/>
  <c r="G25" i="18"/>
  <c r="G381" i="13"/>
  <c r="G381" i="11"/>
  <c r="G360" i="15"/>
  <c r="G356" i="15"/>
  <c r="G375" i="11"/>
  <c r="G353" i="2"/>
  <c r="G372" i="11"/>
  <c r="G372" i="13"/>
  <c r="G351" i="2"/>
  <c r="G370" i="13"/>
  <c r="G370" i="11"/>
  <c r="G349" i="2"/>
  <c r="G368" i="11"/>
  <c r="G347" i="2"/>
  <c r="G347" i="15"/>
  <c r="G366" i="13"/>
  <c r="G366" i="11"/>
  <c r="G364" i="11"/>
  <c r="G345" i="16"/>
  <c r="G343" i="2"/>
  <c r="G343" i="15"/>
  <c r="G362" i="13"/>
  <c r="G343" i="16"/>
  <c r="G341" i="2"/>
  <c r="G341" i="16"/>
  <c r="G360" i="11"/>
  <c r="G339" i="15"/>
  <c r="G358" i="13"/>
  <c r="G337" i="2"/>
  <c r="G356" i="11"/>
  <c r="G337" i="16"/>
  <c r="G354" i="13"/>
  <c r="G332" i="2"/>
  <c r="G328" i="2"/>
  <c r="G324" i="2"/>
  <c r="G319" i="2"/>
  <c r="G338" i="13"/>
  <c r="G317" i="2"/>
  <c r="G317" i="15"/>
  <c r="G336" i="11"/>
  <c r="G317" i="16"/>
  <c r="G315" i="2"/>
  <c r="G334" i="13"/>
  <c r="G332" i="13"/>
  <c r="G305" i="15"/>
  <c r="G285" i="15"/>
  <c r="G278" i="2"/>
  <c r="G271" i="2"/>
  <c r="G266" i="2"/>
  <c r="G245" i="15"/>
  <c r="G245" i="16"/>
  <c r="G243" i="16"/>
  <c r="G243" i="15"/>
  <c r="G241" i="2"/>
  <c r="G239" i="2"/>
  <c r="G239" i="11"/>
  <c r="G239" i="15"/>
  <c r="G235" i="2"/>
  <c r="G230" i="2"/>
  <c r="G226" i="2"/>
  <c r="G222" i="2"/>
  <c r="G218" i="13"/>
  <c r="G216" i="2"/>
  <c r="G216" i="11"/>
  <c r="G216" i="13"/>
  <c r="G216" i="16"/>
  <c r="G214" i="15"/>
  <c r="G214" i="11"/>
  <c r="G214" i="16"/>
  <c r="G214" i="13"/>
  <c r="G212" i="11"/>
  <c r="G212" i="16"/>
  <c r="G210" i="13"/>
  <c r="G210" i="16"/>
  <c r="G205" i="15"/>
  <c r="G205" i="13"/>
  <c r="G205" i="16"/>
  <c r="G203" i="2"/>
  <c r="G203" i="15"/>
  <c r="G203" i="13"/>
  <c r="G199" i="2"/>
  <c r="G195" i="2"/>
  <c r="G195" i="11"/>
  <c r="G195" i="13"/>
  <c r="G195" i="16"/>
  <c r="G193" i="11"/>
  <c r="G193" i="16"/>
  <c r="G189" i="2"/>
  <c r="G185" i="2"/>
  <c r="G183" i="2"/>
  <c r="G183" i="16"/>
  <c r="G181" i="2"/>
  <c r="G176" i="2"/>
  <c r="G172" i="2"/>
  <c r="G162" i="2"/>
  <c r="G158" i="2"/>
  <c r="G154" i="2"/>
  <c r="G150" i="2"/>
  <c r="G136" i="15"/>
  <c r="G136" i="13"/>
  <c r="G21" i="18"/>
  <c r="G134" i="16"/>
  <c r="G132" i="11"/>
  <c r="G132" i="16"/>
  <c r="G132" i="13"/>
  <c r="G130" i="2"/>
  <c r="G130" i="15"/>
  <c r="G130" i="11"/>
  <c r="G130" i="16"/>
  <c r="G128" i="11"/>
  <c r="G128" i="16"/>
  <c r="G128" i="13"/>
  <c r="G13" i="18"/>
  <c r="G125" i="15"/>
  <c r="G125" i="11"/>
  <c r="G125" i="13"/>
  <c r="G125" i="16"/>
  <c r="G123" i="2"/>
  <c r="G123" i="13"/>
  <c r="G121" i="13"/>
  <c r="G119" i="2"/>
  <c r="G119" i="15"/>
  <c r="G119" i="13"/>
  <c r="G119" i="16"/>
  <c r="G117" i="15"/>
  <c r="G117" i="11"/>
  <c r="G115" i="2"/>
  <c r="G115" i="15"/>
  <c r="G115" i="13"/>
  <c r="G115" i="16"/>
  <c r="G113" i="15"/>
  <c r="G113" i="11"/>
  <c r="G111" i="2"/>
  <c r="G111" i="13"/>
  <c r="G109" i="13"/>
  <c r="G107" i="2"/>
  <c r="G107" i="15"/>
  <c r="G107" i="16"/>
  <c r="G107" i="13"/>
  <c r="G104" i="13"/>
  <c r="G104" i="16"/>
  <c r="G102" i="2"/>
  <c r="G102" i="11"/>
  <c r="G102" i="16"/>
  <c r="G100" i="15"/>
  <c r="G100" i="11"/>
  <c r="G98" i="2"/>
  <c r="G95" i="11"/>
  <c r="G93" i="2"/>
  <c r="G91" i="15"/>
  <c r="G91" i="11"/>
  <c r="G91" i="16"/>
  <c r="G89" i="2"/>
  <c r="G86" i="2"/>
  <c r="G82" i="2"/>
  <c r="G78" i="2"/>
  <c r="G76" i="2"/>
  <c r="G72" i="2"/>
  <c r="G67" i="13"/>
  <c r="G65" i="2"/>
  <c r="G65" i="11"/>
  <c r="G65" i="13"/>
  <c r="G65" i="16"/>
  <c r="G63" i="11"/>
  <c r="G63" i="15"/>
  <c r="G61" i="2"/>
  <c r="G61" i="11"/>
  <c r="G61" i="13"/>
  <c r="G61" i="16"/>
  <c r="G57" i="2"/>
  <c r="G53" i="2"/>
  <c r="G49" i="2"/>
  <c r="G45" i="15"/>
  <c r="G45" i="11"/>
  <c r="G43" i="2"/>
  <c r="G43" i="15"/>
  <c r="G41" i="2"/>
  <c r="G37" i="2"/>
  <c r="G35" i="13"/>
  <c r="G59" i="15"/>
  <c r="G31" i="16"/>
  <c r="G31" i="11"/>
  <c r="G29" i="2"/>
  <c r="G25" i="2"/>
  <c r="G21" i="2"/>
  <c r="G17" i="2"/>
  <c r="G13" i="2"/>
  <c r="G14" i="2"/>
  <c r="G220" i="21"/>
  <c r="G216" i="21"/>
  <c r="G208" i="21"/>
  <c r="G193" i="21"/>
  <c r="G189" i="21"/>
  <c r="G178" i="21"/>
  <c r="G170" i="21"/>
  <c r="G143" i="21"/>
  <c r="G118" i="21"/>
  <c r="G47" i="21"/>
  <c r="G39" i="21"/>
  <c r="G35" i="21"/>
  <c r="G27" i="21"/>
  <c r="G439" i="13"/>
  <c r="G444" i="13" s="1"/>
  <c r="T5" i="13" s="1"/>
  <c r="G439" i="11"/>
  <c r="G437" i="13"/>
  <c r="G429" i="11"/>
  <c r="G427" i="13"/>
  <c r="G419" i="11"/>
  <c r="G415" i="11"/>
  <c r="G413" i="11"/>
  <c r="G409" i="11"/>
  <c r="G407" i="11"/>
  <c r="G404" i="11"/>
  <c r="G404" i="13"/>
  <c r="G399" i="13"/>
  <c r="G393" i="13"/>
  <c r="G389" i="13"/>
  <c r="G387" i="13"/>
  <c r="G385" i="11"/>
  <c r="G73" i="18"/>
  <c r="G64" i="18"/>
  <c r="G62" i="18"/>
  <c r="G60" i="18"/>
  <c r="G58" i="18"/>
  <c r="G51" i="18"/>
  <c r="G49" i="18"/>
  <c r="G47" i="18"/>
  <c r="G45" i="18"/>
  <c r="G43" i="18"/>
  <c r="G37" i="18"/>
  <c r="G32" i="18"/>
  <c r="G30" i="18"/>
  <c r="G380" i="11"/>
  <c r="G361" i="15"/>
  <c r="G380" i="13"/>
  <c r="G378" i="11"/>
  <c r="G378" i="13"/>
  <c r="G374" i="11"/>
  <c r="G374" i="13"/>
  <c r="G355" i="16"/>
  <c r="G369" i="11"/>
  <c r="G369" i="13"/>
  <c r="G348" i="15"/>
  <c r="G367" i="11"/>
  <c r="G367" i="13"/>
  <c r="G346" i="2"/>
  <c r="G346" i="16"/>
  <c r="G344" i="15"/>
  <c r="G363" i="11"/>
  <c r="G363" i="13"/>
  <c r="G342" i="2"/>
  <c r="G342" i="15"/>
  <c r="G361" i="11"/>
  <c r="G361" i="13"/>
  <c r="G338" i="2"/>
  <c r="G357" i="11"/>
  <c r="G357" i="13"/>
  <c r="G338" i="16"/>
  <c r="G336" i="2"/>
  <c r="G331" i="2"/>
  <c r="G325" i="2"/>
  <c r="G321" i="2"/>
  <c r="G318" i="2"/>
  <c r="G318" i="15"/>
  <c r="G316" i="15"/>
  <c r="G335" i="13"/>
  <c r="G316" i="16"/>
  <c r="G314" i="2"/>
  <c r="G333" i="11"/>
  <c r="G333" i="13"/>
  <c r="G304" i="15"/>
  <c r="G279" i="2"/>
  <c r="G274" i="2"/>
  <c r="G268" i="2"/>
  <c r="G267" i="2"/>
  <c r="G262" i="2"/>
  <c r="G246" i="11"/>
  <c r="G246" i="15"/>
  <c r="G242" i="2"/>
  <c r="G236" i="2"/>
  <c r="G232" i="2"/>
  <c r="G227" i="2"/>
  <c r="G227" i="15"/>
  <c r="G223" i="2"/>
  <c r="G217" i="15"/>
  <c r="G217" i="16"/>
  <c r="G215" i="2"/>
  <c r="G215" i="16"/>
  <c r="G213" i="15"/>
  <c r="G213" i="16"/>
  <c r="G213" i="13"/>
  <c r="G211" i="2"/>
  <c r="G211" i="11"/>
  <c r="G211" i="16"/>
  <c r="G211" i="13"/>
  <c r="G206" i="2"/>
  <c r="G204" i="11"/>
  <c r="G200" i="2"/>
  <c r="G196" i="2"/>
  <c r="G194" i="2"/>
  <c r="G194" i="16"/>
  <c r="G190" i="2"/>
  <c r="G186" i="2"/>
  <c r="G184" i="15"/>
  <c r="G184" i="13"/>
  <c r="G184" i="11"/>
  <c r="G184" i="16"/>
  <c r="G182" i="2"/>
  <c r="G178" i="2"/>
  <c r="G173" i="2"/>
  <c r="G169" i="2"/>
  <c r="G163" i="2"/>
  <c r="G159" i="2"/>
  <c r="G155" i="2"/>
  <c r="G151" i="2"/>
  <c r="G248" i="2" s="1"/>
  <c r="G147" i="2"/>
  <c r="G140" i="2"/>
  <c r="G135" i="2"/>
  <c r="G135" i="15"/>
  <c r="G133" i="2"/>
  <c r="G133" i="15"/>
  <c r="G133" i="11"/>
  <c r="G131" i="15"/>
  <c r="G129" i="15"/>
  <c r="G129" i="16"/>
  <c r="G127" i="2"/>
  <c r="G127" i="11"/>
  <c r="G12" i="18"/>
  <c r="G127" i="13"/>
  <c r="G127" i="16"/>
  <c r="G124" i="15"/>
  <c r="G124" i="11"/>
  <c r="G124" i="13"/>
  <c r="G122" i="16"/>
  <c r="G122" i="13"/>
  <c r="G120" i="15"/>
  <c r="G118" i="15"/>
  <c r="G118" i="13"/>
  <c r="G116" i="15"/>
  <c r="G114" i="11"/>
  <c r="G114" i="16"/>
  <c r="G112" i="15"/>
  <c r="G112" i="11"/>
  <c r="G110" i="11"/>
  <c r="G110" i="13"/>
  <c r="G108" i="15"/>
  <c r="G106" i="15"/>
  <c r="G103" i="15"/>
  <c r="G103" i="16"/>
  <c r="G101" i="2"/>
  <c r="G101" i="13"/>
  <c r="G99" i="15"/>
  <c r="G99" i="16"/>
  <c r="G94" i="2"/>
  <c r="G94" i="15"/>
  <c r="G94" i="11"/>
  <c r="G94" i="13"/>
  <c r="G94" i="16"/>
  <c r="G92" i="15"/>
  <c r="G90" i="11"/>
  <c r="G90" i="13"/>
  <c r="G90" i="16"/>
  <c r="G88" i="2"/>
  <c r="G83" i="2"/>
  <c r="G79" i="2"/>
  <c r="G79" i="11"/>
  <c r="G77" i="15"/>
  <c r="G77" i="13"/>
  <c r="G75" i="2"/>
  <c r="G71" i="2"/>
  <c r="G68" i="15"/>
  <c r="G68" i="11"/>
  <c r="G68" i="13"/>
  <c r="G68" i="16"/>
  <c r="G66" i="11"/>
  <c r="G66" i="16"/>
  <c r="G64" i="15"/>
  <c r="G64" i="16"/>
  <c r="G62" i="2"/>
  <c r="G62" i="15"/>
  <c r="G62" i="13"/>
  <c r="G56" i="2"/>
  <c r="G52" i="2"/>
  <c r="G48" i="2"/>
  <c r="G40" i="2"/>
  <c r="G36" i="2"/>
  <c r="G34" i="11"/>
  <c r="G34" i="13"/>
  <c r="G30" i="2"/>
  <c r="G26" i="2"/>
  <c r="G22" i="2"/>
  <c r="G18" i="2"/>
  <c r="G12" i="2"/>
  <c r="G226" i="21"/>
  <c r="G224" i="21"/>
  <c r="G219" i="21"/>
  <c r="G215" i="21"/>
  <c r="G211" i="21"/>
  <c r="G207" i="21"/>
  <c r="G203" i="21"/>
  <c r="G196" i="21"/>
  <c r="G192" i="21"/>
  <c r="G188" i="21"/>
  <c r="G177" i="21"/>
  <c r="G173" i="21"/>
  <c r="G167" i="21"/>
  <c r="G163" i="21"/>
  <c r="G156" i="21"/>
  <c r="G146" i="21"/>
  <c r="G144" i="21"/>
  <c r="G141" i="21"/>
  <c r="G132" i="21"/>
  <c r="G122" i="21"/>
  <c r="G119" i="21"/>
  <c r="G115" i="21"/>
  <c r="G54" i="21"/>
  <c r="G52" i="21"/>
  <c r="G50" i="21"/>
  <c r="G46" i="21"/>
  <c r="G42" i="21"/>
  <c r="G38" i="21"/>
  <c r="G36" i="21"/>
  <c r="G34" i="21"/>
  <c r="G30" i="21"/>
  <c r="G26" i="21"/>
  <c r="G22" i="21"/>
  <c r="G20" i="21"/>
  <c r="G16" i="21"/>
  <c r="G12" i="21"/>
  <c r="G440" i="11"/>
  <c r="G438" i="13"/>
  <c r="G436" i="11"/>
  <c r="G434" i="13"/>
  <c r="G434" i="11"/>
  <c r="G430" i="13"/>
  <c r="G430" i="11"/>
  <c r="G428" i="13"/>
  <c r="G426" i="13"/>
  <c r="G426" i="11"/>
  <c r="G424" i="11"/>
  <c r="G422" i="11"/>
  <c r="G420" i="13"/>
  <c r="G418" i="11"/>
  <c r="G416" i="11"/>
  <c r="G416" i="13"/>
  <c r="G414" i="13"/>
  <c r="G412" i="13"/>
  <c r="G410" i="13"/>
  <c r="G400" i="11"/>
  <c r="G398" i="11"/>
  <c r="G398" i="13"/>
  <c r="G396" i="11"/>
  <c r="G394" i="13"/>
  <c r="G390" i="11"/>
  <c r="G384" i="11"/>
  <c r="G452" i="11"/>
  <c r="G452" i="13"/>
  <c r="G78" i="18"/>
  <c r="G239" i="21"/>
  <c r="G378" i="2"/>
  <c r="G377" i="15"/>
  <c r="G448" i="11"/>
  <c r="G448" i="13"/>
  <c r="G235" i="21"/>
  <c r="G374" i="2"/>
  <c r="G72" i="18"/>
  <c r="G442" i="11"/>
  <c r="G65" i="18"/>
  <c r="G63" i="18"/>
  <c r="G61" i="18"/>
  <c r="G59" i="18"/>
  <c r="G57" i="18"/>
  <c r="G55" i="18"/>
  <c r="G52" i="18"/>
  <c r="G50" i="18"/>
  <c r="G48" i="18"/>
  <c r="G46" i="18"/>
  <c r="G44" i="18"/>
  <c r="G42" i="18"/>
  <c r="G40" i="18"/>
  <c r="G38" i="18"/>
  <c r="G35" i="18"/>
  <c r="G33" i="18"/>
  <c r="G31" i="18"/>
  <c r="G29" i="18"/>
  <c r="G27" i="18"/>
  <c r="G379" i="11"/>
  <c r="G379" i="13"/>
  <c r="G358" i="15"/>
  <c r="G377" i="11"/>
  <c r="G377" i="13"/>
  <c r="G375" i="13"/>
  <c r="G353" i="15"/>
  <c r="G353" i="16"/>
  <c r="G351" i="15"/>
  <c r="G351" i="16"/>
  <c r="G349" i="15"/>
  <c r="G349" i="16"/>
  <c r="G368" i="13"/>
  <c r="G347" i="16"/>
  <c r="G345" i="2"/>
  <c r="G345" i="15"/>
  <c r="G364" i="13"/>
  <c r="G362" i="11"/>
  <c r="G341" i="15"/>
  <c r="G360" i="13"/>
  <c r="G339" i="2"/>
  <c r="G358" i="11"/>
  <c r="G339" i="16"/>
  <c r="G337" i="15"/>
  <c r="G356" i="13"/>
  <c r="G335" i="2"/>
  <c r="G335" i="15"/>
  <c r="G354" i="11"/>
  <c r="G335" i="16"/>
  <c r="G330" i="2"/>
  <c r="G326" i="2"/>
  <c r="G322" i="2"/>
  <c r="G319" i="15"/>
  <c r="G338" i="11"/>
  <c r="G319" i="16"/>
  <c r="G336" i="13"/>
  <c r="G334" i="11"/>
  <c r="G315" i="15"/>
  <c r="G315" i="16"/>
  <c r="G313" i="2"/>
  <c r="G332" i="11"/>
  <c r="G313" i="15"/>
  <c r="G313" i="16"/>
  <c r="G285" i="2"/>
  <c r="G282" i="2"/>
  <c r="G280" i="2"/>
  <c r="G275" i="2"/>
  <c r="G269" i="2"/>
  <c r="G264" i="2"/>
  <c r="G263" i="2"/>
  <c r="G251" i="2"/>
  <c r="G245" i="2"/>
  <c r="G243" i="2"/>
  <c r="G243" i="11"/>
  <c r="G243" i="13"/>
  <c r="G239" i="13"/>
  <c r="G239" i="16"/>
  <c r="G237" i="2"/>
  <c r="G233" i="2"/>
  <c r="G228" i="2"/>
  <c r="G224" i="2"/>
  <c r="G218" i="2"/>
  <c r="G218" i="15"/>
  <c r="G218" i="11"/>
  <c r="G218" i="16"/>
  <c r="G216" i="15"/>
  <c r="G214" i="2"/>
  <c r="G212" i="2"/>
  <c r="G212" i="15"/>
  <c r="G212" i="13"/>
  <c r="G210" i="2"/>
  <c r="G210" i="11"/>
  <c r="G210" i="15"/>
  <c r="G207" i="2"/>
  <c r="G205" i="2"/>
  <c r="G205" i="11"/>
  <c r="G203" i="11"/>
  <c r="G203" i="16"/>
  <c r="G201" i="2"/>
  <c r="G197" i="2"/>
  <c r="G195" i="15"/>
  <c r="G193" i="2"/>
  <c r="G193" i="15"/>
  <c r="G193" i="13"/>
  <c r="G191" i="2"/>
  <c r="G187" i="2"/>
  <c r="G183" i="15"/>
  <c r="G183" i="11"/>
  <c r="G183" i="13"/>
  <c r="G179" i="2"/>
  <c r="G174" i="2"/>
  <c r="G170" i="2"/>
  <c r="G164" i="2"/>
  <c r="G160" i="2"/>
  <c r="G156" i="2"/>
  <c r="G152" i="2"/>
  <c r="G148" i="2"/>
  <c r="G142" i="2"/>
  <c r="G136" i="2"/>
  <c r="G136" i="11"/>
  <c r="G136" i="16"/>
  <c r="G134" i="2"/>
  <c r="G134" i="15"/>
  <c r="G134" i="11"/>
  <c r="G134" i="13"/>
  <c r="G19" i="18"/>
  <c r="G132" i="2"/>
  <c r="G132" i="15"/>
  <c r="G17" i="18"/>
  <c r="G130" i="13"/>
  <c r="G15" i="18"/>
  <c r="G128" i="2"/>
  <c r="G128" i="15"/>
  <c r="G125" i="2"/>
  <c r="G123" i="11"/>
  <c r="G123" i="15"/>
  <c r="G123" i="16"/>
  <c r="G121" i="2"/>
  <c r="G121" i="15"/>
  <c r="G121" i="11"/>
  <c r="G121" i="16"/>
  <c r="G119" i="11"/>
  <c r="G117" i="2"/>
  <c r="G117" i="13"/>
  <c r="G117" i="16"/>
  <c r="G115" i="11"/>
  <c r="G113" i="2"/>
  <c r="G113" i="13"/>
  <c r="G113" i="16"/>
  <c r="G111" i="11"/>
  <c r="G111" i="15"/>
  <c r="G111" i="16"/>
  <c r="G109" i="2"/>
  <c r="G109" i="15"/>
  <c r="G109" i="11"/>
  <c r="G109" i="16"/>
  <c r="G107" i="11"/>
  <c r="G104" i="2"/>
  <c r="G104" i="15"/>
  <c r="G104" i="11"/>
  <c r="G102" i="15"/>
  <c r="G102" i="13"/>
  <c r="G100" i="2"/>
  <c r="G100" i="13"/>
  <c r="G100" i="16"/>
  <c r="G98" i="15"/>
  <c r="G98" i="13"/>
  <c r="G98" i="11"/>
  <c r="G98" i="16"/>
  <c r="G95" i="2"/>
  <c r="G95" i="15"/>
  <c r="G95" i="13"/>
  <c r="G95" i="16"/>
  <c r="G93" i="15"/>
  <c r="G93" i="13"/>
  <c r="G93" i="16"/>
  <c r="G93" i="11"/>
  <c r="G91" i="2"/>
  <c r="G91" i="13"/>
  <c r="G89" i="15"/>
  <c r="G89" i="13"/>
  <c r="G89" i="11"/>
  <c r="G89" i="16"/>
  <c r="G84" i="2"/>
  <c r="G80" i="2"/>
  <c r="G74" i="2"/>
  <c r="G70" i="2"/>
  <c r="G67" i="2"/>
  <c r="G67" i="11"/>
  <c r="G67" i="15"/>
  <c r="G67" i="16"/>
  <c r="G65" i="15"/>
  <c r="G63" i="13"/>
  <c r="G63" i="16"/>
  <c r="G61" i="15"/>
  <c r="G55" i="2"/>
  <c r="G51" i="2"/>
  <c r="G47" i="2"/>
  <c r="G45" i="2"/>
  <c r="G45" i="13"/>
  <c r="G45" i="16"/>
  <c r="G43" i="11"/>
  <c r="G43" i="16"/>
  <c r="G43" i="13"/>
  <c r="G39" i="2"/>
  <c r="G35" i="15"/>
  <c r="G35" i="11"/>
  <c r="G35" i="16"/>
  <c r="G31" i="2"/>
  <c r="G31" i="15"/>
  <c r="G31" i="13"/>
  <c r="G27" i="2"/>
  <c r="G23" i="2"/>
  <c r="G19" i="2"/>
  <c r="G15" i="2"/>
  <c r="A4" i="13"/>
  <c r="A4" i="11"/>
  <c r="A2" i="11"/>
  <c r="E231" i="11" l="1"/>
  <c r="E245" i="11"/>
  <c r="E231" i="13"/>
  <c r="E245" i="13"/>
  <c r="G137" i="2"/>
  <c r="J385" i="2"/>
  <c r="U8" i="2" s="1"/>
  <c r="U7" i="2"/>
  <c r="G231" i="13"/>
  <c r="J231" i="13"/>
  <c r="G70" i="16"/>
  <c r="J70" i="16"/>
  <c r="G30" i="15"/>
  <c r="J30" i="15"/>
  <c r="G20" i="16"/>
  <c r="J20" i="16"/>
  <c r="G80" i="16"/>
  <c r="J80" i="16"/>
  <c r="G21" i="16"/>
  <c r="J21" i="16"/>
  <c r="G78" i="16"/>
  <c r="J78" i="16"/>
  <c r="G232" i="16"/>
  <c r="J232" i="16"/>
  <c r="G323" i="16"/>
  <c r="J323" i="16"/>
  <c r="G230" i="16"/>
  <c r="J230" i="16"/>
  <c r="G332" i="16"/>
  <c r="J332" i="16"/>
  <c r="G28" i="15"/>
  <c r="J28" i="15"/>
  <c r="G140" i="15"/>
  <c r="J140" i="15"/>
  <c r="G163" i="15"/>
  <c r="J163" i="15"/>
  <c r="G237" i="15"/>
  <c r="J237" i="15"/>
  <c r="G331" i="15"/>
  <c r="J331" i="15"/>
  <c r="G25" i="15"/>
  <c r="J25" i="15"/>
  <c r="G84" i="15"/>
  <c r="J84" i="15"/>
  <c r="G160" i="15"/>
  <c r="J160" i="15"/>
  <c r="G234" i="15"/>
  <c r="J234" i="15"/>
  <c r="G322" i="15"/>
  <c r="J322" i="15"/>
  <c r="G147" i="16"/>
  <c r="J147" i="16"/>
  <c r="G152" i="16"/>
  <c r="J152" i="16"/>
  <c r="G153" i="16"/>
  <c r="J153" i="16"/>
  <c r="G259" i="16"/>
  <c r="J259" i="16"/>
  <c r="G253" i="16"/>
  <c r="J253" i="16"/>
  <c r="G284" i="16"/>
  <c r="J284" i="16"/>
  <c r="G23" i="19"/>
  <c r="J23" i="19"/>
  <c r="G157" i="19"/>
  <c r="J157" i="19"/>
  <c r="G26" i="19"/>
  <c r="J26" i="19"/>
  <c r="G279" i="19"/>
  <c r="J279" i="19"/>
  <c r="G151" i="19"/>
  <c r="J151" i="19"/>
  <c r="G268" i="19"/>
  <c r="J268" i="19"/>
  <c r="G77" i="19"/>
  <c r="J77" i="19"/>
  <c r="G161" i="19"/>
  <c r="J161" i="19"/>
  <c r="G324" i="19"/>
  <c r="J324" i="19"/>
  <c r="G246" i="19"/>
  <c r="J246" i="19"/>
  <c r="G323" i="19"/>
  <c r="J323" i="19"/>
  <c r="G74" i="19"/>
  <c r="J74" i="19"/>
  <c r="G164" i="19"/>
  <c r="J164" i="19"/>
  <c r="G262" i="19"/>
  <c r="J262" i="19"/>
  <c r="G283" i="19"/>
  <c r="J283" i="19"/>
  <c r="G12" i="19"/>
  <c r="J12" i="19"/>
  <c r="G364" i="16"/>
  <c r="J364" i="16"/>
  <c r="G260" i="16"/>
  <c r="G29" i="16"/>
  <c r="J29" i="16"/>
  <c r="G22" i="16"/>
  <c r="J22" i="16"/>
  <c r="G82" i="16"/>
  <c r="J82" i="16"/>
  <c r="G23" i="16"/>
  <c r="J23" i="16"/>
  <c r="G81" i="16"/>
  <c r="J81" i="16"/>
  <c r="G234" i="16"/>
  <c r="J234" i="16"/>
  <c r="G325" i="16"/>
  <c r="J325" i="16"/>
  <c r="G233" i="16"/>
  <c r="J233" i="16"/>
  <c r="G14" i="15"/>
  <c r="J14" i="15"/>
  <c r="G71" i="15"/>
  <c r="J71" i="15"/>
  <c r="G144" i="15"/>
  <c r="J144" i="15"/>
  <c r="G222" i="15"/>
  <c r="J222" i="15"/>
  <c r="G240" i="15"/>
  <c r="J240" i="15"/>
  <c r="G333" i="15"/>
  <c r="J333" i="15"/>
  <c r="G27" i="15"/>
  <c r="J27" i="15"/>
  <c r="G86" i="15"/>
  <c r="J86" i="15"/>
  <c r="G162" i="15"/>
  <c r="J162" i="15"/>
  <c r="G236" i="15"/>
  <c r="J236" i="15"/>
  <c r="G324" i="15"/>
  <c r="J324" i="15"/>
  <c r="G155" i="16"/>
  <c r="J155" i="16"/>
  <c r="G156" i="16"/>
  <c r="J156" i="16"/>
  <c r="G157" i="16"/>
  <c r="J157" i="16"/>
  <c r="G263" i="16"/>
  <c r="J263" i="16"/>
  <c r="G256" i="16"/>
  <c r="J256" i="16"/>
  <c r="G257" i="16"/>
  <c r="J257" i="16"/>
  <c r="G269" i="16"/>
  <c r="J269" i="16"/>
  <c r="G28" i="19"/>
  <c r="J28" i="19"/>
  <c r="G231" i="19"/>
  <c r="J231" i="19"/>
  <c r="G76" i="19"/>
  <c r="J76" i="19"/>
  <c r="G17" i="19"/>
  <c r="J17" i="19"/>
  <c r="G156" i="19"/>
  <c r="J156" i="19"/>
  <c r="G276" i="19"/>
  <c r="J276" i="19"/>
  <c r="G83" i="19"/>
  <c r="J83" i="19"/>
  <c r="G166" i="19"/>
  <c r="J166" i="19"/>
  <c r="G335" i="19"/>
  <c r="J335" i="19"/>
  <c r="G256" i="19"/>
  <c r="J256" i="19"/>
  <c r="G325" i="19"/>
  <c r="J325" i="19"/>
  <c r="G80" i="19"/>
  <c r="J80" i="19"/>
  <c r="G225" i="19"/>
  <c r="J225" i="19"/>
  <c r="G267" i="19"/>
  <c r="J267" i="19"/>
  <c r="G288" i="19"/>
  <c r="J288" i="19"/>
  <c r="G30" i="19"/>
  <c r="J30" i="19"/>
  <c r="G145" i="19"/>
  <c r="J145" i="19"/>
  <c r="G327" i="16"/>
  <c r="J327" i="16"/>
  <c r="G24" i="16"/>
  <c r="J24" i="16"/>
  <c r="G83" i="16"/>
  <c r="J83" i="16"/>
  <c r="G16" i="15"/>
  <c r="J16" i="15"/>
  <c r="G224" i="15"/>
  <c r="J224" i="15"/>
  <c r="G142" i="15"/>
  <c r="J142" i="15"/>
  <c r="G227" i="19"/>
  <c r="J227" i="19"/>
  <c r="G329" i="16"/>
  <c r="J329" i="16"/>
  <c r="G328" i="15"/>
  <c r="J328" i="15"/>
  <c r="G26" i="16"/>
  <c r="J26" i="16"/>
  <c r="G86" i="16"/>
  <c r="J86" i="16"/>
  <c r="G27" i="16"/>
  <c r="J27" i="16"/>
  <c r="G85" i="16"/>
  <c r="J85" i="16"/>
  <c r="G238" i="16"/>
  <c r="J238" i="16"/>
  <c r="G333" i="16"/>
  <c r="J333" i="16"/>
  <c r="G237" i="16"/>
  <c r="J237" i="16"/>
  <c r="G18" i="15"/>
  <c r="J18" i="15"/>
  <c r="G75" i="15"/>
  <c r="J75" i="15"/>
  <c r="G153" i="15"/>
  <c r="J153" i="15"/>
  <c r="G226" i="15"/>
  <c r="J226" i="15"/>
  <c r="G15" i="15"/>
  <c r="J15" i="15"/>
  <c r="G72" i="15"/>
  <c r="J72" i="15"/>
  <c r="G150" i="15"/>
  <c r="J150" i="15"/>
  <c r="G220" i="15"/>
  <c r="J220" i="15"/>
  <c r="G241" i="15"/>
  <c r="J241" i="15"/>
  <c r="G375" i="15"/>
  <c r="J375" i="15"/>
  <c r="G163" i="16"/>
  <c r="J163" i="16"/>
  <c r="G164" i="16"/>
  <c r="J164" i="16"/>
  <c r="E268" i="16"/>
  <c r="G268" i="16" s="1"/>
  <c r="J262" i="16"/>
  <c r="G272" i="16"/>
  <c r="J272" i="16"/>
  <c r="G264" i="16"/>
  <c r="J264" i="16"/>
  <c r="G285" i="16"/>
  <c r="J285" i="16"/>
  <c r="G78" i="19"/>
  <c r="J78" i="19"/>
  <c r="G243" i="19"/>
  <c r="J243" i="19"/>
  <c r="G224" i="19"/>
  <c r="J224" i="19"/>
  <c r="G24" i="19"/>
  <c r="J24" i="19"/>
  <c r="G163" i="19"/>
  <c r="J163" i="19"/>
  <c r="G15" i="19"/>
  <c r="J15" i="19"/>
  <c r="G147" i="19"/>
  <c r="J147" i="19"/>
  <c r="G234" i="19"/>
  <c r="J234" i="19"/>
  <c r="G228" i="19"/>
  <c r="J228" i="19"/>
  <c r="G263" i="19"/>
  <c r="J263" i="19"/>
  <c r="G366" i="19"/>
  <c r="J366" i="19"/>
  <c r="G84" i="19"/>
  <c r="J84" i="19"/>
  <c r="G232" i="19"/>
  <c r="J232" i="19"/>
  <c r="G275" i="19"/>
  <c r="J275" i="19"/>
  <c r="G328" i="19"/>
  <c r="J328" i="19"/>
  <c r="G153" i="19"/>
  <c r="J153" i="19"/>
  <c r="G231" i="16"/>
  <c r="J231" i="16"/>
  <c r="G236" i="16"/>
  <c r="J236" i="16"/>
  <c r="G269" i="19"/>
  <c r="J269" i="19"/>
  <c r="G267" i="16"/>
  <c r="G326" i="16"/>
  <c r="J326" i="16"/>
  <c r="G327" i="15"/>
  <c r="J327" i="15"/>
  <c r="G330" i="15"/>
  <c r="J330" i="15"/>
  <c r="G28" i="16"/>
  <c r="J28" i="16"/>
  <c r="G13" i="16"/>
  <c r="J13" i="16"/>
  <c r="G32" i="16"/>
  <c r="J32" i="16"/>
  <c r="G220" i="16"/>
  <c r="J220" i="16"/>
  <c r="G241" i="16"/>
  <c r="J241" i="16"/>
  <c r="G222" i="16"/>
  <c r="J222" i="16"/>
  <c r="G240" i="16"/>
  <c r="J240" i="16"/>
  <c r="G20" i="15"/>
  <c r="J20" i="15"/>
  <c r="G78" i="15"/>
  <c r="J78" i="15"/>
  <c r="G155" i="15"/>
  <c r="J155" i="15"/>
  <c r="G228" i="15"/>
  <c r="J228" i="15"/>
  <c r="G17" i="15"/>
  <c r="J17" i="15"/>
  <c r="G74" i="15"/>
  <c r="J74" i="15"/>
  <c r="G152" i="15"/>
  <c r="J152" i="15"/>
  <c r="G223" i="15"/>
  <c r="J223" i="15"/>
  <c r="G244" i="15"/>
  <c r="J244" i="15"/>
  <c r="G154" i="16"/>
  <c r="J154" i="16"/>
  <c r="G141" i="16"/>
  <c r="J141" i="16"/>
  <c r="G150" i="16"/>
  <c r="J150" i="16"/>
  <c r="G266" i="16"/>
  <c r="J266" i="16"/>
  <c r="G276" i="16"/>
  <c r="J276" i="16"/>
  <c r="G273" i="16"/>
  <c r="J273" i="16"/>
  <c r="G270" i="16"/>
  <c r="J270" i="16"/>
  <c r="G282" i="16"/>
  <c r="J282" i="16"/>
  <c r="G86" i="19"/>
  <c r="J86" i="19"/>
  <c r="G259" i="19"/>
  <c r="J259" i="19"/>
  <c r="G236" i="19"/>
  <c r="J236" i="19"/>
  <c r="G27" i="19"/>
  <c r="J27" i="19"/>
  <c r="G165" i="19"/>
  <c r="J165" i="19"/>
  <c r="G18" i="19"/>
  <c r="J18" i="19"/>
  <c r="G149" i="19"/>
  <c r="J149" i="19"/>
  <c r="G255" i="19"/>
  <c r="J255" i="19"/>
  <c r="G230" i="19"/>
  <c r="J230" i="19"/>
  <c r="G265" i="19"/>
  <c r="J265" i="19"/>
  <c r="G14" i="19"/>
  <c r="J14" i="19"/>
  <c r="G146" i="19"/>
  <c r="J146" i="19"/>
  <c r="G235" i="19"/>
  <c r="J235" i="19"/>
  <c r="G277" i="19"/>
  <c r="J277" i="19"/>
  <c r="G330" i="19"/>
  <c r="J330" i="19"/>
  <c r="G284" i="19"/>
  <c r="J284" i="19"/>
  <c r="G143" i="16"/>
  <c r="J143" i="16"/>
  <c r="G25" i="16"/>
  <c r="J25" i="16"/>
  <c r="G235" i="16"/>
  <c r="J235" i="16"/>
  <c r="G73" i="15"/>
  <c r="J73" i="15"/>
  <c r="G164" i="15"/>
  <c r="J164" i="15"/>
  <c r="G161" i="16"/>
  <c r="J161" i="16"/>
  <c r="G331" i="19"/>
  <c r="J331" i="19"/>
  <c r="G328" i="16"/>
  <c r="J328" i="16"/>
  <c r="G329" i="15"/>
  <c r="J329" i="15"/>
  <c r="G14" i="16"/>
  <c r="J14" i="16"/>
  <c r="G72" i="16"/>
  <c r="J72" i="16"/>
  <c r="G15" i="16"/>
  <c r="J15" i="16"/>
  <c r="G71" i="16"/>
  <c r="J71" i="16"/>
  <c r="G223" i="16"/>
  <c r="J223" i="16"/>
  <c r="G244" i="16"/>
  <c r="J244" i="16"/>
  <c r="G224" i="16"/>
  <c r="J224" i="16"/>
  <c r="G242" i="16"/>
  <c r="J242" i="16"/>
  <c r="G22" i="15"/>
  <c r="J22" i="15"/>
  <c r="G81" i="15"/>
  <c r="J81" i="15"/>
  <c r="G157" i="15"/>
  <c r="J157" i="15"/>
  <c r="G230" i="15"/>
  <c r="J230" i="15"/>
  <c r="G321" i="15"/>
  <c r="J321" i="15"/>
  <c r="G19" i="15"/>
  <c r="J19" i="15"/>
  <c r="G76" i="15"/>
  <c r="J76" i="15"/>
  <c r="G154" i="15"/>
  <c r="J154" i="15"/>
  <c r="G225" i="15"/>
  <c r="J225" i="15"/>
  <c r="G146" i="16"/>
  <c r="J146" i="16"/>
  <c r="G158" i="16"/>
  <c r="J158" i="16"/>
  <c r="G140" i="16"/>
  <c r="J140" i="16"/>
  <c r="G279" i="16"/>
  <c r="J279" i="16"/>
  <c r="G280" i="16"/>
  <c r="J280" i="16"/>
  <c r="G277" i="16"/>
  <c r="J277" i="16"/>
  <c r="G274" i="16"/>
  <c r="J274" i="16"/>
  <c r="G286" i="16"/>
  <c r="J286" i="16"/>
  <c r="G142" i="19"/>
  <c r="J142" i="19"/>
  <c r="G278" i="19"/>
  <c r="J278" i="19"/>
  <c r="G257" i="19"/>
  <c r="J257" i="19"/>
  <c r="G85" i="19"/>
  <c r="J85" i="19"/>
  <c r="G237" i="19"/>
  <c r="J237" i="19"/>
  <c r="G20" i="19"/>
  <c r="J20" i="19"/>
  <c r="G152" i="19"/>
  <c r="J152" i="19"/>
  <c r="G266" i="19"/>
  <c r="J266" i="19"/>
  <c r="G238" i="19"/>
  <c r="J238" i="19"/>
  <c r="G273" i="19"/>
  <c r="J273" i="19"/>
  <c r="G19" i="19"/>
  <c r="J19" i="19"/>
  <c r="G148" i="19"/>
  <c r="J148" i="19"/>
  <c r="G244" i="19"/>
  <c r="J244" i="19"/>
  <c r="G327" i="19"/>
  <c r="J327" i="19"/>
  <c r="G271" i="19"/>
  <c r="J271" i="19"/>
  <c r="G286" i="19"/>
  <c r="J286" i="19"/>
  <c r="G34" i="19"/>
  <c r="J34" i="19"/>
  <c r="G84" i="16"/>
  <c r="J84" i="16"/>
  <c r="G331" i="16"/>
  <c r="J331" i="16"/>
  <c r="G242" i="15"/>
  <c r="J242" i="15"/>
  <c r="G13" i="15"/>
  <c r="J13" i="15"/>
  <c r="G238" i="15"/>
  <c r="J238" i="15"/>
  <c r="G332" i="15"/>
  <c r="J332" i="15"/>
  <c r="G159" i="16"/>
  <c r="J159" i="16"/>
  <c r="G160" i="16"/>
  <c r="J160" i="16"/>
  <c r="G261" i="16"/>
  <c r="J261" i="16"/>
  <c r="G281" i="16"/>
  <c r="J281" i="16"/>
  <c r="G73" i="19"/>
  <c r="J73" i="19"/>
  <c r="G239" i="19"/>
  <c r="J239" i="19"/>
  <c r="G160" i="19"/>
  <c r="J160" i="19"/>
  <c r="G22" i="19"/>
  <c r="J22" i="19"/>
  <c r="G158" i="19"/>
  <c r="J158" i="19"/>
  <c r="G13" i="19"/>
  <c r="J13" i="19"/>
  <c r="G88" i="19"/>
  <c r="J88" i="19"/>
  <c r="G226" i="19"/>
  <c r="J226" i="19"/>
  <c r="G222" i="19"/>
  <c r="J222" i="19"/>
  <c r="G258" i="19"/>
  <c r="J258" i="19"/>
  <c r="G334" i="19"/>
  <c r="J334" i="19"/>
  <c r="G82" i="19"/>
  <c r="J82" i="19"/>
  <c r="G72" i="19"/>
  <c r="J72" i="19"/>
  <c r="G12" i="16"/>
  <c r="J12" i="16"/>
  <c r="G330" i="16"/>
  <c r="J330" i="16"/>
  <c r="G29" i="15"/>
  <c r="J29" i="15"/>
  <c r="G16" i="16"/>
  <c r="J16" i="16"/>
  <c r="G74" i="16"/>
  <c r="J74" i="16"/>
  <c r="G17" i="16"/>
  <c r="J17" i="16"/>
  <c r="G73" i="16"/>
  <c r="J73" i="16"/>
  <c r="G225" i="16"/>
  <c r="J225" i="16"/>
  <c r="G226" i="16"/>
  <c r="J226" i="16"/>
  <c r="G322" i="16"/>
  <c r="J322" i="16"/>
  <c r="G24" i="15"/>
  <c r="J24" i="15"/>
  <c r="G83" i="15"/>
  <c r="J83" i="15"/>
  <c r="G159" i="15"/>
  <c r="J159" i="15"/>
  <c r="G233" i="15"/>
  <c r="J233" i="15"/>
  <c r="G323" i="15"/>
  <c r="J323" i="15"/>
  <c r="G21" i="15"/>
  <c r="J21" i="15"/>
  <c r="G80" i="15"/>
  <c r="J80" i="15"/>
  <c r="G156" i="15"/>
  <c r="J156" i="15"/>
  <c r="G229" i="15"/>
  <c r="J229" i="15"/>
  <c r="G162" i="16"/>
  <c r="J162" i="16"/>
  <c r="G144" i="16"/>
  <c r="J144" i="16"/>
  <c r="G145" i="16"/>
  <c r="J145" i="16"/>
  <c r="G254" i="16"/>
  <c r="J254" i="16"/>
  <c r="G258" i="16"/>
  <c r="J258" i="16"/>
  <c r="G278" i="16"/>
  <c r="J278" i="16"/>
  <c r="G151" i="16"/>
  <c r="J151" i="16"/>
  <c r="G144" i="19"/>
  <c r="J144" i="19"/>
  <c r="G326" i="19"/>
  <c r="J326" i="19"/>
  <c r="G87" i="19"/>
  <c r="J87" i="19"/>
  <c r="G254" i="19"/>
  <c r="J254" i="19"/>
  <c r="G25" i="19"/>
  <c r="J25" i="19"/>
  <c r="G154" i="19"/>
  <c r="J154" i="19"/>
  <c r="G274" i="19"/>
  <c r="J274" i="19"/>
  <c r="G240" i="19"/>
  <c r="J240" i="19"/>
  <c r="G280" i="19"/>
  <c r="J280" i="19"/>
  <c r="G21" i="19"/>
  <c r="J21" i="19"/>
  <c r="G155" i="19"/>
  <c r="J155" i="19"/>
  <c r="G253" i="19"/>
  <c r="J253" i="19"/>
  <c r="G285" i="19"/>
  <c r="J285" i="19"/>
  <c r="G287" i="19"/>
  <c r="J287" i="19"/>
  <c r="G329" i="19"/>
  <c r="J329" i="19"/>
  <c r="G33" i="19"/>
  <c r="J33" i="19"/>
  <c r="G326" i="15"/>
  <c r="J326" i="15"/>
  <c r="G32" i="15"/>
  <c r="J32" i="15"/>
  <c r="G223" i="19"/>
  <c r="J223" i="19"/>
  <c r="G231" i="11"/>
  <c r="J231" i="11"/>
  <c r="G30" i="16"/>
  <c r="J30" i="16"/>
  <c r="G12" i="15"/>
  <c r="J12" i="15"/>
  <c r="G70" i="15"/>
  <c r="J70" i="15"/>
  <c r="G18" i="16"/>
  <c r="J18" i="16"/>
  <c r="G76" i="16"/>
  <c r="J76" i="16"/>
  <c r="G19" i="16"/>
  <c r="J19" i="16"/>
  <c r="G75" i="16"/>
  <c r="J75" i="16"/>
  <c r="G229" i="16"/>
  <c r="J229" i="16"/>
  <c r="G321" i="16"/>
  <c r="J321" i="16"/>
  <c r="G228" i="16"/>
  <c r="J228" i="16"/>
  <c r="G324" i="16"/>
  <c r="J324" i="16"/>
  <c r="G26" i="15"/>
  <c r="J26" i="15"/>
  <c r="G85" i="15"/>
  <c r="J85" i="15"/>
  <c r="G161" i="15"/>
  <c r="J161" i="15"/>
  <c r="G235" i="15"/>
  <c r="J235" i="15"/>
  <c r="G325" i="15"/>
  <c r="J325" i="15"/>
  <c r="G23" i="15"/>
  <c r="J23" i="15"/>
  <c r="G82" i="15"/>
  <c r="J82" i="15"/>
  <c r="G158" i="15"/>
  <c r="J158" i="15"/>
  <c r="G232" i="15"/>
  <c r="J232" i="15"/>
  <c r="G142" i="16"/>
  <c r="J142" i="16"/>
  <c r="G148" i="16"/>
  <c r="J148" i="16"/>
  <c r="G149" i="16"/>
  <c r="J149" i="16"/>
  <c r="G255" i="16"/>
  <c r="J255" i="16"/>
  <c r="G271" i="16"/>
  <c r="J271" i="16"/>
  <c r="G275" i="16"/>
  <c r="J275" i="16"/>
  <c r="G283" i="16"/>
  <c r="J283" i="16"/>
  <c r="G16" i="19"/>
  <c r="J16" i="19"/>
  <c r="G150" i="19"/>
  <c r="J150" i="19"/>
  <c r="G333" i="19"/>
  <c r="J333" i="19"/>
  <c r="G272" i="19"/>
  <c r="J272" i="19"/>
  <c r="G143" i="19"/>
  <c r="J143" i="19"/>
  <c r="G261" i="19"/>
  <c r="J261" i="19"/>
  <c r="G75" i="19"/>
  <c r="J75" i="19"/>
  <c r="G159" i="19"/>
  <c r="J159" i="19"/>
  <c r="G281" i="19"/>
  <c r="J281" i="19"/>
  <c r="G242" i="19"/>
  <c r="J242" i="19"/>
  <c r="G282" i="19"/>
  <c r="J282" i="19"/>
  <c r="G32" i="19"/>
  <c r="J32" i="19"/>
  <c r="G162" i="19"/>
  <c r="J162" i="19"/>
  <c r="G260" i="19"/>
  <c r="J260" i="19"/>
  <c r="G29" i="19"/>
  <c r="J29" i="19"/>
  <c r="G332" i="19"/>
  <c r="J332" i="19"/>
  <c r="G221" i="16"/>
  <c r="J221" i="16"/>
  <c r="G233" i="19"/>
  <c r="J233" i="19"/>
  <c r="E221" i="13"/>
  <c r="E143" i="13"/>
  <c r="E221" i="11"/>
  <c r="E143" i="11"/>
  <c r="E270" i="19"/>
  <c r="G264" i="19"/>
  <c r="G262" i="16"/>
  <c r="E351" i="13"/>
  <c r="J351" i="13" s="1"/>
  <c r="E352" i="13"/>
  <c r="E350" i="13"/>
  <c r="J350" i="13" s="1"/>
  <c r="E344" i="13"/>
  <c r="J344" i="13" s="1"/>
  <c r="E342" i="13"/>
  <c r="J342" i="13" s="1"/>
  <c r="E340" i="13"/>
  <c r="J340" i="13" s="1"/>
  <c r="E349" i="13"/>
  <c r="J349" i="13" s="1"/>
  <c r="E343" i="13"/>
  <c r="J343" i="13" s="1"/>
  <c r="E341" i="13"/>
  <c r="J341" i="13" s="1"/>
  <c r="E266" i="13"/>
  <c r="J266" i="13" s="1"/>
  <c r="E264" i="13"/>
  <c r="J264" i="13" s="1"/>
  <c r="E262" i="13"/>
  <c r="E260" i="13"/>
  <c r="J260" i="13" s="1"/>
  <c r="E258" i="13"/>
  <c r="J258" i="13" s="1"/>
  <c r="E256" i="13"/>
  <c r="J256" i="13" s="1"/>
  <c r="E254" i="13"/>
  <c r="J254" i="13" s="1"/>
  <c r="E252" i="13"/>
  <c r="J252" i="13" s="1"/>
  <c r="E273" i="13"/>
  <c r="J273" i="13" s="1"/>
  <c r="E280" i="13"/>
  <c r="E278" i="13"/>
  <c r="J278" i="13" s="1"/>
  <c r="E276" i="13"/>
  <c r="J276" i="13" s="1"/>
  <c r="E274" i="13"/>
  <c r="J274" i="13" s="1"/>
  <c r="E272" i="13"/>
  <c r="J272" i="13" s="1"/>
  <c r="E270" i="13"/>
  <c r="J270" i="13" s="1"/>
  <c r="E277" i="13"/>
  <c r="J277" i="13" s="1"/>
  <c r="E267" i="13"/>
  <c r="J267" i="13" s="1"/>
  <c r="E265" i="13"/>
  <c r="J265" i="13" s="1"/>
  <c r="E263" i="13"/>
  <c r="J263" i="13" s="1"/>
  <c r="E261" i="13"/>
  <c r="E259" i="13"/>
  <c r="J259" i="13" s="1"/>
  <c r="E257" i="13"/>
  <c r="J257" i="13" s="1"/>
  <c r="E255" i="13"/>
  <c r="J255" i="13" s="1"/>
  <c r="E253" i="13"/>
  <c r="J253" i="13" s="1"/>
  <c r="E251" i="13"/>
  <c r="J251" i="13" s="1"/>
  <c r="E279" i="13"/>
  <c r="E275" i="13"/>
  <c r="J275" i="13" s="1"/>
  <c r="E271" i="13"/>
  <c r="J271" i="13" s="1"/>
  <c r="E145" i="13"/>
  <c r="E28" i="13"/>
  <c r="J28" i="13" s="1"/>
  <c r="E26" i="13"/>
  <c r="J26" i="13" s="1"/>
  <c r="E24" i="13"/>
  <c r="J24" i="13" s="1"/>
  <c r="E22" i="13"/>
  <c r="J22" i="13" s="1"/>
  <c r="E20" i="13"/>
  <c r="J20" i="13" s="1"/>
  <c r="E18" i="13"/>
  <c r="J18" i="13" s="1"/>
  <c r="E16" i="13"/>
  <c r="J16" i="13" s="1"/>
  <c r="E14" i="13"/>
  <c r="J14" i="13" s="1"/>
  <c r="E32" i="13"/>
  <c r="J32" i="13" s="1"/>
  <c r="E27" i="13"/>
  <c r="J27" i="13" s="1"/>
  <c r="E25" i="13"/>
  <c r="J25" i="13" s="1"/>
  <c r="E23" i="13"/>
  <c r="J23" i="13" s="1"/>
  <c r="E21" i="13"/>
  <c r="J21" i="13" s="1"/>
  <c r="E19" i="13"/>
  <c r="J19" i="13" s="1"/>
  <c r="E17" i="13"/>
  <c r="J17" i="13" s="1"/>
  <c r="E15" i="13"/>
  <c r="J15" i="13" s="1"/>
  <c r="E13" i="13"/>
  <c r="J13" i="13" s="1"/>
  <c r="E352" i="11"/>
  <c r="E351" i="11"/>
  <c r="E286" i="11"/>
  <c r="E284" i="11"/>
  <c r="E282" i="11"/>
  <c r="E285" i="11"/>
  <c r="E283" i="11"/>
  <c r="E281" i="11"/>
  <c r="E269" i="11"/>
  <c r="E280" i="11"/>
  <c r="E278" i="11"/>
  <c r="E276" i="11"/>
  <c r="E274" i="11"/>
  <c r="E272" i="11"/>
  <c r="E270" i="11"/>
  <c r="E267" i="11"/>
  <c r="E263" i="11"/>
  <c r="E261" i="11"/>
  <c r="E257" i="11"/>
  <c r="E253" i="11"/>
  <c r="E264" i="11"/>
  <c r="E262" i="11"/>
  <c r="J262" i="11" s="1"/>
  <c r="E258" i="11"/>
  <c r="E252" i="11"/>
  <c r="E265" i="11"/>
  <c r="E259" i="11"/>
  <c r="E255" i="11"/>
  <c r="E251" i="11"/>
  <c r="J251" i="11" s="1"/>
  <c r="E266" i="11"/>
  <c r="E260" i="11"/>
  <c r="E254" i="11"/>
  <c r="E279" i="11"/>
  <c r="E277" i="11"/>
  <c r="E275" i="11"/>
  <c r="E273" i="11"/>
  <c r="E271" i="11"/>
  <c r="E256" i="11"/>
  <c r="E244" i="11"/>
  <c r="J244" i="11" s="1"/>
  <c r="E237" i="11"/>
  <c r="J237" i="11" s="1"/>
  <c r="E235" i="11"/>
  <c r="J235" i="11" s="1"/>
  <c r="E233" i="11"/>
  <c r="J233" i="11" s="1"/>
  <c r="E230" i="11"/>
  <c r="J230" i="11" s="1"/>
  <c r="E228" i="11"/>
  <c r="J228" i="11" s="1"/>
  <c r="E226" i="11"/>
  <c r="J226" i="11" s="1"/>
  <c r="E224" i="11"/>
  <c r="J224" i="11" s="1"/>
  <c r="E222" i="11"/>
  <c r="J222" i="11" s="1"/>
  <c r="E234" i="11"/>
  <c r="J234" i="11" s="1"/>
  <c r="E229" i="11"/>
  <c r="J229" i="11" s="1"/>
  <c r="E225" i="11"/>
  <c r="J225" i="11" s="1"/>
  <c r="E241" i="11"/>
  <c r="J241" i="11" s="1"/>
  <c r="E220" i="11"/>
  <c r="J220" i="11" s="1"/>
  <c r="E236" i="11"/>
  <c r="J236" i="11" s="1"/>
  <c r="E223" i="11"/>
  <c r="J223" i="11" s="1"/>
  <c r="E240" i="11"/>
  <c r="J240" i="11" s="1"/>
  <c r="E238" i="11"/>
  <c r="J238" i="11" s="1"/>
  <c r="E232" i="11"/>
  <c r="J232" i="11" s="1"/>
  <c r="E242" i="11"/>
  <c r="J242" i="11" s="1"/>
  <c r="E30" i="11"/>
  <c r="J30" i="11" s="1"/>
  <c r="E12" i="11"/>
  <c r="J12" i="11" s="1"/>
  <c r="E29" i="11"/>
  <c r="J29" i="11" s="1"/>
  <c r="E28" i="11"/>
  <c r="J28" i="11" s="1"/>
  <c r="E26" i="11"/>
  <c r="J26" i="11" s="1"/>
  <c r="E24" i="11"/>
  <c r="J24" i="11" s="1"/>
  <c r="E22" i="11"/>
  <c r="J22" i="11" s="1"/>
  <c r="E20" i="11"/>
  <c r="J20" i="11" s="1"/>
  <c r="E18" i="11"/>
  <c r="J18" i="11" s="1"/>
  <c r="E16" i="11"/>
  <c r="J16" i="11" s="1"/>
  <c r="E14" i="11"/>
  <c r="J14" i="11" s="1"/>
  <c r="E32" i="11"/>
  <c r="J32" i="11" s="1"/>
  <c r="E27" i="11"/>
  <c r="J27" i="11" s="1"/>
  <c r="E25" i="11"/>
  <c r="J25" i="11" s="1"/>
  <c r="E23" i="11"/>
  <c r="J23" i="11" s="1"/>
  <c r="E21" i="11"/>
  <c r="J21" i="11" s="1"/>
  <c r="E19" i="11"/>
  <c r="J19" i="11" s="1"/>
  <c r="E17" i="11"/>
  <c r="J17" i="11" s="1"/>
  <c r="E15" i="11"/>
  <c r="J15" i="11" s="1"/>
  <c r="E13" i="11"/>
  <c r="J13" i="11" s="1"/>
  <c r="E151" i="11"/>
  <c r="E141" i="11"/>
  <c r="E146" i="11"/>
  <c r="E150" i="11"/>
  <c r="E154" i="11"/>
  <c r="E158" i="11"/>
  <c r="E162" i="11"/>
  <c r="E142" i="11"/>
  <c r="E147" i="11"/>
  <c r="E155" i="11"/>
  <c r="E159" i="11"/>
  <c r="E163" i="11"/>
  <c r="E157" i="11"/>
  <c r="E149" i="11"/>
  <c r="E144" i="11"/>
  <c r="E148" i="11"/>
  <c r="E152" i="11"/>
  <c r="E156" i="11"/>
  <c r="E160" i="11"/>
  <c r="E164" i="11"/>
  <c r="E161" i="11"/>
  <c r="E145" i="11"/>
  <c r="E153" i="11"/>
  <c r="E141" i="13"/>
  <c r="E348" i="11"/>
  <c r="E346" i="11"/>
  <c r="E347" i="11"/>
  <c r="E345" i="11"/>
  <c r="E70" i="11"/>
  <c r="J70" i="11" s="1"/>
  <c r="E70" i="13"/>
  <c r="J70" i="13" s="1"/>
  <c r="E350" i="11"/>
  <c r="E344" i="11"/>
  <c r="E342" i="11"/>
  <c r="E340" i="11"/>
  <c r="J340" i="11" s="1"/>
  <c r="E140" i="11"/>
  <c r="J140" i="11" s="1"/>
  <c r="E85" i="11"/>
  <c r="J85" i="11" s="1"/>
  <c r="E83" i="11"/>
  <c r="J83" i="11" s="1"/>
  <c r="E81" i="11"/>
  <c r="J81" i="11" s="1"/>
  <c r="E78" i="11"/>
  <c r="J78" i="11" s="1"/>
  <c r="E75" i="11"/>
  <c r="J75" i="11" s="1"/>
  <c r="E73" i="11"/>
  <c r="J73" i="11" s="1"/>
  <c r="E71" i="11"/>
  <c r="J71" i="11" s="1"/>
  <c r="E349" i="11"/>
  <c r="E343" i="11"/>
  <c r="E341" i="11"/>
  <c r="E86" i="11"/>
  <c r="J86" i="11" s="1"/>
  <c r="E84" i="11"/>
  <c r="J84" i="11" s="1"/>
  <c r="E82" i="11"/>
  <c r="J82" i="11" s="1"/>
  <c r="E80" i="11"/>
  <c r="J80" i="11" s="1"/>
  <c r="E76" i="11"/>
  <c r="J76" i="11" s="1"/>
  <c r="E74" i="11"/>
  <c r="J74" i="11" s="1"/>
  <c r="E72" i="11"/>
  <c r="J72" i="11" s="1"/>
  <c r="E242" i="13"/>
  <c r="J242" i="13" s="1"/>
  <c r="E240" i="13"/>
  <c r="J240" i="13" s="1"/>
  <c r="E237" i="13"/>
  <c r="J237" i="13" s="1"/>
  <c r="E235" i="13"/>
  <c r="J235" i="13" s="1"/>
  <c r="E233" i="13"/>
  <c r="J233" i="13" s="1"/>
  <c r="E230" i="13"/>
  <c r="J230" i="13" s="1"/>
  <c r="E228" i="13"/>
  <c r="J228" i="13" s="1"/>
  <c r="E226" i="13"/>
  <c r="J226" i="13" s="1"/>
  <c r="E224" i="13"/>
  <c r="J224" i="13" s="1"/>
  <c r="E222" i="13"/>
  <c r="J222" i="13" s="1"/>
  <c r="E163" i="13"/>
  <c r="J163" i="13" s="1"/>
  <c r="E161" i="13"/>
  <c r="J161" i="13" s="1"/>
  <c r="E159" i="13"/>
  <c r="J159" i="13" s="1"/>
  <c r="E157" i="13"/>
  <c r="J157" i="13" s="1"/>
  <c r="E155" i="13"/>
  <c r="J155" i="13" s="1"/>
  <c r="E153" i="13"/>
  <c r="J153" i="13" s="1"/>
  <c r="E149" i="13"/>
  <c r="J149" i="13" s="1"/>
  <c r="E147" i="13"/>
  <c r="J147" i="13" s="1"/>
  <c r="E144" i="13"/>
  <c r="J144" i="13" s="1"/>
  <c r="E140" i="13"/>
  <c r="J140" i="13" s="1"/>
  <c r="E85" i="13"/>
  <c r="J85" i="13" s="1"/>
  <c r="E83" i="13"/>
  <c r="J83" i="13" s="1"/>
  <c r="E81" i="13"/>
  <c r="J81" i="13" s="1"/>
  <c r="E78" i="13"/>
  <c r="J78" i="13" s="1"/>
  <c r="E75" i="13"/>
  <c r="J75" i="13" s="1"/>
  <c r="E73" i="13"/>
  <c r="J73" i="13" s="1"/>
  <c r="E71" i="13"/>
  <c r="J71" i="13" s="1"/>
  <c r="E446" i="13"/>
  <c r="J446" i="13" s="1"/>
  <c r="E244" i="13"/>
  <c r="J244" i="13" s="1"/>
  <c r="E241" i="13"/>
  <c r="J241" i="13" s="1"/>
  <c r="E238" i="13"/>
  <c r="J238" i="13" s="1"/>
  <c r="E236" i="13"/>
  <c r="J236" i="13" s="1"/>
  <c r="E234" i="13"/>
  <c r="J234" i="13" s="1"/>
  <c r="E232" i="13"/>
  <c r="J232" i="13" s="1"/>
  <c r="E229" i="13"/>
  <c r="J229" i="13" s="1"/>
  <c r="E225" i="13"/>
  <c r="J225" i="13" s="1"/>
  <c r="E223" i="13"/>
  <c r="J223" i="13" s="1"/>
  <c r="E220" i="13"/>
  <c r="J220" i="13" s="1"/>
  <c r="E164" i="13"/>
  <c r="J164" i="13" s="1"/>
  <c r="E162" i="13"/>
  <c r="J162" i="13" s="1"/>
  <c r="E160" i="13"/>
  <c r="J160" i="13" s="1"/>
  <c r="E158" i="13"/>
  <c r="J158" i="13" s="1"/>
  <c r="E156" i="13"/>
  <c r="J156" i="13" s="1"/>
  <c r="E154" i="13"/>
  <c r="J154" i="13" s="1"/>
  <c r="E152" i="13"/>
  <c r="J152" i="13" s="1"/>
  <c r="E150" i="13"/>
  <c r="J150" i="13" s="1"/>
  <c r="E148" i="13"/>
  <c r="J148" i="13" s="1"/>
  <c r="E146" i="13"/>
  <c r="J146" i="13" s="1"/>
  <c r="E142" i="13"/>
  <c r="J142" i="13" s="1"/>
  <c r="E86" i="13"/>
  <c r="J86" i="13" s="1"/>
  <c r="E84" i="13"/>
  <c r="J84" i="13" s="1"/>
  <c r="E82" i="13"/>
  <c r="J82" i="13" s="1"/>
  <c r="E80" i="13"/>
  <c r="J80" i="13" s="1"/>
  <c r="E76" i="13"/>
  <c r="J76" i="13" s="1"/>
  <c r="E74" i="13"/>
  <c r="J74" i="13" s="1"/>
  <c r="E72" i="13"/>
  <c r="J72" i="13" s="1"/>
  <c r="A4" i="10"/>
  <c r="E245" i="10" s="1"/>
  <c r="A2" i="10"/>
  <c r="J268" i="16" l="1"/>
  <c r="J245" i="13"/>
  <c r="G245" i="13"/>
  <c r="J245" i="11"/>
  <c r="G245" i="11"/>
  <c r="G245" i="10"/>
  <c r="J245" i="10"/>
  <c r="G343" i="11"/>
  <c r="J343" i="11"/>
  <c r="G345" i="11"/>
  <c r="J345" i="11"/>
  <c r="G164" i="11"/>
  <c r="J164" i="11"/>
  <c r="G163" i="11"/>
  <c r="J163" i="11"/>
  <c r="G150" i="11"/>
  <c r="J150" i="11"/>
  <c r="G277" i="11"/>
  <c r="J277" i="11"/>
  <c r="G265" i="11"/>
  <c r="J265" i="11"/>
  <c r="G263" i="11"/>
  <c r="J263" i="11"/>
  <c r="G269" i="11"/>
  <c r="J269" i="11"/>
  <c r="G352" i="11"/>
  <c r="J352" i="11"/>
  <c r="G275" i="11"/>
  <c r="J275" i="11"/>
  <c r="G351" i="11"/>
  <c r="J351" i="11"/>
  <c r="G349" i="11"/>
  <c r="J349" i="11"/>
  <c r="G159" i="11"/>
  <c r="J159" i="11"/>
  <c r="G346" i="11"/>
  <c r="J346" i="11"/>
  <c r="G258" i="11"/>
  <c r="J258" i="11"/>
  <c r="G341" i="11"/>
  <c r="J341" i="11"/>
  <c r="G157" i="11"/>
  <c r="J157" i="11"/>
  <c r="G259" i="11"/>
  <c r="J259" i="11"/>
  <c r="G160" i="11"/>
  <c r="J160" i="11"/>
  <c r="G279" i="11"/>
  <c r="J279" i="11"/>
  <c r="G155" i="11"/>
  <c r="J155" i="11"/>
  <c r="G254" i="11"/>
  <c r="J254" i="11"/>
  <c r="G270" i="11"/>
  <c r="J270" i="11"/>
  <c r="G283" i="11"/>
  <c r="J283" i="11"/>
  <c r="G145" i="13"/>
  <c r="J145" i="13"/>
  <c r="G342" i="11"/>
  <c r="J342" i="11"/>
  <c r="G348" i="11"/>
  <c r="J348" i="11"/>
  <c r="G152" i="11"/>
  <c r="J152" i="11"/>
  <c r="G147" i="11"/>
  <c r="J147" i="11"/>
  <c r="G151" i="11"/>
  <c r="J151" i="11"/>
  <c r="G260" i="11"/>
  <c r="J260" i="11"/>
  <c r="G272" i="11"/>
  <c r="J272" i="11"/>
  <c r="G285" i="11"/>
  <c r="J285" i="11"/>
  <c r="G261" i="13"/>
  <c r="J261" i="13"/>
  <c r="G143" i="11"/>
  <c r="J143" i="11"/>
  <c r="G154" i="11"/>
  <c r="J154" i="11"/>
  <c r="G280" i="11"/>
  <c r="J280" i="11"/>
  <c r="G267" i="11"/>
  <c r="J267" i="11"/>
  <c r="G281" i="11"/>
  <c r="J281" i="11"/>
  <c r="G156" i="11"/>
  <c r="J156" i="11"/>
  <c r="G141" i="13"/>
  <c r="J141" i="13"/>
  <c r="G256" i="11"/>
  <c r="J256" i="11"/>
  <c r="G264" i="11"/>
  <c r="J264" i="11"/>
  <c r="G282" i="11"/>
  <c r="J282" i="11"/>
  <c r="E268" i="13"/>
  <c r="J262" i="13"/>
  <c r="G350" i="11"/>
  <c r="J350" i="11"/>
  <c r="G153" i="11"/>
  <c r="J153" i="11"/>
  <c r="G144" i="11"/>
  <c r="J144" i="11"/>
  <c r="G162" i="11"/>
  <c r="J162" i="11"/>
  <c r="G271" i="11"/>
  <c r="J271" i="11"/>
  <c r="G253" i="11"/>
  <c r="J253" i="11"/>
  <c r="G276" i="11"/>
  <c r="J276" i="11"/>
  <c r="G284" i="11"/>
  <c r="J284" i="11"/>
  <c r="G279" i="13"/>
  <c r="J279" i="13"/>
  <c r="G280" i="13"/>
  <c r="J280" i="13"/>
  <c r="G143" i="13"/>
  <c r="J143" i="13"/>
  <c r="G161" i="11"/>
  <c r="J161" i="11"/>
  <c r="G261" i="11"/>
  <c r="J261" i="11"/>
  <c r="G347" i="11"/>
  <c r="J347" i="11"/>
  <c r="G146" i="11"/>
  <c r="J146" i="11"/>
  <c r="G252" i="11"/>
  <c r="J252" i="11"/>
  <c r="G141" i="11"/>
  <c r="J141" i="11"/>
  <c r="G344" i="11"/>
  <c r="J344" i="11"/>
  <c r="G148" i="11"/>
  <c r="J148" i="11"/>
  <c r="G142" i="11"/>
  <c r="J142" i="11"/>
  <c r="G266" i="11"/>
  <c r="J266" i="11"/>
  <c r="G274" i="11"/>
  <c r="J274" i="11"/>
  <c r="G221" i="11"/>
  <c r="J221" i="11"/>
  <c r="G145" i="11"/>
  <c r="J145" i="11"/>
  <c r="G149" i="11"/>
  <c r="J149" i="11"/>
  <c r="G158" i="11"/>
  <c r="J158" i="11"/>
  <c r="G273" i="11"/>
  <c r="J273" i="11"/>
  <c r="G255" i="11"/>
  <c r="J255" i="11"/>
  <c r="G257" i="11"/>
  <c r="J257" i="11"/>
  <c r="G278" i="11"/>
  <c r="J278" i="11"/>
  <c r="G286" i="11"/>
  <c r="J286" i="11"/>
  <c r="G352" i="13"/>
  <c r="J352" i="13"/>
  <c r="G221" i="13"/>
  <c r="J221" i="13"/>
  <c r="G270" i="19"/>
  <c r="J270" i="19"/>
  <c r="U3" i="16"/>
  <c r="J373" i="16"/>
  <c r="J268" i="13"/>
  <c r="E144" i="10"/>
  <c r="E145" i="10"/>
  <c r="E146" i="10"/>
  <c r="E143" i="10"/>
  <c r="E147" i="10"/>
  <c r="E221" i="10"/>
  <c r="E231" i="10"/>
  <c r="E331" i="10"/>
  <c r="E324" i="10"/>
  <c r="E322" i="10"/>
  <c r="E279" i="10"/>
  <c r="E277" i="10"/>
  <c r="E272" i="10"/>
  <c r="E270" i="10"/>
  <c r="E266" i="10"/>
  <c r="E259" i="10"/>
  <c r="E257" i="10"/>
  <c r="E252" i="10"/>
  <c r="E241" i="10"/>
  <c r="E237" i="10"/>
  <c r="E235" i="10"/>
  <c r="E229" i="10"/>
  <c r="E325" i="10"/>
  <c r="E323" i="10"/>
  <c r="E278" i="10"/>
  <c r="E276" i="10"/>
  <c r="E273" i="10"/>
  <c r="E271" i="10"/>
  <c r="E261" i="10"/>
  <c r="E254" i="10"/>
  <c r="E238" i="10"/>
  <c r="E233" i="10"/>
  <c r="E223" i="10"/>
  <c r="E220" i="10"/>
  <c r="E161" i="10"/>
  <c r="E159" i="10"/>
  <c r="E154" i="10"/>
  <c r="E152" i="10"/>
  <c r="E142" i="10"/>
  <c r="E83" i="10"/>
  <c r="E81" i="10"/>
  <c r="E73" i="10"/>
  <c r="E71" i="10"/>
  <c r="E22" i="10"/>
  <c r="E20" i="10"/>
  <c r="E15" i="10"/>
  <c r="E13" i="10"/>
  <c r="E332" i="10"/>
  <c r="E280" i="10"/>
  <c r="E275" i="10"/>
  <c r="E265" i="10"/>
  <c r="E263" i="10"/>
  <c r="E258" i="10"/>
  <c r="E256" i="10"/>
  <c r="E253" i="10"/>
  <c r="E251" i="10"/>
  <c r="E242" i="10"/>
  <c r="E240" i="10"/>
  <c r="E225" i="10"/>
  <c r="E164" i="10"/>
  <c r="E157" i="10"/>
  <c r="E155" i="10"/>
  <c r="E150" i="10"/>
  <c r="E148" i="10"/>
  <c r="E140" i="10"/>
  <c r="E86" i="10"/>
  <c r="E84" i="10"/>
  <c r="E76" i="10"/>
  <c r="E74" i="10"/>
  <c r="E27" i="10"/>
  <c r="E25" i="10"/>
  <c r="E18" i="10"/>
  <c r="E16" i="10"/>
  <c r="E267" i="10"/>
  <c r="E262" i="10"/>
  <c r="J262" i="10" s="1"/>
  <c r="E260" i="10"/>
  <c r="E255" i="10"/>
  <c r="E232" i="10"/>
  <c r="E222" i="10"/>
  <c r="E162" i="10"/>
  <c r="E160" i="10"/>
  <c r="E364" i="10"/>
  <c r="E333" i="10"/>
  <c r="E321" i="10"/>
  <c r="E274" i="10"/>
  <c r="E264" i="10"/>
  <c r="E244" i="10"/>
  <c r="E236" i="10"/>
  <c r="E234" i="10"/>
  <c r="E230" i="10"/>
  <c r="E228" i="10"/>
  <c r="E226" i="10"/>
  <c r="E224" i="10"/>
  <c r="E156" i="10"/>
  <c r="E149" i="10"/>
  <c r="E141" i="10"/>
  <c r="E75" i="10"/>
  <c r="E28" i="10"/>
  <c r="E24" i="10"/>
  <c r="E17" i="10"/>
  <c r="E82" i="10"/>
  <c r="E78" i="10"/>
  <c r="E23" i="10"/>
  <c r="E163" i="10"/>
  <c r="E158" i="10"/>
  <c r="E85" i="10"/>
  <c r="E26" i="10"/>
  <c r="E19" i="10"/>
  <c r="E153" i="10"/>
  <c r="E80" i="10"/>
  <c r="E72" i="10"/>
  <c r="E32" i="10"/>
  <c r="E21" i="10"/>
  <c r="E14" i="10"/>
  <c r="E329" i="10"/>
  <c r="E286" i="10"/>
  <c r="E330" i="10"/>
  <c r="E328" i="10"/>
  <c r="E285" i="10"/>
  <c r="E283" i="10"/>
  <c r="E29" i="10"/>
  <c r="E327" i="10"/>
  <c r="E282" i="10"/>
  <c r="E284" i="10"/>
  <c r="E326" i="10"/>
  <c r="E281" i="10"/>
  <c r="E269" i="10"/>
  <c r="E151" i="10"/>
  <c r="E70" i="10"/>
  <c r="E30" i="10"/>
  <c r="E12" i="10"/>
  <c r="E268" i="11"/>
  <c r="G262" i="11"/>
  <c r="G16" i="13"/>
  <c r="G20" i="13"/>
  <c r="G24" i="13"/>
  <c r="G28" i="13"/>
  <c r="G72" i="13"/>
  <c r="G76" i="13"/>
  <c r="G82" i="13"/>
  <c r="G86" i="13"/>
  <c r="G146" i="13"/>
  <c r="G150" i="13"/>
  <c r="G154" i="13"/>
  <c r="G158" i="13"/>
  <c r="G162" i="13"/>
  <c r="G220" i="13"/>
  <c r="G225" i="13"/>
  <c r="G229" i="13"/>
  <c r="G234" i="13"/>
  <c r="G238" i="13"/>
  <c r="G244" i="13"/>
  <c r="G251" i="13"/>
  <c r="G253" i="13"/>
  <c r="G257" i="13"/>
  <c r="G262" i="13"/>
  <c r="G272" i="13"/>
  <c r="G276" i="13"/>
  <c r="G340" i="13"/>
  <c r="G344" i="13"/>
  <c r="G446" i="13"/>
  <c r="G13" i="13"/>
  <c r="G17" i="13"/>
  <c r="G21" i="13"/>
  <c r="G25" i="13"/>
  <c r="G32" i="13"/>
  <c r="G71" i="13"/>
  <c r="G75" i="13"/>
  <c r="G81" i="13"/>
  <c r="G85" i="13"/>
  <c r="G144" i="13"/>
  <c r="G149" i="13"/>
  <c r="G153" i="13"/>
  <c r="G157" i="13"/>
  <c r="G161" i="13"/>
  <c r="G224" i="13"/>
  <c r="G230" i="13"/>
  <c r="G235" i="13"/>
  <c r="G240" i="13"/>
  <c r="G254" i="13"/>
  <c r="G258" i="13"/>
  <c r="G263" i="13"/>
  <c r="G271" i="13"/>
  <c r="G275" i="13"/>
  <c r="G341" i="13"/>
  <c r="G349" i="13"/>
  <c r="G13" i="11"/>
  <c r="G17" i="11"/>
  <c r="G21" i="11"/>
  <c r="G25" i="11"/>
  <c r="G32" i="11"/>
  <c r="G74" i="11"/>
  <c r="G80" i="11"/>
  <c r="G84" i="11"/>
  <c r="G223" i="11"/>
  <c r="G232" i="11"/>
  <c r="G236" i="11"/>
  <c r="G241" i="11"/>
  <c r="G14" i="11"/>
  <c r="G18" i="11"/>
  <c r="G22" i="11"/>
  <c r="G26" i="11"/>
  <c r="G71" i="11"/>
  <c r="G75" i="11"/>
  <c r="G81" i="11"/>
  <c r="G85" i="11"/>
  <c r="G224" i="11"/>
  <c r="G230" i="11"/>
  <c r="G235" i="11"/>
  <c r="G240" i="11"/>
  <c r="G265" i="16"/>
  <c r="G12" i="13"/>
  <c r="G278" i="13"/>
  <c r="G348" i="13"/>
  <c r="G277" i="13"/>
  <c r="G345" i="13"/>
  <c r="G70" i="11"/>
  <c r="G30" i="11"/>
  <c r="G254" i="15"/>
  <c r="G252" i="16"/>
  <c r="G14" i="13"/>
  <c r="G18" i="13"/>
  <c r="G22" i="13"/>
  <c r="G26" i="13"/>
  <c r="G74" i="13"/>
  <c r="G80" i="13"/>
  <c r="G84" i="13"/>
  <c r="G142" i="13"/>
  <c r="G148" i="13"/>
  <c r="G152" i="13"/>
  <c r="G156" i="13"/>
  <c r="G160" i="13"/>
  <c r="G164" i="13"/>
  <c r="G223" i="13"/>
  <c r="G232" i="13"/>
  <c r="G236" i="13"/>
  <c r="G241" i="13"/>
  <c r="G255" i="13"/>
  <c r="G259" i="13"/>
  <c r="G264" i="13"/>
  <c r="G270" i="13"/>
  <c r="G274" i="13"/>
  <c r="G342" i="13"/>
  <c r="G350" i="13"/>
  <c r="G15" i="13"/>
  <c r="G19" i="13"/>
  <c r="G23" i="13"/>
  <c r="G27" i="13"/>
  <c r="G73" i="13"/>
  <c r="G78" i="13"/>
  <c r="G83" i="13"/>
  <c r="G140" i="13"/>
  <c r="G147" i="13"/>
  <c r="G151" i="13"/>
  <c r="G155" i="13"/>
  <c r="G159" i="13"/>
  <c r="G163" i="13"/>
  <c r="G222" i="13"/>
  <c r="G226" i="13"/>
  <c r="G228" i="13"/>
  <c r="G233" i="13"/>
  <c r="G237" i="13"/>
  <c r="G242" i="13"/>
  <c r="G256" i="13"/>
  <c r="G260" i="13"/>
  <c r="G265" i="13"/>
  <c r="G269" i="13"/>
  <c r="G273" i="13"/>
  <c r="G343" i="13"/>
  <c r="G351" i="13"/>
  <c r="G15" i="11"/>
  <c r="G19" i="11"/>
  <c r="G23" i="11"/>
  <c r="G27" i="11"/>
  <c r="G72" i="11"/>
  <c r="G76" i="11"/>
  <c r="G82" i="11"/>
  <c r="G86" i="11"/>
  <c r="G220" i="11"/>
  <c r="G225" i="11"/>
  <c r="G229" i="11"/>
  <c r="G234" i="11"/>
  <c r="G238" i="11"/>
  <c r="G244" i="11"/>
  <c r="G251" i="11"/>
  <c r="G16" i="11"/>
  <c r="G20" i="11"/>
  <c r="G24" i="11"/>
  <c r="G28" i="11"/>
  <c r="G73" i="11"/>
  <c r="G78" i="11"/>
  <c r="G83" i="11"/>
  <c r="G140" i="11"/>
  <c r="G222" i="11"/>
  <c r="G226" i="11"/>
  <c r="G228" i="11"/>
  <c r="G233" i="11"/>
  <c r="G237" i="11"/>
  <c r="G242" i="11"/>
  <c r="G340" i="11"/>
  <c r="G268" i="15"/>
  <c r="G30" i="13"/>
  <c r="G70" i="13"/>
  <c r="G268" i="13"/>
  <c r="G346" i="13"/>
  <c r="G29" i="13"/>
  <c r="G347" i="13"/>
  <c r="G29" i="11"/>
  <c r="G12" i="11"/>
  <c r="A6" i="11"/>
  <c r="E177" i="11" s="1"/>
  <c r="G326" i="10" l="1"/>
  <c r="J326" i="10"/>
  <c r="G330" i="10"/>
  <c r="J330" i="10"/>
  <c r="G153" i="10"/>
  <c r="J153" i="10"/>
  <c r="G82" i="10"/>
  <c r="J82" i="10"/>
  <c r="G224" i="10"/>
  <c r="J224" i="10"/>
  <c r="G274" i="10"/>
  <c r="J274" i="10"/>
  <c r="G255" i="10"/>
  <c r="J255" i="10"/>
  <c r="G74" i="10"/>
  <c r="J74" i="10"/>
  <c r="G157" i="10"/>
  <c r="J157" i="10"/>
  <c r="G258" i="10"/>
  <c r="J258" i="10"/>
  <c r="G20" i="10"/>
  <c r="J20" i="10"/>
  <c r="G154" i="10"/>
  <c r="J154" i="10"/>
  <c r="G261" i="10"/>
  <c r="J261" i="10"/>
  <c r="G235" i="10"/>
  <c r="J235" i="10"/>
  <c r="G272" i="10"/>
  <c r="J272" i="10"/>
  <c r="G147" i="10"/>
  <c r="J147" i="10"/>
  <c r="G284" i="10"/>
  <c r="J284" i="10"/>
  <c r="G286" i="10"/>
  <c r="J286" i="10"/>
  <c r="G19" i="10"/>
  <c r="J19" i="10"/>
  <c r="G17" i="10"/>
  <c r="J17" i="10"/>
  <c r="G226" i="10"/>
  <c r="J226" i="10"/>
  <c r="G321" i="10"/>
  <c r="J321" i="10"/>
  <c r="G260" i="10"/>
  <c r="J260" i="10"/>
  <c r="G76" i="10"/>
  <c r="J76" i="10"/>
  <c r="G164" i="10"/>
  <c r="J164" i="10"/>
  <c r="G263" i="10"/>
  <c r="J263" i="10"/>
  <c r="G22" i="10"/>
  <c r="J22" i="10"/>
  <c r="G159" i="10"/>
  <c r="J159" i="10"/>
  <c r="G271" i="10"/>
  <c r="J271" i="10"/>
  <c r="G237" i="10"/>
  <c r="J237" i="10"/>
  <c r="G277" i="10"/>
  <c r="J277" i="10"/>
  <c r="G143" i="10"/>
  <c r="J143" i="10"/>
  <c r="G242" i="10"/>
  <c r="J242" i="10"/>
  <c r="G280" i="10"/>
  <c r="J280" i="10"/>
  <c r="G81" i="10"/>
  <c r="J81" i="10"/>
  <c r="G223" i="10"/>
  <c r="J223" i="10"/>
  <c r="G278" i="10"/>
  <c r="J278" i="10"/>
  <c r="G257" i="10"/>
  <c r="J257" i="10"/>
  <c r="G324" i="10"/>
  <c r="J324" i="10"/>
  <c r="G144" i="10"/>
  <c r="J144" i="10"/>
  <c r="G282" i="10"/>
  <c r="J282" i="10"/>
  <c r="G265" i="10"/>
  <c r="J265" i="10"/>
  <c r="G161" i="10"/>
  <c r="J161" i="10"/>
  <c r="G279" i="10"/>
  <c r="J279" i="10"/>
  <c r="G327" i="10"/>
  <c r="J327" i="10"/>
  <c r="G28" i="10"/>
  <c r="J28" i="10"/>
  <c r="G267" i="10"/>
  <c r="J267" i="10"/>
  <c r="G220" i="10"/>
  <c r="J220" i="10"/>
  <c r="G29" i="10"/>
  <c r="J29" i="10"/>
  <c r="G234" i="10"/>
  <c r="J234" i="10"/>
  <c r="G160" i="10"/>
  <c r="J160" i="10"/>
  <c r="G151" i="10"/>
  <c r="J151" i="10"/>
  <c r="G283" i="10"/>
  <c r="J283" i="10"/>
  <c r="G32" i="10"/>
  <c r="J32" i="10"/>
  <c r="G163" i="10"/>
  <c r="J163" i="10"/>
  <c r="G141" i="10"/>
  <c r="J141" i="10"/>
  <c r="G236" i="10"/>
  <c r="J236" i="10"/>
  <c r="G162" i="10"/>
  <c r="J162" i="10"/>
  <c r="G18" i="10"/>
  <c r="J18" i="10"/>
  <c r="G148" i="10"/>
  <c r="J148" i="10"/>
  <c r="G251" i="10"/>
  <c r="J251" i="10"/>
  <c r="G332" i="10"/>
  <c r="J332" i="10"/>
  <c r="G83" i="10"/>
  <c r="J83" i="10"/>
  <c r="G233" i="10"/>
  <c r="J233" i="10"/>
  <c r="G323" i="10"/>
  <c r="J323" i="10"/>
  <c r="G259" i="10"/>
  <c r="J259" i="10"/>
  <c r="G331" i="10"/>
  <c r="J331" i="10"/>
  <c r="G12" i="10"/>
  <c r="J12" i="10"/>
  <c r="G228" i="10"/>
  <c r="J228" i="10"/>
  <c r="G84" i="10"/>
  <c r="J84" i="10"/>
  <c r="G71" i="10"/>
  <c r="J71" i="10"/>
  <c r="G241" i="10"/>
  <c r="J241" i="10"/>
  <c r="G146" i="10"/>
  <c r="J146" i="10"/>
  <c r="G14" i="10"/>
  <c r="J14" i="10"/>
  <c r="G230" i="10"/>
  <c r="J230" i="10"/>
  <c r="G86" i="10"/>
  <c r="J86" i="10"/>
  <c r="G275" i="10"/>
  <c r="J275" i="10"/>
  <c r="G252" i="10"/>
  <c r="J252" i="10"/>
  <c r="G322" i="10"/>
  <c r="J322" i="10"/>
  <c r="G70" i="10"/>
  <c r="J70" i="10"/>
  <c r="G158" i="10"/>
  <c r="J158" i="10"/>
  <c r="G140" i="10"/>
  <c r="J140" i="10"/>
  <c r="G269" i="10"/>
  <c r="J269" i="10"/>
  <c r="G285" i="10"/>
  <c r="J285" i="10"/>
  <c r="G72" i="10"/>
  <c r="J72" i="10"/>
  <c r="G23" i="10"/>
  <c r="J23" i="10"/>
  <c r="G149" i="10"/>
  <c r="J149" i="10"/>
  <c r="G244" i="10"/>
  <c r="J244" i="10"/>
  <c r="G222" i="10"/>
  <c r="J222" i="10"/>
  <c r="G25" i="10"/>
  <c r="J25" i="10"/>
  <c r="G150" i="10"/>
  <c r="J150" i="10"/>
  <c r="G253" i="10"/>
  <c r="J253" i="10"/>
  <c r="G13" i="10"/>
  <c r="J13" i="10"/>
  <c r="G142" i="10"/>
  <c r="J142" i="10"/>
  <c r="G238" i="10"/>
  <c r="J238" i="10"/>
  <c r="G325" i="10"/>
  <c r="J325" i="10"/>
  <c r="G266" i="10"/>
  <c r="J266" i="10"/>
  <c r="G231" i="10"/>
  <c r="J231" i="10"/>
  <c r="G329" i="10"/>
  <c r="J329" i="10"/>
  <c r="G26" i="10"/>
  <c r="J26" i="10"/>
  <c r="G24" i="10"/>
  <c r="J24" i="10"/>
  <c r="G333" i="10"/>
  <c r="J333" i="10"/>
  <c r="G225" i="10"/>
  <c r="J225" i="10"/>
  <c r="G273" i="10"/>
  <c r="J273" i="10"/>
  <c r="G30" i="10"/>
  <c r="J30" i="10"/>
  <c r="G85" i="10"/>
  <c r="J85" i="10"/>
  <c r="G364" i="10"/>
  <c r="J364" i="10"/>
  <c r="G240" i="10"/>
  <c r="J240" i="10"/>
  <c r="G73" i="10"/>
  <c r="J73" i="10"/>
  <c r="G276" i="10"/>
  <c r="J276" i="10"/>
  <c r="G145" i="10"/>
  <c r="J145" i="10"/>
  <c r="G21" i="10"/>
  <c r="J21" i="10"/>
  <c r="G75" i="10"/>
  <c r="J75" i="10"/>
  <c r="G16" i="10"/>
  <c r="J16" i="10"/>
  <c r="G281" i="10"/>
  <c r="J281" i="10"/>
  <c r="G328" i="10"/>
  <c r="J328" i="10"/>
  <c r="G80" i="10"/>
  <c r="J80" i="10"/>
  <c r="G78" i="10"/>
  <c r="J78" i="10"/>
  <c r="G156" i="10"/>
  <c r="J156" i="10"/>
  <c r="G264" i="10"/>
  <c r="J264" i="10"/>
  <c r="G232" i="10"/>
  <c r="J232" i="10"/>
  <c r="G27" i="10"/>
  <c r="J27" i="10"/>
  <c r="G155" i="10"/>
  <c r="J155" i="10"/>
  <c r="G256" i="10"/>
  <c r="J256" i="10"/>
  <c r="G15" i="10"/>
  <c r="J15" i="10"/>
  <c r="G152" i="10"/>
  <c r="J152" i="10"/>
  <c r="G254" i="10"/>
  <c r="J254" i="10"/>
  <c r="G229" i="10"/>
  <c r="J229" i="10"/>
  <c r="G270" i="10"/>
  <c r="J270" i="10"/>
  <c r="G221" i="10"/>
  <c r="J221" i="10"/>
  <c r="G177" i="11"/>
  <c r="J177" i="11"/>
  <c r="U3" i="19"/>
  <c r="J375" i="19"/>
  <c r="J375" i="16"/>
  <c r="U8" i="16" s="1"/>
  <c r="U7" i="16"/>
  <c r="G268" i="11"/>
  <c r="J268" i="11"/>
  <c r="E317" i="11"/>
  <c r="E167" i="11"/>
  <c r="E268" i="10"/>
  <c r="G262" i="10"/>
  <c r="E288" i="11"/>
  <c r="E321" i="11"/>
  <c r="E329" i="11"/>
  <c r="E328" i="11"/>
  <c r="E327" i="11"/>
  <c r="E330" i="11"/>
  <c r="E292" i="11"/>
  <c r="J292" i="11" s="1"/>
  <c r="E44" i="11"/>
  <c r="J44" i="11" s="1"/>
  <c r="E53" i="11"/>
  <c r="J53" i="11" s="1"/>
  <c r="E47" i="11"/>
  <c r="J47" i="11" s="1"/>
  <c r="E42" i="11"/>
  <c r="J42" i="11" s="1"/>
  <c r="E36" i="11"/>
  <c r="J36" i="11" s="1"/>
  <c r="E58" i="11"/>
  <c r="J58" i="11" s="1"/>
  <c r="E56" i="11"/>
  <c r="J56" i="11" s="1"/>
  <c r="E54" i="11"/>
  <c r="J54" i="11" s="1"/>
  <c r="E52" i="11"/>
  <c r="J52" i="11" s="1"/>
  <c r="E50" i="11"/>
  <c r="J50" i="11" s="1"/>
  <c r="E48" i="11"/>
  <c r="J48" i="11" s="1"/>
  <c r="E46" i="11"/>
  <c r="J46" i="11" s="1"/>
  <c r="E41" i="11"/>
  <c r="J41" i="11" s="1"/>
  <c r="E39" i="11"/>
  <c r="J39" i="11" s="1"/>
  <c r="E37" i="11"/>
  <c r="J37" i="11" s="1"/>
  <c r="E55" i="11"/>
  <c r="J55" i="11" s="1"/>
  <c r="E51" i="11"/>
  <c r="J51" i="11" s="1"/>
  <c r="E38" i="11"/>
  <c r="J38" i="11" s="1"/>
  <c r="E57" i="11"/>
  <c r="J57" i="11" s="1"/>
  <c r="E49" i="11"/>
  <c r="J49" i="11" s="1"/>
  <c r="E40" i="11"/>
  <c r="J40" i="11" s="1"/>
  <c r="E323" i="11"/>
  <c r="E319" i="11"/>
  <c r="E316" i="11"/>
  <c r="E314" i="11"/>
  <c r="E312" i="11"/>
  <c r="E310" i="11"/>
  <c r="E306" i="11"/>
  <c r="E303" i="11"/>
  <c r="E301" i="11"/>
  <c r="E299" i="11"/>
  <c r="E297" i="11"/>
  <c r="E295" i="11"/>
  <c r="E293" i="11"/>
  <c r="E290" i="11"/>
  <c r="E207" i="11"/>
  <c r="J207" i="11" s="1"/>
  <c r="E202" i="11"/>
  <c r="J202" i="11" s="1"/>
  <c r="E200" i="11"/>
  <c r="J200" i="11" s="1"/>
  <c r="E198" i="11"/>
  <c r="J198" i="11" s="1"/>
  <c r="E196" i="11"/>
  <c r="J196" i="11" s="1"/>
  <c r="E190" i="11"/>
  <c r="J190" i="11" s="1"/>
  <c r="E188" i="11"/>
  <c r="J188" i="11" s="1"/>
  <c r="E186" i="11"/>
  <c r="J186" i="11" s="1"/>
  <c r="E182" i="11"/>
  <c r="J182" i="11" s="1"/>
  <c r="E180" i="11"/>
  <c r="J180" i="11" s="1"/>
  <c r="E178" i="11"/>
  <c r="J178" i="11" s="1"/>
  <c r="E175" i="11"/>
  <c r="J175" i="11" s="1"/>
  <c r="E173" i="11"/>
  <c r="J173" i="11" s="1"/>
  <c r="E171" i="11"/>
  <c r="J171" i="11" s="1"/>
  <c r="E169" i="11"/>
  <c r="J169" i="11" s="1"/>
  <c r="E166" i="11"/>
  <c r="J166" i="11" s="1"/>
  <c r="E326" i="11"/>
  <c r="E322" i="11"/>
  <c r="E320" i="11"/>
  <c r="E318" i="11"/>
  <c r="E315" i="11"/>
  <c r="E313" i="11"/>
  <c r="E311" i="11"/>
  <c r="E309" i="11"/>
  <c r="E302" i="11"/>
  <c r="E300" i="11"/>
  <c r="E296" i="11"/>
  <c r="E294" i="11"/>
  <c r="E291" i="11"/>
  <c r="E289" i="11"/>
  <c r="J289" i="11" s="1"/>
  <c r="E208" i="11"/>
  <c r="J208" i="11" s="1"/>
  <c r="E206" i="11"/>
  <c r="J206" i="11" s="1"/>
  <c r="E201" i="11"/>
  <c r="J201" i="11" s="1"/>
  <c r="E199" i="11"/>
  <c r="J199" i="11" s="1"/>
  <c r="E197" i="11"/>
  <c r="J197" i="11" s="1"/>
  <c r="E191" i="11"/>
  <c r="J191" i="11" s="1"/>
  <c r="E189" i="11"/>
  <c r="J189" i="11" s="1"/>
  <c r="E187" i="11"/>
  <c r="J187" i="11" s="1"/>
  <c r="E185" i="11"/>
  <c r="J185" i="11" s="1"/>
  <c r="E181" i="11"/>
  <c r="J181" i="11" s="1"/>
  <c r="E179" i="11"/>
  <c r="J179" i="11" s="1"/>
  <c r="E176" i="11"/>
  <c r="J176" i="11" s="1"/>
  <c r="E174" i="11"/>
  <c r="J174" i="11" s="1"/>
  <c r="E172" i="11"/>
  <c r="J172" i="11" s="1"/>
  <c r="E170" i="11"/>
  <c r="J170" i="11" s="1"/>
  <c r="E168" i="11"/>
  <c r="J168" i="11" s="1"/>
  <c r="G267" i="13"/>
  <c r="G252" i="13"/>
  <c r="A6" i="16"/>
  <c r="A6" i="13"/>
  <c r="A6" i="10"/>
  <c r="A6" i="19"/>
  <c r="G291" i="11" l="1"/>
  <c r="J291" i="11"/>
  <c r="G296" i="11"/>
  <c r="J296" i="11"/>
  <c r="G302" i="11"/>
  <c r="J302" i="11"/>
  <c r="G311" i="11"/>
  <c r="J311" i="11"/>
  <c r="G315" i="11"/>
  <c r="J315" i="11"/>
  <c r="G320" i="11"/>
  <c r="J320" i="11"/>
  <c r="G326" i="11"/>
  <c r="J326" i="11"/>
  <c r="G293" i="11"/>
  <c r="J293" i="11"/>
  <c r="G297" i="11"/>
  <c r="J297" i="11"/>
  <c r="G301" i="11"/>
  <c r="J301" i="11"/>
  <c r="G306" i="11"/>
  <c r="J306" i="11"/>
  <c r="G312" i="11"/>
  <c r="J312" i="11"/>
  <c r="G316" i="11"/>
  <c r="J316" i="11"/>
  <c r="G323" i="11"/>
  <c r="J323" i="11"/>
  <c r="G327" i="11"/>
  <c r="J327" i="11"/>
  <c r="G329" i="11"/>
  <c r="J329" i="11"/>
  <c r="G288" i="11"/>
  <c r="J288" i="11"/>
  <c r="G317" i="11"/>
  <c r="J317" i="11"/>
  <c r="G294" i="11"/>
  <c r="J294" i="11"/>
  <c r="G300" i="11"/>
  <c r="J300" i="11"/>
  <c r="G309" i="11"/>
  <c r="J309" i="11"/>
  <c r="G313" i="11"/>
  <c r="J313" i="11"/>
  <c r="G318" i="11"/>
  <c r="J318" i="11"/>
  <c r="G322" i="11"/>
  <c r="J322" i="11"/>
  <c r="G290" i="11"/>
  <c r="J290" i="11"/>
  <c r="G295" i="11"/>
  <c r="J295" i="11"/>
  <c r="G299" i="11"/>
  <c r="J299" i="11"/>
  <c r="G303" i="11"/>
  <c r="J303" i="11"/>
  <c r="G310" i="11"/>
  <c r="J310" i="11"/>
  <c r="G314" i="11"/>
  <c r="J314" i="11"/>
  <c r="G319" i="11"/>
  <c r="J319" i="11"/>
  <c r="G330" i="11"/>
  <c r="J330" i="11"/>
  <c r="G328" i="11"/>
  <c r="J328" i="11"/>
  <c r="G321" i="11"/>
  <c r="J321" i="11"/>
  <c r="G167" i="11"/>
  <c r="J167" i="11"/>
  <c r="J377" i="19"/>
  <c r="U8" i="19" s="1"/>
  <c r="U7" i="19"/>
  <c r="G268" i="10"/>
  <c r="J268" i="10"/>
  <c r="E295" i="16"/>
  <c r="E294" i="16"/>
  <c r="E296" i="19"/>
  <c r="E297" i="19"/>
  <c r="E57" i="10"/>
  <c r="E294" i="10"/>
  <c r="E295" i="10"/>
  <c r="E169" i="19"/>
  <c r="E179" i="19"/>
  <c r="E167" i="10"/>
  <c r="E177" i="10"/>
  <c r="E167" i="16"/>
  <c r="E177" i="16"/>
  <c r="E167" i="13"/>
  <c r="E177" i="13"/>
  <c r="E310" i="10"/>
  <c r="E303" i="10"/>
  <c r="E301" i="10"/>
  <c r="E296" i="10"/>
  <c r="E292" i="10"/>
  <c r="E309" i="10"/>
  <c r="E307" i="10"/>
  <c r="E302" i="10"/>
  <c r="E300" i="10"/>
  <c r="E297" i="10"/>
  <c r="E293" i="10"/>
  <c r="E288" i="10"/>
  <c r="E202" i="10"/>
  <c r="E191" i="10"/>
  <c r="E189" i="10"/>
  <c r="E178" i="10"/>
  <c r="E175" i="10"/>
  <c r="E168" i="10"/>
  <c r="E55" i="10"/>
  <c r="E48" i="10"/>
  <c r="E46" i="10"/>
  <c r="E44" i="10"/>
  <c r="E38" i="10"/>
  <c r="E36" i="10"/>
  <c r="E311" i="10"/>
  <c r="E306" i="10"/>
  <c r="E304" i="10"/>
  <c r="E299" i="10"/>
  <c r="E290" i="10"/>
  <c r="E208" i="10"/>
  <c r="E206" i="10"/>
  <c r="E200" i="10"/>
  <c r="E198" i="10"/>
  <c r="E187" i="10"/>
  <c r="E185" i="10"/>
  <c r="E181" i="10"/>
  <c r="E179" i="10"/>
  <c r="E173" i="10"/>
  <c r="E171" i="10"/>
  <c r="E53" i="10"/>
  <c r="E51" i="10"/>
  <c r="E41" i="10"/>
  <c r="E308" i="10"/>
  <c r="E201" i="10"/>
  <c r="E196" i="10"/>
  <c r="E190" i="10"/>
  <c r="E176" i="10"/>
  <c r="E174" i="10"/>
  <c r="E169" i="10"/>
  <c r="E166" i="10"/>
  <c r="E305" i="10"/>
  <c r="E298" i="10"/>
  <c r="E291" i="10"/>
  <c r="E289" i="10"/>
  <c r="E207" i="10"/>
  <c r="E199" i="10"/>
  <c r="E197" i="10"/>
  <c r="E188" i="10"/>
  <c r="E186" i="10"/>
  <c r="E182" i="10"/>
  <c r="E180" i="10"/>
  <c r="E172" i="10"/>
  <c r="E170" i="10"/>
  <c r="E54" i="10"/>
  <c r="E47" i="10"/>
  <c r="E39" i="10"/>
  <c r="E50" i="10"/>
  <c r="E42" i="10"/>
  <c r="E56" i="10"/>
  <c r="E49" i="10"/>
  <c r="E37" i="10"/>
  <c r="E52" i="10"/>
  <c r="E40" i="10"/>
  <c r="E310" i="19"/>
  <c r="E308" i="19"/>
  <c r="E301" i="19"/>
  <c r="E299" i="19"/>
  <c r="E292" i="19"/>
  <c r="E290" i="19"/>
  <c r="E204" i="19"/>
  <c r="E192" i="19"/>
  <c r="E178" i="19"/>
  <c r="E176" i="19"/>
  <c r="E171" i="19"/>
  <c r="E168" i="19"/>
  <c r="E58" i="19"/>
  <c r="E56" i="19"/>
  <c r="E51" i="19"/>
  <c r="E49" i="19"/>
  <c r="E41" i="19"/>
  <c r="E39" i="19"/>
  <c r="E313" i="19"/>
  <c r="E311" i="19"/>
  <c r="E306" i="19"/>
  <c r="E304" i="19"/>
  <c r="E295" i="19"/>
  <c r="E293" i="19"/>
  <c r="E210" i="19"/>
  <c r="E208" i="19"/>
  <c r="E202" i="19"/>
  <c r="E200" i="19"/>
  <c r="E190" i="19"/>
  <c r="E188" i="19"/>
  <c r="E184" i="19"/>
  <c r="E182" i="19"/>
  <c r="E174" i="19"/>
  <c r="E172" i="19"/>
  <c r="E307" i="19"/>
  <c r="E300" i="19"/>
  <c r="E291" i="19"/>
  <c r="E198" i="19"/>
  <c r="E193" i="19"/>
  <c r="E177" i="19"/>
  <c r="E170" i="19"/>
  <c r="E46" i="19"/>
  <c r="E43" i="19"/>
  <c r="E38" i="19"/>
  <c r="E303" i="19"/>
  <c r="E294" i="19"/>
  <c r="E209" i="19"/>
  <c r="E201" i="19"/>
  <c r="E189" i="19"/>
  <c r="E181" i="19"/>
  <c r="E173" i="19"/>
  <c r="E53" i="19"/>
  <c r="E48" i="19"/>
  <c r="E42" i="19"/>
  <c r="E40" i="19"/>
  <c r="E309" i="19"/>
  <c r="E302" i="19"/>
  <c r="E203" i="19"/>
  <c r="E191" i="19"/>
  <c r="E180" i="19"/>
  <c r="E57" i="19"/>
  <c r="E55" i="19"/>
  <c r="E52" i="19"/>
  <c r="E50" i="19"/>
  <c r="E44" i="19"/>
  <c r="E312" i="19"/>
  <c r="E305" i="19"/>
  <c r="E298" i="19"/>
  <c r="E199" i="19"/>
  <c r="E187" i="19"/>
  <c r="E183" i="19"/>
  <c r="E175" i="19"/>
  <c r="E59" i="19"/>
  <c r="E54" i="19"/>
  <c r="E306" i="16"/>
  <c r="J306" i="16" s="1"/>
  <c r="E311" i="16"/>
  <c r="J311" i="16" s="1"/>
  <c r="E309" i="16"/>
  <c r="J309" i="16" s="1"/>
  <c r="E307" i="16"/>
  <c r="J307" i="16" s="1"/>
  <c r="E305" i="16"/>
  <c r="E303" i="16"/>
  <c r="J303" i="16" s="1"/>
  <c r="E301" i="16"/>
  <c r="J301" i="16" s="1"/>
  <c r="E299" i="16"/>
  <c r="J299" i="16" s="1"/>
  <c r="E297" i="16"/>
  <c r="E293" i="16"/>
  <c r="J293" i="16" s="1"/>
  <c r="E291" i="16"/>
  <c r="J291" i="16" s="1"/>
  <c r="E289" i="16"/>
  <c r="J289" i="16" s="1"/>
  <c r="E308" i="16"/>
  <c r="J308" i="16" s="1"/>
  <c r="E310" i="16"/>
  <c r="J310" i="16" s="1"/>
  <c r="E304" i="16"/>
  <c r="E302" i="16"/>
  <c r="J302" i="16" s="1"/>
  <c r="E300" i="16"/>
  <c r="J300" i="16" s="1"/>
  <c r="E298" i="16"/>
  <c r="J298" i="16" s="1"/>
  <c r="E296" i="16"/>
  <c r="J296" i="16" s="1"/>
  <c r="E292" i="16"/>
  <c r="J292" i="16" s="1"/>
  <c r="E290" i="16"/>
  <c r="J290" i="16" s="1"/>
  <c r="E288" i="16"/>
  <c r="J288" i="16" s="1"/>
  <c r="E202" i="16"/>
  <c r="J202" i="16" s="1"/>
  <c r="E198" i="16"/>
  <c r="J198" i="16" s="1"/>
  <c r="E190" i="16"/>
  <c r="J190" i="16" s="1"/>
  <c r="E186" i="16"/>
  <c r="J186" i="16" s="1"/>
  <c r="E180" i="16"/>
  <c r="J180" i="16" s="1"/>
  <c r="E175" i="16"/>
  <c r="J175" i="16" s="1"/>
  <c r="E171" i="16"/>
  <c r="J171" i="16" s="1"/>
  <c r="E166" i="16"/>
  <c r="J166" i="16" s="1"/>
  <c r="E206" i="16"/>
  <c r="J206" i="16" s="1"/>
  <c r="E172" i="16"/>
  <c r="J172" i="16" s="1"/>
  <c r="E208" i="16"/>
  <c r="J208" i="16" s="1"/>
  <c r="E201" i="16"/>
  <c r="J201" i="16" s="1"/>
  <c r="E197" i="16"/>
  <c r="J197" i="16" s="1"/>
  <c r="E189" i="16"/>
  <c r="J189" i="16" s="1"/>
  <c r="E185" i="16"/>
  <c r="J185" i="16" s="1"/>
  <c r="E179" i="16"/>
  <c r="J179" i="16" s="1"/>
  <c r="E174" i="16"/>
  <c r="J174" i="16" s="1"/>
  <c r="E170" i="16"/>
  <c r="J170" i="16" s="1"/>
  <c r="E187" i="16"/>
  <c r="J187" i="16" s="1"/>
  <c r="E181" i="16"/>
  <c r="J181" i="16" s="1"/>
  <c r="E168" i="16"/>
  <c r="J168" i="16" s="1"/>
  <c r="E207" i="16"/>
  <c r="J207" i="16" s="1"/>
  <c r="E200" i="16"/>
  <c r="J200" i="16" s="1"/>
  <c r="E196" i="16"/>
  <c r="J196" i="16" s="1"/>
  <c r="E188" i="16"/>
  <c r="J188" i="16" s="1"/>
  <c r="E182" i="16"/>
  <c r="J182" i="16" s="1"/>
  <c r="E178" i="16"/>
  <c r="J178" i="16" s="1"/>
  <c r="E173" i="16"/>
  <c r="J173" i="16" s="1"/>
  <c r="E169" i="16"/>
  <c r="J169" i="16" s="1"/>
  <c r="E191" i="16"/>
  <c r="J191" i="16" s="1"/>
  <c r="E176" i="16"/>
  <c r="J176" i="16" s="1"/>
  <c r="E199" i="16"/>
  <c r="J199" i="16" s="1"/>
  <c r="E329" i="13"/>
  <c r="E327" i="13"/>
  <c r="E322" i="13"/>
  <c r="E320" i="13"/>
  <c r="E318" i="13"/>
  <c r="E316" i="13"/>
  <c r="E314" i="13"/>
  <c r="E312" i="13"/>
  <c r="E310" i="13"/>
  <c r="E302" i="13"/>
  <c r="E300" i="13"/>
  <c r="E297" i="13"/>
  <c r="E295" i="13"/>
  <c r="E293" i="13"/>
  <c r="E291" i="13"/>
  <c r="E289" i="13"/>
  <c r="J289" i="13" s="1"/>
  <c r="E330" i="13"/>
  <c r="E328" i="13"/>
  <c r="E326" i="13"/>
  <c r="E323" i="13"/>
  <c r="E321" i="13"/>
  <c r="E319" i="13"/>
  <c r="E317" i="13"/>
  <c r="E315" i="13"/>
  <c r="E313" i="13"/>
  <c r="E311" i="13"/>
  <c r="E309" i="13"/>
  <c r="E306" i="13"/>
  <c r="E303" i="13"/>
  <c r="E301" i="13"/>
  <c r="E299" i="13"/>
  <c r="J299" i="13" s="1"/>
  <c r="E296" i="13"/>
  <c r="E294" i="13"/>
  <c r="E292" i="13"/>
  <c r="J292" i="13" s="1"/>
  <c r="E290" i="13"/>
  <c r="E288" i="13"/>
  <c r="J288" i="13" s="1"/>
  <c r="E57" i="13"/>
  <c r="E55" i="13"/>
  <c r="J55" i="13" s="1"/>
  <c r="E53" i="13"/>
  <c r="J53" i="13" s="1"/>
  <c r="E51" i="13"/>
  <c r="J51" i="13" s="1"/>
  <c r="E49" i="13"/>
  <c r="J49" i="13" s="1"/>
  <c r="E47" i="13"/>
  <c r="J47" i="13" s="1"/>
  <c r="E42" i="13"/>
  <c r="J42" i="13" s="1"/>
  <c r="E40" i="13"/>
  <c r="J40" i="13" s="1"/>
  <c r="E38" i="13"/>
  <c r="J38" i="13" s="1"/>
  <c r="E36" i="13"/>
  <c r="J36" i="13" s="1"/>
  <c r="E58" i="13"/>
  <c r="E56" i="13"/>
  <c r="J56" i="13" s="1"/>
  <c r="E54" i="13"/>
  <c r="J54" i="13" s="1"/>
  <c r="E50" i="13"/>
  <c r="J50" i="13" s="1"/>
  <c r="E48" i="13"/>
  <c r="J48" i="13" s="1"/>
  <c r="E46" i="13"/>
  <c r="J46" i="13" s="1"/>
  <c r="E39" i="13"/>
  <c r="J39" i="13" s="1"/>
  <c r="E44" i="13"/>
  <c r="J44" i="13" s="1"/>
  <c r="E52" i="13"/>
  <c r="J52" i="13" s="1"/>
  <c r="E41" i="13"/>
  <c r="J41" i="13" s="1"/>
  <c r="E37" i="13"/>
  <c r="J37" i="13" s="1"/>
  <c r="E298" i="11"/>
  <c r="G292" i="11"/>
  <c r="E207" i="13"/>
  <c r="J207" i="13" s="1"/>
  <c r="E202" i="13"/>
  <c r="J202" i="13" s="1"/>
  <c r="E200" i="13"/>
  <c r="J200" i="13" s="1"/>
  <c r="E198" i="13"/>
  <c r="J198" i="13" s="1"/>
  <c r="E196" i="13"/>
  <c r="J196" i="13" s="1"/>
  <c r="E190" i="13"/>
  <c r="J190" i="13" s="1"/>
  <c r="E188" i="13"/>
  <c r="J188" i="13" s="1"/>
  <c r="E186" i="13"/>
  <c r="J186" i="13" s="1"/>
  <c r="E182" i="13"/>
  <c r="J182" i="13" s="1"/>
  <c r="E180" i="13"/>
  <c r="J180" i="13" s="1"/>
  <c r="E178" i="13"/>
  <c r="J178" i="13" s="1"/>
  <c r="E175" i="13"/>
  <c r="J175" i="13" s="1"/>
  <c r="E173" i="13"/>
  <c r="J173" i="13" s="1"/>
  <c r="E171" i="13"/>
  <c r="J171" i="13" s="1"/>
  <c r="E169" i="13"/>
  <c r="J169" i="13" s="1"/>
  <c r="E166" i="13"/>
  <c r="J166" i="13" s="1"/>
  <c r="E208" i="13"/>
  <c r="J208" i="13" s="1"/>
  <c r="E206" i="13"/>
  <c r="J206" i="13" s="1"/>
  <c r="E201" i="13"/>
  <c r="J201" i="13" s="1"/>
  <c r="E199" i="13"/>
  <c r="J199" i="13" s="1"/>
  <c r="E197" i="13"/>
  <c r="J197" i="13" s="1"/>
  <c r="E191" i="13"/>
  <c r="J191" i="13" s="1"/>
  <c r="E189" i="13"/>
  <c r="J189" i="13" s="1"/>
  <c r="E187" i="13"/>
  <c r="J187" i="13" s="1"/>
  <c r="E185" i="13"/>
  <c r="J185" i="13" s="1"/>
  <c r="E181" i="13"/>
  <c r="J181" i="13" s="1"/>
  <c r="E179" i="13"/>
  <c r="J179" i="13" s="1"/>
  <c r="E176" i="13"/>
  <c r="J176" i="13" s="1"/>
  <c r="E174" i="13"/>
  <c r="J174" i="13" s="1"/>
  <c r="E172" i="13"/>
  <c r="J172" i="13" s="1"/>
  <c r="E170" i="13"/>
  <c r="J170" i="13" s="1"/>
  <c r="E168" i="13"/>
  <c r="J168" i="13" s="1"/>
  <c r="E208" i="15"/>
  <c r="J208" i="15" s="1"/>
  <c r="E206" i="15"/>
  <c r="J206" i="15" s="1"/>
  <c r="E201" i="15"/>
  <c r="J201" i="15" s="1"/>
  <c r="E199" i="15"/>
  <c r="J199" i="15" s="1"/>
  <c r="E197" i="15"/>
  <c r="J197" i="15" s="1"/>
  <c r="E191" i="15"/>
  <c r="J191" i="15" s="1"/>
  <c r="E189" i="15"/>
  <c r="J189" i="15" s="1"/>
  <c r="E187" i="15"/>
  <c r="J187" i="15" s="1"/>
  <c r="E185" i="15"/>
  <c r="J185" i="15" s="1"/>
  <c r="E181" i="15"/>
  <c r="J181" i="15" s="1"/>
  <c r="E179" i="15"/>
  <c r="J179" i="15" s="1"/>
  <c r="E176" i="15"/>
  <c r="J176" i="15" s="1"/>
  <c r="E174" i="15"/>
  <c r="J174" i="15" s="1"/>
  <c r="E172" i="15"/>
  <c r="J172" i="15" s="1"/>
  <c r="E170" i="15"/>
  <c r="J170" i="15" s="1"/>
  <c r="E168" i="15"/>
  <c r="J168" i="15" s="1"/>
  <c r="E57" i="15"/>
  <c r="J57" i="15" s="1"/>
  <c r="E55" i="15"/>
  <c r="J55" i="15" s="1"/>
  <c r="E53" i="15"/>
  <c r="J53" i="15" s="1"/>
  <c r="E51" i="15"/>
  <c r="J51" i="15" s="1"/>
  <c r="E49" i="15"/>
  <c r="J49" i="15" s="1"/>
  <c r="E47" i="15"/>
  <c r="J47" i="15" s="1"/>
  <c r="E44" i="15"/>
  <c r="J44" i="15" s="1"/>
  <c r="E41" i="15"/>
  <c r="J41" i="15" s="1"/>
  <c r="E39" i="15"/>
  <c r="J39" i="15" s="1"/>
  <c r="E37" i="15"/>
  <c r="J37" i="15" s="1"/>
  <c r="E207" i="15"/>
  <c r="J207" i="15" s="1"/>
  <c r="E202" i="15"/>
  <c r="J202" i="15" s="1"/>
  <c r="E200" i="15"/>
  <c r="J200" i="15" s="1"/>
  <c r="E198" i="15"/>
  <c r="J198" i="15" s="1"/>
  <c r="E196" i="15"/>
  <c r="J196" i="15" s="1"/>
  <c r="E190" i="15"/>
  <c r="J190" i="15" s="1"/>
  <c r="E188" i="15"/>
  <c r="J188" i="15" s="1"/>
  <c r="E186" i="15"/>
  <c r="J186" i="15" s="1"/>
  <c r="E182" i="15"/>
  <c r="J182" i="15" s="1"/>
  <c r="E180" i="15"/>
  <c r="J180" i="15" s="1"/>
  <c r="E175" i="15"/>
  <c r="J175" i="15" s="1"/>
  <c r="E173" i="15"/>
  <c r="J173" i="15" s="1"/>
  <c r="E171" i="15"/>
  <c r="J171" i="15" s="1"/>
  <c r="E169" i="15"/>
  <c r="J169" i="15" s="1"/>
  <c r="E166" i="15"/>
  <c r="J166" i="15" s="1"/>
  <c r="E58" i="15"/>
  <c r="J58" i="15" s="1"/>
  <c r="E56" i="15"/>
  <c r="J56" i="15" s="1"/>
  <c r="E54" i="15"/>
  <c r="J54" i="15" s="1"/>
  <c r="E52" i="15"/>
  <c r="J52" i="15" s="1"/>
  <c r="E50" i="15"/>
  <c r="J50" i="15" s="1"/>
  <c r="E48" i="15"/>
  <c r="J48" i="15" s="1"/>
  <c r="E46" i="15"/>
  <c r="J46" i="15" s="1"/>
  <c r="E42" i="15"/>
  <c r="J42" i="15" s="1"/>
  <c r="E40" i="15"/>
  <c r="J40" i="15" s="1"/>
  <c r="E38" i="15"/>
  <c r="J38" i="15" s="1"/>
  <c r="E36" i="15"/>
  <c r="J36" i="15" s="1"/>
  <c r="G37" i="11"/>
  <c r="G41" i="11"/>
  <c r="G47" i="11"/>
  <c r="G51" i="11"/>
  <c r="G55" i="11"/>
  <c r="G170" i="11"/>
  <c r="G174" i="11"/>
  <c r="G179" i="11"/>
  <c r="G185" i="11"/>
  <c r="G189" i="11"/>
  <c r="G197" i="11"/>
  <c r="G201" i="11"/>
  <c r="G208" i="11"/>
  <c r="G38" i="11"/>
  <c r="G42" i="11"/>
  <c r="G48" i="11"/>
  <c r="G52" i="11"/>
  <c r="G56" i="11"/>
  <c r="G169" i="11"/>
  <c r="G173" i="11"/>
  <c r="G178" i="11"/>
  <c r="G182" i="11"/>
  <c r="G188" i="11"/>
  <c r="G196" i="11"/>
  <c r="G200" i="11"/>
  <c r="G207" i="11"/>
  <c r="E57" i="16"/>
  <c r="J57" i="16" s="1"/>
  <c r="E55" i="16"/>
  <c r="J55" i="16" s="1"/>
  <c r="E53" i="16"/>
  <c r="J53" i="16" s="1"/>
  <c r="E51" i="16"/>
  <c r="J51" i="16" s="1"/>
  <c r="E49" i="16"/>
  <c r="J49" i="16" s="1"/>
  <c r="E47" i="16"/>
  <c r="J47" i="16" s="1"/>
  <c r="E44" i="16"/>
  <c r="J44" i="16" s="1"/>
  <c r="E41" i="16"/>
  <c r="J41" i="16" s="1"/>
  <c r="E39" i="16"/>
  <c r="J39" i="16" s="1"/>
  <c r="E37" i="16"/>
  <c r="J37" i="16" s="1"/>
  <c r="E56" i="16"/>
  <c r="J56" i="16" s="1"/>
  <c r="E54" i="16"/>
  <c r="J54" i="16" s="1"/>
  <c r="E52" i="16"/>
  <c r="J52" i="16" s="1"/>
  <c r="E50" i="16"/>
  <c r="J50" i="16" s="1"/>
  <c r="E48" i="16"/>
  <c r="J48" i="16" s="1"/>
  <c r="E46" i="16"/>
  <c r="J46" i="16" s="1"/>
  <c r="E42" i="16"/>
  <c r="J42" i="16" s="1"/>
  <c r="E40" i="16"/>
  <c r="J40" i="16" s="1"/>
  <c r="E38" i="16"/>
  <c r="J38" i="16" s="1"/>
  <c r="E36" i="16"/>
  <c r="J36" i="16" s="1"/>
  <c r="G39" i="11"/>
  <c r="G44" i="11"/>
  <c r="G49" i="11"/>
  <c r="G53" i="11"/>
  <c r="G57" i="11"/>
  <c r="G168" i="11"/>
  <c r="G172" i="11"/>
  <c r="G176" i="11"/>
  <c r="G181" i="11"/>
  <c r="G187" i="11"/>
  <c r="G191" i="11"/>
  <c r="G199" i="11"/>
  <c r="G206" i="11"/>
  <c r="E304" i="11"/>
  <c r="G289" i="11"/>
  <c r="G36" i="11"/>
  <c r="G40" i="11"/>
  <c r="G46" i="11"/>
  <c r="G50" i="11"/>
  <c r="G54" i="11"/>
  <c r="G58" i="11"/>
  <c r="G166" i="11"/>
  <c r="G171" i="11"/>
  <c r="G175" i="11"/>
  <c r="G180" i="11"/>
  <c r="G186" i="11"/>
  <c r="G190" i="11"/>
  <c r="G198" i="11"/>
  <c r="G202" i="11"/>
  <c r="E305" i="11"/>
  <c r="G296" i="13" l="1"/>
  <c r="J296" i="13"/>
  <c r="G301" i="13"/>
  <c r="J301" i="13"/>
  <c r="G306" i="13"/>
  <c r="J306" i="13"/>
  <c r="G311" i="13"/>
  <c r="J311" i="13"/>
  <c r="G315" i="13"/>
  <c r="J315" i="13"/>
  <c r="G319" i="13"/>
  <c r="J319" i="13"/>
  <c r="G323" i="13"/>
  <c r="J323" i="13"/>
  <c r="G328" i="13"/>
  <c r="J328" i="13"/>
  <c r="G293" i="13"/>
  <c r="J293" i="13"/>
  <c r="G297" i="13"/>
  <c r="J297" i="13"/>
  <c r="G302" i="13"/>
  <c r="J302" i="13"/>
  <c r="G312" i="13"/>
  <c r="J312" i="13"/>
  <c r="G316" i="13"/>
  <c r="J316" i="13"/>
  <c r="G320" i="13"/>
  <c r="J320" i="13"/>
  <c r="G327" i="13"/>
  <c r="J327" i="13"/>
  <c r="G54" i="19"/>
  <c r="J54" i="19"/>
  <c r="G175" i="19"/>
  <c r="J175" i="19"/>
  <c r="G187" i="19"/>
  <c r="J187" i="19"/>
  <c r="G298" i="19"/>
  <c r="J298" i="19"/>
  <c r="G312" i="19"/>
  <c r="J312" i="19"/>
  <c r="G50" i="19"/>
  <c r="J50" i="19"/>
  <c r="G55" i="19"/>
  <c r="J55" i="19"/>
  <c r="G180" i="19"/>
  <c r="J180" i="19"/>
  <c r="G203" i="19"/>
  <c r="J203" i="19"/>
  <c r="G309" i="19"/>
  <c r="J309" i="19"/>
  <c r="G42" i="19"/>
  <c r="J42" i="19"/>
  <c r="G53" i="19"/>
  <c r="J53" i="19"/>
  <c r="G181" i="19"/>
  <c r="J181" i="19"/>
  <c r="G201" i="19"/>
  <c r="J201" i="19"/>
  <c r="G294" i="19"/>
  <c r="J294" i="19"/>
  <c r="G38" i="19"/>
  <c r="J38" i="19"/>
  <c r="G46" i="19"/>
  <c r="J46" i="19"/>
  <c r="G177" i="19"/>
  <c r="J177" i="19"/>
  <c r="G198" i="19"/>
  <c r="J198" i="19"/>
  <c r="G300" i="19"/>
  <c r="J300" i="19"/>
  <c r="G172" i="19"/>
  <c r="J172" i="19"/>
  <c r="G182" i="19"/>
  <c r="J182" i="19"/>
  <c r="G188" i="19"/>
  <c r="J188" i="19"/>
  <c r="G200" i="19"/>
  <c r="J200" i="19"/>
  <c r="G208" i="19"/>
  <c r="J208" i="19"/>
  <c r="G293" i="19"/>
  <c r="J293" i="19"/>
  <c r="G304" i="19"/>
  <c r="J304" i="19"/>
  <c r="G311" i="19"/>
  <c r="J311" i="19"/>
  <c r="G39" i="19"/>
  <c r="J39" i="19"/>
  <c r="G49" i="19"/>
  <c r="J49" i="19"/>
  <c r="G56" i="19"/>
  <c r="J56" i="19"/>
  <c r="G168" i="19"/>
  <c r="J168" i="19"/>
  <c r="G176" i="19"/>
  <c r="J176" i="19"/>
  <c r="G192" i="19"/>
  <c r="J192" i="19"/>
  <c r="G290" i="19"/>
  <c r="J290" i="19"/>
  <c r="G299" i="19"/>
  <c r="J299" i="19"/>
  <c r="G308" i="19"/>
  <c r="J308" i="19"/>
  <c r="G40" i="10"/>
  <c r="J40" i="10"/>
  <c r="G37" i="10"/>
  <c r="J37" i="10"/>
  <c r="G56" i="10"/>
  <c r="J56" i="10"/>
  <c r="G50" i="10"/>
  <c r="J50" i="10"/>
  <c r="G47" i="10"/>
  <c r="J47" i="10"/>
  <c r="G170" i="10"/>
  <c r="J170" i="10"/>
  <c r="G180" i="10"/>
  <c r="J180" i="10"/>
  <c r="G186" i="10"/>
  <c r="J186" i="10"/>
  <c r="G197" i="10"/>
  <c r="J197" i="10"/>
  <c r="G207" i="10"/>
  <c r="J207" i="10"/>
  <c r="G291" i="10"/>
  <c r="J291" i="10"/>
  <c r="G305" i="10"/>
  <c r="J305" i="10"/>
  <c r="G169" i="10"/>
  <c r="J169" i="10"/>
  <c r="G176" i="10"/>
  <c r="J176" i="10"/>
  <c r="G196" i="10"/>
  <c r="J196" i="10"/>
  <c r="G308" i="10"/>
  <c r="J308" i="10"/>
  <c r="G51" i="10"/>
  <c r="J51" i="10"/>
  <c r="G171" i="10"/>
  <c r="J171" i="10"/>
  <c r="G179" i="10"/>
  <c r="J179" i="10"/>
  <c r="G185" i="10"/>
  <c r="J185" i="10"/>
  <c r="G198" i="10"/>
  <c r="J198" i="10"/>
  <c r="G206" i="10"/>
  <c r="J206" i="10"/>
  <c r="G290" i="10"/>
  <c r="J290" i="10"/>
  <c r="G304" i="10"/>
  <c r="J304" i="10"/>
  <c r="G311" i="10"/>
  <c r="J311" i="10"/>
  <c r="G38" i="10"/>
  <c r="J38" i="10"/>
  <c r="G46" i="10"/>
  <c r="J46" i="10"/>
  <c r="G55" i="10"/>
  <c r="J55" i="10"/>
  <c r="G175" i="10"/>
  <c r="J175" i="10"/>
  <c r="G189" i="10"/>
  <c r="J189" i="10"/>
  <c r="G202" i="10"/>
  <c r="J202" i="10"/>
  <c r="G293" i="10"/>
  <c r="J293" i="10"/>
  <c r="G300" i="10"/>
  <c r="J300" i="10"/>
  <c r="G307" i="10"/>
  <c r="J307" i="10"/>
  <c r="G292" i="10"/>
  <c r="J292" i="10"/>
  <c r="G301" i="10"/>
  <c r="J301" i="10"/>
  <c r="G310" i="10"/>
  <c r="J310" i="10"/>
  <c r="G167" i="13"/>
  <c r="J167" i="13"/>
  <c r="G167" i="16"/>
  <c r="J167" i="16"/>
  <c r="G167" i="10"/>
  <c r="J167" i="10"/>
  <c r="G169" i="19"/>
  <c r="J169" i="19"/>
  <c r="G294" i="10"/>
  <c r="J294" i="10"/>
  <c r="G297" i="19"/>
  <c r="J297" i="19"/>
  <c r="G294" i="16"/>
  <c r="J294" i="16"/>
  <c r="G58" i="13"/>
  <c r="J58" i="13"/>
  <c r="G57" i="13"/>
  <c r="J57" i="13"/>
  <c r="G290" i="13"/>
  <c r="J290" i="13"/>
  <c r="G294" i="13"/>
  <c r="J294" i="13"/>
  <c r="G303" i="13"/>
  <c r="J303" i="13"/>
  <c r="G309" i="13"/>
  <c r="J309" i="13"/>
  <c r="G313" i="13"/>
  <c r="J313" i="13"/>
  <c r="G317" i="13"/>
  <c r="J317" i="13"/>
  <c r="G321" i="13"/>
  <c r="J321" i="13"/>
  <c r="G326" i="13"/>
  <c r="J326" i="13"/>
  <c r="G330" i="13"/>
  <c r="J330" i="13"/>
  <c r="G291" i="13"/>
  <c r="J291" i="13"/>
  <c r="G295" i="13"/>
  <c r="J295" i="13"/>
  <c r="G300" i="13"/>
  <c r="J300" i="13"/>
  <c r="G310" i="13"/>
  <c r="J310" i="13"/>
  <c r="G314" i="13"/>
  <c r="J314" i="13"/>
  <c r="G318" i="13"/>
  <c r="J318" i="13"/>
  <c r="G322" i="13"/>
  <c r="J322" i="13"/>
  <c r="G329" i="13"/>
  <c r="J329" i="13"/>
  <c r="G304" i="16"/>
  <c r="J304" i="16"/>
  <c r="G297" i="16"/>
  <c r="J297" i="16"/>
  <c r="G305" i="16"/>
  <c r="J305" i="16"/>
  <c r="G59" i="19"/>
  <c r="J59" i="19"/>
  <c r="G183" i="19"/>
  <c r="J183" i="19"/>
  <c r="G199" i="19"/>
  <c r="J199" i="19"/>
  <c r="G305" i="19"/>
  <c r="J305" i="19"/>
  <c r="G44" i="19"/>
  <c r="J44" i="19"/>
  <c r="G52" i="19"/>
  <c r="J52" i="19"/>
  <c r="G57" i="19"/>
  <c r="J57" i="19"/>
  <c r="G191" i="19"/>
  <c r="J191" i="19"/>
  <c r="G302" i="19"/>
  <c r="J302" i="19"/>
  <c r="G40" i="19"/>
  <c r="J40" i="19"/>
  <c r="G48" i="19"/>
  <c r="J48" i="19"/>
  <c r="G173" i="19"/>
  <c r="J173" i="19"/>
  <c r="G189" i="19"/>
  <c r="J189" i="19"/>
  <c r="G209" i="19"/>
  <c r="J209" i="19"/>
  <c r="G303" i="19"/>
  <c r="J303" i="19"/>
  <c r="G43" i="19"/>
  <c r="J43" i="19"/>
  <c r="G170" i="19"/>
  <c r="J170" i="19"/>
  <c r="G193" i="19"/>
  <c r="J193" i="19"/>
  <c r="G291" i="19"/>
  <c r="J291" i="19"/>
  <c r="G307" i="19"/>
  <c r="J307" i="19"/>
  <c r="G174" i="19"/>
  <c r="J174" i="19"/>
  <c r="G184" i="19"/>
  <c r="J184" i="19"/>
  <c r="G190" i="19"/>
  <c r="J190" i="19"/>
  <c r="G202" i="19"/>
  <c r="J202" i="19"/>
  <c r="G210" i="19"/>
  <c r="J210" i="19"/>
  <c r="G295" i="19"/>
  <c r="J295" i="19"/>
  <c r="G306" i="19"/>
  <c r="J306" i="19"/>
  <c r="G313" i="19"/>
  <c r="J313" i="19"/>
  <c r="G41" i="19"/>
  <c r="J41" i="19"/>
  <c r="G51" i="19"/>
  <c r="J51" i="19"/>
  <c r="G58" i="19"/>
  <c r="J58" i="19"/>
  <c r="G171" i="19"/>
  <c r="J171" i="19"/>
  <c r="G178" i="19"/>
  <c r="J178" i="19"/>
  <c r="G204" i="19"/>
  <c r="J204" i="19"/>
  <c r="G292" i="19"/>
  <c r="J292" i="19"/>
  <c r="G301" i="19"/>
  <c r="J301" i="19"/>
  <c r="G310" i="19"/>
  <c r="J310" i="19"/>
  <c r="G52" i="10"/>
  <c r="J52" i="10"/>
  <c r="G49" i="10"/>
  <c r="J49" i="10"/>
  <c r="G42" i="10"/>
  <c r="J42" i="10"/>
  <c r="G39" i="10"/>
  <c r="J39" i="10"/>
  <c r="G54" i="10"/>
  <c r="J54" i="10"/>
  <c r="G172" i="10"/>
  <c r="J172" i="10"/>
  <c r="G182" i="10"/>
  <c r="J182" i="10"/>
  <c r="G188" i="10"/>
  <c r="J188" i="10"/>
  <c r="G199" i="10"/>
  <c r="J199" i="10"/>
  <c r="G289" i="10"/>
  <c r="J289" i="10"/>
  <c r="G298" i="10"/>
  <c r="J298" i="10"/>
  <c r="G166" i="10"/>
  <c r="J166" i="10"/>
  <c r="G174" i="10"/>
  <c r="J174" i="10"/>
  <c r="G190" i="10"/>
  <c r="J190" i="10"/>
  <c r="G201" i="10"/>
  <c r="J201" i="10"/>
  <c r="G41" i="10"/>
  <c r="J41" i="10"/>
  <c r="G53" i="10"/>
  <c r="J53" i="10"/>
  <c r="G173" i="10"/>
  <c r="J173" i="10"/>
  <c r="G181" i="10"/>
  <c r="J181" i="10"/>
  <c r="G187" i="10"/>
  <c r="J187" i="10"/>
  <c r="G200" i="10"/>
  <c r="J200" i="10"/>
  <c r="G208" i="10"/>
  <c r="J208" i="10"/>
  <c r="G299" i="10"/>
  <c r="J299" i="10"/>
  <c r="G306" i="10"/>
  <c r="J306" i="10"/>
  <c r="G36" i="10"/>
  <c r="J36" i="10"/>
  <c r="G44" i="10"/>
  <c r="J44" i="10"/>
  <c r="G48" i="10"/>
  <c r="J48" i="10"/>
  <c r="G168" i="10"/>
  <c r="J168" i="10"/>
  <c r="G178" i="10"/>
  <c r="J178" i="10"/>
  <c r="G191" i="10"/>
  <c r="J191" i="10"/>
  <c r="G288" i="10"/>
  <c r="J288" i="10"/>
  <c r="G297" i="10"/>
  <c r="J297" i="10"/>
  <c r="G302" i="10"/>
  <c r="J302" i="10"/>
  <c r="G309" i="10"/>
  <c r="J309" i="10"/>
  <c r="G296" i="10"/>
  <c r="J296" i="10"/>
  <c r="G303" i="10"/>
  <c r="J303" i="10"/>
  <c r="G177" i="13"/>
  <c r="J177" i="13"/>
  <c r="G177" i="16"/>
  <c r="J177" i="16"/>
  <c r="G177" i="10"/>
  <c r="J177" i="10"/>
  <c r="G179" i="19"/>
  <c r="J179" i="19"/>
  <c r="G295" i="10"/>
  <c r="J295" i="10"/>
  <c r="G57" i="10"/>
  <c r="J57" i="10"/>
  <c r="G296" i="19"/>
  <c r="J296" i="19"/>
  <c r="G295" i="16"/>
  <c r="J295" i="16"/>
  <c r="U3" i="10"/>
  <c r="J373" i="10"/>
  <c r="G305" i="11"/>
  <c r="J305" i="11"/>
  <c r="G304" i="11"/>
  <c r="J304" i="11"/>
  <c r="G298" i="11"/>
  <c r="J298" i="11"/>
  <c r="E304" i="13"/>
  <c r="G289" i="13"/>
  <c r="E305" i="13"/>
  <c r="G299" i="13"/>
  <c r="E298" i="13"/>
  <c r="G292" i="13"/>
  <c r="G38" i="16"/>
  <c r="G42" i="16"/>
  <c r="G48" i="16"/>
  <c r="G52" i="16"/>
  <c r="G56" i="16"/>
  <c r="G37" i="16"/>
  <c r="G41" i="16"/>
  <c r="G47" i="16"/>
  <c r="G51" i="16"/>
  <c r="G55" i="16"/>
  <c r="G168" i="16"/>
  <c r="G172" i="16"/>
  <c r="G176" i="16"/>
  <c r="G181" i="16"/>
  <c r="G187" i="16"/>
  <c r="G191" i="16"/>
  <c r="G199" i="16"/>
  <c r="G206" i="16"/>
  <c r="G289" i="16"/>
  <c r="G293" i="16"/>
  <c r="G299" i="16"/>
  <c r="G306" i="16"/>
  <c r="G310" i="16"/>
  <c r="G166" i="16"/>
  <c r="G171" i="16"/>
  <c r="G175" i="16"/>
  <c r="G180" i="16"/>
  <c r="G186" i="16"/>
  <c r="G190" i="16"/>
  <c r="G198" i="16"/>
  <c r="G202" i="16"/>
  <c r="G288" i="16"/>
  <c r="G292" i="16"/>
  <c r="G300" i="16"/>
  <c r="G307" i="16"/>
  <c r="G311" i="16"/>
  <c r="G36" i="15"/>
  <c r="G40" i="15"/>
  <c r="G46" i="15"/>
  <c r="G50" i="15"/>
  <c r="G54" i="15"/>
  <c r="G58" i="15"/>
  <c r="G166" i="15"/>
  <c r="G171" i="15"/>
  <c r="G175" i="15"/>
  <c r="G180" i="15"/>
  <c r="G186" i="15"/>
  <c r="G190" i="15"/>
  <c r="G198" i="15"/>
  <c r="G202" i="15"/>
  <c r="G267" i="15"/>
  <c r="G291" i="15"/>
  <c r="G301" i="15"/>
  <c r="G303" i="15"/>
  <c r="G308" i="15"/>
  <c r="G37" i="15"/>
  <c r="G41" i="15"/>
  <c r="G47" i="15"/>
  <c r="G51" i="15"/>
  <c r="G55" i="15"/>
  <c r="G170" i="15"/>
  <c r="G174" i="15"/>
  <c r="G179" i="15"/>
  <c r="G185" i="15"/>
  <c r="G189" i="15"/>
  <c r="G197" i="15"/>
  <c r="G201" i="15"/>
  <c r="G208" i="15"/>
  <c r="G290" i="15"/>
  <c r="G298" i="15"/>
  <c r="G311" i="15"/>
  <c r="G38" i="13"/>
  <c r="G42" i="13"/>
  <c r="G48" i="13"/>
  <c r="G52" i="13"/>
  <c r="G56" i="13"/>
  <c r="G168" i="13"/>
  <c r="G172" i="13"/>
  <c r="G176" i="13"/>
  <c r="G181" i="13"/>
  <c r="G187" i="13"/>
  <c r="G191" i="13"/>
  <c r="G199" i="13"/>
  <c r="G206" i="13"/>
  <c r="G37" i="13"/>
  <c r="G41" i="13"/>
  <c r="G47" i="13"/>
  <c r="G51" i="13"/>
  <c r="G55" i="13"/>
  <c r="G169" i="13"/>
  <c r="G173" i="13"/>
  <c r="G178" i="13"/>
  <c r="G182" i="13"/>
  <c r="G188" i="13"/>
  <c r="G196" i="13"/>
  <c r="G200" i="13"/>
  <c r="G207" i="13"/>
  <c r="G36" i="16"/>
  <c r="G40" i="16"/>
  <c r="G46" i="16"/>
  <c r="G50" i="16"/>
  <c r="G54" i="16"/>
  <c r="G39" i="16"/>
  <c r="G44" i="16"/>
  <c r="G49" i="16"/>
  <c r="G53" i="16"/>
  <c r="G57" i="16"/>
  <c r="G170" i="16"/>
  <c r="G174" i="16"/>
  <c r="G179" i="16"/>
  <c r="G185" i="16"/>
  <c r="G189" i="16"/>
  <c r="G197" i="16"/>
  <c r="G201" i="16"/>
  <c r="G208" i="16"/>
  <c r="G291" i="16"/>
  <c r="G301" i="16"/>
  <c r="G308" i="16"/>
  <c r="G169" i="16"/>
  <c r="G173" i="16"/>
  <c r="G178" i="16"/>
  <c r="G182" i="16"/>
  <c r="G188" i="16"/>
  <c r="G196" i="16"/>
  <c r="G200" i="16"/>
  <c r="G207" i="16"/>
  <c r="G290" i="16"/>
  <c r="G296" i="16"/>
  <c r="G298" i="16"/>
  <c r="G303" i="16"/>
  <c r="G309" i="16"/>
  <c r="G38" i="15"/>
  <c r="G42" i="15"/>
  <c r="G48" i="15"/>
  <c r="G52" i="15"/>
  <c r="G56" i="15"/>
  <c r="G169" i="15"/>
  <c r="G173" i="15"/>
  <c r="G182" i="15"/>
  <c r="G188" i="15"/>
  <c r="G196" i="15"/>
  <c r="G200" i="15"/>
  <c r="G207" i="15"/>
  <c r="G289" i="15"/>
  <c r="G293" i="15"/>
  <c r="G299" i="15"/>
  <c r="G307" i="15"/>
  <c r="G310" i="15"/>
  <c r="G39" i="15"/>
  <c r="G44" i="15"/>
  <c r="G49" i="15"/>
  <c r="G53" i="15"/>
  <c r="G57" i="15"/>
  <c r="G168" i="15"/>
  <c r="G172" i="15"/>
  <c r="G176" i="15"/>
  <c r="G181" i="15"/>
  <c r="G187" i="15"/>
  <c r="G191" i="15"/>
  <c r="G199" i="15"/>
  <c r="G206" i="15"/>
  <c r="G288" i="15"/>
  <c r="G292" i="15"/>
  <c r="G300" i="15"/>
  <c r="G306" i="15"/>
  <c r="G309" i="15"/>
  <c r="G36" i="13"/>
  <c r="G40" i="13"/>
  <c r="G46" i="13"/>
  <c r="G50" i="13"/>
  <c r="G54" i="13"/>
  <c r="G170" i="13"/>
  <c r="G174" i="13"/>
  <c r="G179" i="13"/>
  <c r="G185" i="13"/>
  <c r="G189" i="13"/>
  <c r="G197" i="13"/>
  <c r="G201" i="13"/>
  <c r="G208" i="13"/>
  <c r="G266" i="13"/>
  <c r="G288" i="13"/>
  <c r="G39" i="13"/>
  <c r="G44" i="13"/>
  <c r="G49" i="13"/>
  <c r="G53" i="13"/>
  <c r="G166" i="13"/>
  <c r="G171" i="13"/>
  <c r="G175" i="13"/>
  <c r="G180" i="13"/>
  <c r="G186" i="13"/>
  <c r="G190" i="13"/>
  <c r="G198" i="13"/>
  <c r="G202" i="13"/>
  <c r="J375" i="10" l="1"/>
  <c r="U8" i="10" s="1"/>
  <c r="U7" i="10"/>
  <c r="G298" i="13"/>
  <c r="J298" i="13"/>
  <c r="J455" i="13"/>
  <c r="G305" i="13"/>
  <c r="J305" i="13"/>
  <c r="G304" i="13"/>
  <c r="J304" i="13"/>
  <c r="U3" i="11"/>
  <c r="J455" i="11"/>
  <c r="G382" i="13"/>
  <c r="G455" i="13" s="1"/>
  <c r="G302" i="15"/>
  <c r="G302" i="16"/>
  <c r="T2" i="2"/>
  <c r="T6" i="2"/>
  <c r="J457" i="13" l="1"/>
  <c r="U8" i="13" s="1"/>
  <c r="U7" i="13"/>
  <c r="J457" i="11"/>
  <c r="U8" i="11" s="1"/>
  <c r="U7" i="11"/>
  <c r="T1" i="2"/>
  <c r="G383" i="2"/>
  <c r="G385" i="2" s="1"/>
  <c r="B385" i="2" s="1"/>
  <c r="T3" i="13"/>
  <c r="T1" i="15" l="1"/>
  <c r="G457" i="13"/>
  <c r="T7" i="13"/>
  <c r="D8" i="2"/>
  <c r="T7" i="2"/>
  <c r="T8" i="2"/>
  <c r="T2" i="15"/>
  <c r="T3" i="15"/>
  <c r="T5" i="15"/>
  <c r="G384" i="15" l="1"/>
  <c r="T7" i="15" s="1"/>
  <c r="B457" i="13"/>
  <c r="T8" i="13"/>
  <c r="D8" i="13"/>
  <c r="G386" i="15" l="1"/>
  <c r="D8" i="15" l="1"/>
  <c r="B386" i="15"/>
  <c r="T8" i="15"/>
  <c r="G454" i="11"/>
  <c r="T6" i="11" s="1"/>
  <c r="G444" i="11"/>
  <c r="T5" i="11" l="1"/>
  <c r="G455" i="11"/>
  <c r="G457" i="11" s="1"/>
  <c r="T7" i="11" l="1"/>
  <c r="T8" i="11"/>
  <c r="B457" i="11"/>
  <c r="D8" i="11"/>
  <c r="T3" i="16"/>
  <c r="T7" i="16" l="1"/>
  <c r="B375" i="16"/>
  <c r="D8" i="16" l="1"/>
  <c r="T8" i="16"/>
</calcChain>
</file>

<file path=xl/sharedStrings.xml><?xml version="1.0" encoding="utf-8"?>
<sst xmlns="http://schemas.openxmlformats.org/spreadsheetml/2006/main" count="13110" uniqueCount="1175">
  <si>
    <t>шт</t>
  </si>
  <si>
    <t>цена</t>
  </si>
  <si>
    <t>м2</t>
  </si>
  <si>
    <t>м/п</t>
  </si>
  <si>
    <t>Шпаклевка криволинейного участка до 250мм</t>
  </si>
  <si>
    <t>Контейнера и загрузка/разгрузка</t>
  </si>
  <si>
    <t>Чистка ванной</t>
  </si>
  <si>
    <t>Шпаклевка ванной</t>
  </si>
  <si>
    <t>Установка рольставней</t>
  </si>
  <si>
    <t>Доставка по Москве</t>
  </si>
  <si>
    <t>Установка металлической двери до 70кг.</t>
  </si>
  <si>
    <t>Установка металлической двери от 70 до 120кг.</t>
  </si>
  <si>
    <t>Демонтаж деревянной двери (включая наличник)</t>
  </si>
  <si>
    <t>Демонтаж антресолей</t>
  </si>
  <si>
    <t>Установка добора на дверь до 10 см.</t>
  </si>
  <si>
    <t>Установка добора на дверь от 10 до 20 см.</t>
  </si>
  <si>
    <t>Установка добора до 10 см. на входную металлическую дверь (ПОРТАЛ)</t>
  </si>
  <si>
    <t>Установка добора до 20 см. на входную металлическую дверь (ПОРТАЛ)</t>
  </si>
  <si>
    <t>Установка добора до 10 см с наличниками в пустой проём (ПОРТАЛ)</t>
  </si>
  <si>
    <t>Установка добора до 20 см с наличниками в пустой проём (ПОРТАЛ)</t>
  </si>
  <si>
    <t>Установка доборной панели между туалетом и ваной</t>
  </si>
  <si>
    <t>Установка капители *</t>
  </si>
  <si>
    <t>Установка уплотнителя</t>
  </si>
  <si>
    <t>Установка нащельной планки для двустворчатых дверей</t>
  </si>
  <si>
    <t>Врезка замка с ключом или магнитного</t>
  </si>
  <si>
    <t>Врезка дополнительной петли</t>
  </si>
  <si>
    <t>Врезка ригеля для двойной двери</t>
  </si>
  <si>
    <t>Распил наличника, добора, коробки под неровности пола или стен</t>
  </si>
  <si>
    <t>Подпил двери cнизу</t>
  </si>
  <si>
    <t>Установка деревянного порога</t>
  </si>
  <si>
    <t>Установка фрамуги над дверью*</t>
  </si>
  <si>
    <t>Установка фрамуги над двустворчатой дверью*</t>
  </si>
  <si>
    <t>Установка антресоли с заменой одного блока с дверками, коробками, наличниками</t>
  </si>
  <si>
    <t>Установка антресоли с заменой дна одного блока с дверками,коробками, наличниками</t>
  </si>
  <si>
    <t>Установка антресоли с заменой дна, двух блоков с дверками, коробками, наличниками</t>
  </si>
  <si>
    <t>Расширение проёма по высоте</t>
  </si>
  <si>
    <t>Расширение проёма по ширине</t>
  </si>
  <si>
    <t>Сужение проема по высоте*</t>
  </si>
  <si>
    <t>Сужение проема по ширине*</t>
  </si>
  <si>
    <t>Установка арки*</t>
  </si>
  <si>
    <t>Дополнительные работы от</t>
  </si>
  <si>
    <t>Расходные материалы (пена, саморезы, заглушки, клей и др.)*</t>
  </si>
  <si>
    <t>Распил наличника вдоль</t>
  </si>
  <si>
    <t>Проклейка швов ГКЛ серпянкой/малярной лентой и шпаклевка</t>
  </si>
  <si>
    <t>Откосы</t>
  </si>
  <si>
    <t>Отбивка штукатурки с откосов, углов</t>
  </si>
  <si>
    <t>Очистка откосов, углов от шпаклевки до 40 см</t>
  </si>
  <si>
    <t>Очистка краски откосов, углов до 40 см</t>
  </si>
  <si>
    <t>Очистка краски откосов, углов свыше 40 см</t>
  </si>
  <si>
    <t>Демонтаж уголка с откосов, углов</t>
  </si>
  <si>
    <t>Демонтаж сэндвич панелей</t>
  </si>
  <si>
    <t>Обрезка пены с откосов, углов</t>
  </si>
  <si>
    <t>Устройство малярной сетки</t>
  </si>
  <si>
    <t>Запенивание стыков</t>
  </si>
  <si>
    <t>Демонтаж потолков из ацеида, гипсолита</t>
  </si>
  <si>
    <t>Установка наличника</t>
  </si>
  <si>
    <t>Стандартная установка межкомнатной двери включая наличник на одну сторону без врезки замка (две двери и более)</t>
  </si>
  <si>
    <t>Стандартная установка межкомнатной двери включая наличник на одну сторону без врезки замка (всего одна дверь)</t>
  </si>
  <si>
    <t xml:space="preserve">Установка деревянной входной двери включая наличник на одну сторону без врезки замка </t>
  </si>
  <si>
    <t>Демонтаж покрытия из битумной мастики*</t>
  </si>
  <si>
    <t>Очистка откосов, углов от шпаклевки свыше 40 см</t>
  </si>
  <si>
    <t>Очистка наличников или дверной коробки от краски*</t>
  </si>
  <si>
    <t>Демонтаж вентиляционной решетки</t>
  </si>
  <si>
    <t>Демонтаж сантехнического шкафа</t>
  </si>
  <si>
    <t>Демонтаж электрического щита</t>
  </si>
  <si>
    <t>Кондиционеры</t>
  </si>
  <si>
    <t>Дополнительное отверстие до 95 см бетон</t>
  </si>
  <si>
    <t>Дополнительное отверстие до 95 см кирпич</t>
  </si>
  <si>
    <t>Пробивка дополнительного отверстия под электрокабель монолит</t>
  </si>
  <si>
    <t>Пробивка дополнительного отверстия под электрокабель бетон</t>
  </si>
  <si>
    <t>Пробивка дополнительного отверстия под электрокабель кирпич</t>
  </si>
  <si>
    <t>Демонтаж кондиционера 5, 7, 9 модели (до 2.7 кВт)</t>
  </si>
  <si>
    <t>Демонтаж кондиционера 12 модель (3.5 кВт)</t>
  </si>
  <si>
    <t>Демонтаж кондиционера 15, 18 модель (5-7 кВт)</t>
  </si>
  <si>
    <t>Демонтаж кондиционера 24 модель  (7-8кВт)</t>
  </si>
  <si>
    <t>Демонтаж кондиционера 30 модель (8 кВт)</t>
  </si>
  <si>
    <t>Демонтаж кондиционера 36 модель (свыше 8 кВт)</t>
  </si>
  <si>
    <t>Демонтаж кондиционера 48 модель (свыше 8 кВт)</t>
  </si>
  <si>
    <t>Демонтаж внутреннего блока со сбором фреона</t>
  </si>
  <si>
    <t>стандартный монтаж кондиционера 5, 7, 9 модели (до 2.7 кВт)</t>
  </si>
  <si>
    <t>стандартный монтаж кондиционера 12 модель (3.5 кВт)</t>
  </si>
  <si>
    <t>стандартный монтаж кондиционера 15, 18 модель (5-7 кВт)</t>
  </si>
  <si>
    <t>стандартный монтаж кондиционера 24 модель  (7-8кВт)</t>
  </si>
  <si>
    <t>стандартный монтаж кондиционера 30 модель (8 кВт)</t>
  </si>
  <si>
    <t>стандартный монтаж кондиционера 36 модель (свыше 8 кВт)</t>
  </si>
  <si>
    <t>стандартный монтаж кондиционера 48 модель (свыше 8 кВт)</t>
  </si>
  <si>
    <t>Установка кондиционера с помощью альпиниста***</t>
  </si>
  <si>
    <t>Установка наружного блока на высоту более 3-х м. (установка с лестницы)</t>
  </si>
  <si>
    <t>Фреон R-22 - 1 кг</t>
  </si>
  <si>
    <t>Фреон R-410А - 1 кг</t>
  </si>
  <si>
    <t>Дополнительный короб с учетом работ (свыше 1 метра, включенного в стандартный монтаж)  60х60</t>
  </si>
  <si>
    <t>Дополнительный короб с учетом работ (свыше 1 метра, включенного в стандартный монтаж)  100х60</t>
  </si>
  <si>
    <t>Дополнительный короб с учетом работ (свыше 2 метров, включенных в стандартный монтаж) 16х16</t>
  </si>
  <si>
    <t xml:space="preserve">Дополнительный кабель (свыше 3 метров, включенных в стандартный монтаж) </t>
  </si>
  <si>
    <t>Монтаж защитного козырька при монтаже (без стоимости козырька)</t>
  </si>
  <si>
    <t>Козырек для кондиционера до 4,0 кВт (800х500)</t>
  </si>
  <si>
    <t>Козырек для кондиционера свыше 4,0 кВт (1000х500)</t>
  </si>
  <si>
    <t>Монтаж защитной решетки при монтаже (без стоимости решетки)</t>
  </si>
  <si>
    <t>Защитная решетка 800х600х500</t>
  </si>
  <si>
    <t>Защитная решетка 1000х800х500</t>
  </si>
  <si>
    <t>Монтаж кондиционера в 2 этапа</t>
  </si>
  <si>
    <t>Рама (подставка) для наружного блока</t>
  </si>
  <si>
    <t>Нагреватель дренажа 600 мм</t>
  </si>
  <si>
    <t>Установка автомата защиты без подключения в щите электропитания (только работа)</t>
  </si>
  <si>
    <t>Сантехнические работы/Переварка</t>
  </si>
  <si>
    <t>Комплекс для переварки ХВС(стандарт)</t>
  </si>
  <si>
    <t xml:space="preserve">Переваривание стояка ХВС с варкой отвода </t>
  </si>
  <si>
    <t>Комплекс для переварки ГВС(стандарт)</t>
  </si>
  <si>
    <t xml:space="preserve">Переваривание стояка ГВС с варкой отвода и варкой двух отводов под полотенцесушитель </t>
  </si>
  <si>
    <t>Кран 3/4 (СТК Европа) или ( Итап Италия)</t>
  </si>
  <si>
    <t>Комплекс для замены радиатора(стандарт)</t>
  </si>
  <si>
    <t>Переваривание труб и установка радиатора (всего один)</t>
  </si>
  <si>
    <t>Переваривание труб и установка радиатора (два и более)</t>
  </si>
  <si>
    <t>Кран американка 3/4 (СТК Европа) или ( Итап Италия)</t>
  </si>
  <si>
    <t>Снятие и установка радиатора, без замены, для проведения работ по стенам при наличие шаровых кранов</t>
  </si>
  <si>
    <t>Установка ПВХ уголка</t>
  </si>
  <si>
    <t>Установка малярного уголка, перфорированного</t>
  </si>
  <si>
    <t>Установка уголка для плитки</t>
  </si>
  <si>
    <t>Установка деревянной двери на петли</t>
  </si>
  <si>
    <t>Подрез деревянной двери</t>
  </si>
  <si>
    <t>Врезка замка</t>
  </si>
  <si>
    <t>Установка замка</t>
  </si>
  <si>
    <t xml:space="preserve">Установка наличников </t>
  </si>
  <si>
    <t>Окраска двери*</t>
  </si>
  <si>
    <t>Установка доборов дверных</t>
  </si>
  <si>
    <t>Монтаж дверного ограничителя</t>
  </si>
  <si>
    <t>Окраска наличников</t>
  </si>
  <si>
    <t xml:space="preserve">Обшивка двери </t>
  </si>
  <si>
    <t>Окраска окна*</t>
  </si>
  <si>
    <t>Установка подоконников</t>
  </si>
  <si>
    <t>Установка отливов</t>
  </si>
  <si>
    <t>Окраска подоконников</t>
  </si>
  <si>
    <t>Установка антресольных дверок</t>
  </si>
  <si>
    <t>Установка люстры**</t>
  </si>
  <si>
    <t>Устройство сантехнического короба</t>
  </si>
  <si>
    <t>Установка сантехнической двери*</t>
  </si>
  <si>
    <t>Окраска радиатора каждая последущая секция</t>
  </si>
  <si>
    <t>Устройство порогов из плитки</t>
  </si>
  <si>
    <t>Ошкуривание поверхности</t>
  </si>
  <si>
    <t>Установка гигиенического душа</t>
  </si>
  <si>
    <t>Установка и подключение стиральной машины</t>
  </si>
  <si>
    <t>Установка домофона</t>
  </si>
  <si>
    <t>Установка светильника настенного</t>
  </si>
  <si>
    <t>Натяжной потолок</t>
  </si>
  <si>
    <t>Полы</t>
  </si>
  <si>
    <t>Укладка ламината с проклейкой стыков клеем</t>
  </si>
  <si>
    <t>Демонтаж люстры</t>
  </si>
  <si>
    <t>Шпаклевка потолков в два слоя</t>
  </si>
  <si>
    <t>Шпаклевка потолков под покраску</t>
  </si>
  <si>
    <t>Настил линолеума бытового, ковролина</t>
  </si>
  <si>
    <t>Настил линолеума коммерческого</t>
  </si>
  <si>
    <t>Железнение стяжки</t>
  </si>
  <si>
    <t>Устройство деревянной обрешетки</t>
  </si>
  <si>
    <t>Устройство пароизоляции</t>
  </si>
  <si>
    <t>Очистка краски со стен*</t>
  </si>
  <si>
    <t>Очистка стен от шпаклевки*</t>
  </si>
  <si>
    <t>Очистка краски ВЭ*</t>
  </si>
  <si>
    <t>Очистка потолка от шпатлевки*</t>
  </si>
  <si>
    <t>Демонтаж встроенных шкафов и полок, антресолей*</t>
  </si>
  <si>
    <t>Демонтаж радиатора*</t>
  </si>
  <si>
    <t>Облицовка стен плиткой панно*</t>
  </si>
  <si>
    <t>Армирование проемов арматурой</t>
  </si>
  <si>
    <t>Армирование проемов уголком</t>
  </si>
  <si>
    <t xml:space="preserve">Подъем металлической двери без лифта </t>
  </si>
  <si>
    <t>этаж</t>
  </si>
  <si>
    <t>Заправка кондиционера фреоном ( без учёта фреона ) работы выполняются при температуре воздуха +5 градусов</t>
  </si>
  <si>
    <t>компл.</t>
  </si>
  <si>
    <t>Монтаж сололифта</t>
  </si>
  <si>
    <t>Демонтажные работы</t>
  </si>
  <si>
    <t>Монтажные работы</t>
  </si>
  <si>
    <t xml:space="preserve">Натяжной потолок ( материал ткань) </t>
  </si>
  <si>
    <t>Натяжной потолок ( материал ткань) разноцветные</t>
  </si>
  <si>
    <t>Маскировочная лента по периметру для ПВХ ( лента включена )</t>
  </si>
  <si>
    <t>Обвод трубы ( материал включен )</t>
  </si>
  <si>
    <t>Работы при наличии керамической плитки</t>
  </si>
  <si>
    <t>Работы при наличии гипсокартона</t>
  </si>
  <si>
    <t>Монтаж заглушек на трубопроводе</t>
  </si>
  <si>
    <t>Демонтаж автоматического выключателя</t>
  </si>
  <si>
    <t>Установка бра</t>
  </si>
  <si>
    <t>ед. изм.</t>
  </si>
  <si>
    <t>кол-во</t>
  </si>
  <si>
    <t>сумма</t>
  </si>
  <si>
    <t>Периметр</t>
  </si>
  <si>
    <t>Площадь пола</t>
  </si>
  <si>
    <t>Площадь стен</t>
  </si>
  <si>
    <t>_________________</t>
  </si>
  <si>
    <t xml:space="preserve">          (подпись)</t>
  </si>
  <si>
    <t>Проем, м2</t>
  </si>
  <si>
    <t>L,м/п</t>
  </si>
  <si>
    <t>B,м/п</t>
  </si>
  <si>
    <t>H,м/п</t>
  </si>
  <si>
    <t>ИТОГО ПО ПОМЕЩЕНИЮ. СТОИМОСТЬ РАБОТ</t>
  </si>
  <si>
    <t>ком-т</t>
  </si>
  <si>
    <t>Итого по разделу (подготовительные работы)</t>
  </si>
  <si>
    <t>Итого по разделу (Натяжные потолки)</t>
  </si>
  <si>
    <t>Итого по разделу (Полы)</t>
  </si>
  <si>
    <t>Итого по разделу контейнера и загрузка/разгрузка</t>
  </si>
  <si>
    <t>Итого по разделу прочие (реставрация ванной, рольставни)</t>
  </si>
  <si>
    <t>Итого по разделу сантехнические работы/переварка</t>
  </si>
  <si>
    <t>Кладовая. Черновые отделочные работы</t>
  </si>
  <si>
    <t>Кладовая. Чистовые отделочные работы</t>
  </si>
  <si>
    <t>Кухня. Чистовые отделочные работы</t>
  </si>
  <si>
    <t>Кухня. Черновые отделочные работы</t>
  </si>
  <si>
    <t>ИТОГО. СТОИМОСТЬ РАБОТ</t>
  </si>
  <si>
    <t>Спецмонтаж</t>
  </si>
  <si>
    <t>Итого по разделу (двери)</t>
  </si>
  <si>
    <t>ИТОГО СПЕЦМОНТАЖ. СТОИМОСТЬ РАБОТ</t>
  </si>
  <si>
    <t>Натяжной потолок ( материал ПВХ матовый) фотопечать</t>
  </si>
  <si>
    <t>Натяжной потолок ( материал ПВХ глянцевый) фотопечать</t>
  </si>
  <si>
    <t>Ремонт паркета</t>
  </si>
  <si>
    <t>Штробление стен из пеноблока (газоселиката)</t>
  </si>
  <si>
    <t>Штробление стен из кирпича</t>
  </si>
  <si>
    <t>Установка внутреннего блока без дозаправки (пусконаладки)</t>
  </si>
  <si>
    <t>Работа со страховкой без альпинистов</t>
  </si>
  <si>
    <t>Обслуживание со страховкой</t>
  </si>
  <si>
    <t>Комплексная чистка внешнего и внутреннего блока (включая дозаправку фреоном до 50 гр)</t>
  </si>
  <si>
    <t>Погрузка мусора в малогабаритный транспорт (транспорт+грузчики)</t>
  </si>
  <si>
    <t>Обработка антиплесенью(пол)</t>
  </si>
  <si>
    <t>Обработка антиплесенью(стены)</t>
  </si>
  <si>
    <t>Расшивка плиточных швов(пол)</t>
  </si>
  <si>
    <t>Снятие обоев(стены)</t>
  </si>
  <si>
    <t>Снятие обоев(потолки)</t>
  </si>
  <si>
    <t>Расшивка плиточных швов(стены)</t>
  </si>
  <si>
    <t>Устройство теплоизоляции/шумоизоляции(потолок)</t>
  </si>
  <si>
    <t>Устройство пароизоляции(полы)</t>
  </si>
  <si>
    <t>Устройство пароизоляции(стены)</t>
  </si>
  <si>
    <t>Обработка антиплесенью(потолок)</t>
  </si>
  <si>
    <t>Устройство деревянной обрешетки пола</t>
  </si>
  <si>
    <t>Монтаж стеклянных шторок на ванну*</t>
  </si>
  <si>
    <t>Установка стеклянных шторок на ванну</t>
  </si>
  <si>
    <t>Устройство деревянной обрешетки стены</t>
  </si>
  <si>
    <t>Затирка плитки(стены)</t>
  </si>
  <si>
    <t>Подрезка резного края плитки под 45(стены)</t>
  </si>
  <si>
    <t>Подрезка напольной плитки</t>
  </si>
  <si>
    <t>Трубы для переварки (оцинковка)ХВС</t>
  </si>
  <si>
    <t>Трубы для переварки (оцинковка)ГВС</t>
  </si>
  <si>
    <t>Кран 1/2 (СТК Европа) или ( Итап Италия)ХВС</t>
  </si>
  <si>
    <t>Кран 1/2 (СТК Европа) или ( Итап Италия)ГВС</t>
  </si>
  <si>
    <t>Составлено:</t>
  </si>
  <si>
    <t>Согласовано:</t>
  </si>
  <si>
    <t>ИТОГО ПО ПОМЕЩЕНИЮ С УЧЕТОМ СКИДКИ</t>
  </si>
  <si>
    <t>СКИДКА</t>
  </si>
  <si>
    <t>Прочее (реставрация ванной, рольставни)</t>
  </si>
  <si>
    <t>Дополнительное отверстие до 60 см  монолит</t>
  </si>
  <si>
    <t>Дополнительное отверстие до 60 см  бетон</t>
  </si>
  <si>
    <t>Нанесение лака (1 слой)</t>
  </si>
  <si>
    <t>Тонировка паркета</t>
  </si>
  <si>
    <t>т/д</t>
  </si>
  <si>
    <t xml:space="preserve">Монтаж и шлифовка фанеры </t>
  </si>
  <si>
    <t>Монтаж паркета штучного</t>
  </si>
  <si>
    <t>Установка плинтусов деревянных, МДФ</t>
  </si>
  <si>
    <t>Дополнительно отверстие в пеноблоке (газоселикате) до 60 см</t>
  </si>
  <si>
    <t>Дополнительно отверстие в пеноблоке (газоселикате) до 95 см</t>
  </si>
  <si>
    <t xml:space="preserve">Монтаж внутреннего блока </t>
  </si>
  <si>
    <t>Монтаж трассы под кондиционера 5, 7, 9 модели (с материалом).</t>
  </si>
  <si>
    <t>Монтаж трассы под кондиционера 12 - 18 модели (с материалом).</t>
  </si>
  <si>
    <t>Вывод конденсата в канализацию</t>
  </si>
  <si>
    <t>Монтаж внешнего блока в корзину без страховки</t>
  </si>
  <si>
    <t xml:space="preserve">Монтаж внешнего блока в корзину со страховкой </t>
  </si>
  <si>
    <t>Установка внешнего блока на вентилируемый фасад (демонтаж+монтаж фасадной плитки+демонтаж утепл.+монтаж увеличенных кроншт+высверливание отверстия в плитке)</t>
  </si>
  <si>
    <t>Монтаж зимнего комплекта на ON/OFF кондиционеры (без материалов)</t>
  </si>
  <si>
    <t>Монтаж зимнего комплекта на инверторные кондиционеры (без материалов)</t>
  </si>
  <si>
    <t xml:space="preserve">Монтаж греющего кабеля для дренажа </t>
  </si>
  <si>
    <t xml:space="preserve">Контроллер - регулятор скорости вращения вентилятора наружного блока </t>
  </si>
  <si>
    <t>Нагреватель картера 600 мм</t>
  </si>
  <si>
    <t>Заказ контейнера с грузчиками 8м3 (3 часа)</t>
  </si>
  <si>
    <t>Устройство душевой кабины в строительном исполнении</t>
  </si>
  <si>
    <t>компл</t>
  </si>
  <si>
    <t>Монтаж элщита слаботочного</t>
  </si>
  <si>
    <t>Установка подвесной тумбы</t>
  </si>
  <si>
    <t>Облицовка 3D панелями</t>
  </si>
  <si>
    <t>Устройство декоративных реек</t>
  </si>
  <si>
    <t>Прайс Лист</t>
  </si>
  <si>
    <t>Штробление стен из бетона/монолите</t>
  </si>
  <si>
    <t>Установка внутреннего блока</t>
  </si>
  <si>
    <t>Штробление стен для дренажного шланка (кирпич)</t>
  </si>
  <si>
    <t>Штробление стен для дренажного шланка (бетон)</t>
  </si>
  <si>
    <t>Штробление стен для дренажного шланка (пеноблок)</t>
  </si>
  <si>
    <t xml:space="preserve">Трубы для переварки </t>
  </si>
  <si>
    <t>Штробление кирпичных стен под элкабель</t>
  </si>
  <si>
    <t>Штробление бетонных стен под элкабель</t>
  </si>
  <si>
    <t>Заделка штроб</t>
  </si>
  <si>
    <t>Установка механизма, панели электроточки</t>
  </si>
  <si>
    <t>Установка электроточки в ГКЛ</t>
  </si>
  <si>
    <t>Установка электроточки в кирпиче</t>
  </si>
  <si>
    <t>Установка электроточки в бетоне</t>
  </si>
  <si>
    <t>Установка 3х фазной розетки накладной</t>
  </si>
  <si>
    <t>Установка 3х фазной розетки накладной внутренней установки</t>
  </si>
  <si>
    <t>Установка светильников точечных</t>
  </si>
  <si>
    <t>Установка светодиодной ленты</t>
  </si>
  <si>
    <t>Установка контроллера для светодиодной ленты</t>
  </si>
  <si>
    <t>Установка автоматического выключателя</t>
  </si>
  <si>
    <t>Установка дифф автоматического выключателя</t>
  </si>
  <si>
    <t>Установка УЗО</t>
  </si>
  <si>
    <t>Подключение к вводному щиту</t>
  </si>
  <si>
    <t>Монтаж элщита накладного</t>
  </si>
  <si>
    <t>Монтаж элщита до 6 автоматов в кирпичной стене</t>
  </si>
  <si>
    <t>Монтаж элщита до 12 автоматов в кирпичной стене</t>
  </si>
  <si>
    <t>Монтаж элщита более 12 автоматов в кирпичной стене</t>
  </si>
  <si>
    <t>Монтаж элщита до 6 автоматов в бетонной стене</t>
  </si>
  <si>
    <t>Монтаж элщита до 12 автоматов в бетонной стене</t>
  </si>
  <si>
    <t>Монтаж элщита до более 12 автоматов в бетонной стене</t>
  </si>
  <si>
    <t>Установка звонка</t>
  </si>
  <si>
    <t>Устройство инфракрасного теплого пола</t>
  </si>
  <si>
    <t>Установка терморегулятора под теплый пол</t>
  </si>
  <si>
    <t>Демонтаж плинтуса</t>
  </si>
  <si>
    <t>Демонтаж ламината, паркетной доски</t>
  </si>
  <si>
    <t>Демонтаж паркета штучного</t>
  </si>
  <si>
    <t>Демонтаж паркета шитового</t>
  </si>
  <si>
    <t>Демонтаж линолеума, ковролина</t>
  </si>
  <si>
    <t>Демонтаж фанеры, ДВП</t>
  </si>
  <si>
    <t>Демонтаж деревянных полов</t>
  </si>
  <si>
    <t>Демонтаж лаг</t>
  </si>
  <si>
    <t>Удаление слоев из керамзита, песка</t>
  </si>
  <si>
    <t>Ремонт дощатых полов</t>
  </si>
  <si>
    <t>Демонтаж стяжки до 3 см</t>
  </si>
  <si>
    <t>Демонтаж стяжки до 5 см</t>
  </si>
  <si>
    <t>Демонтаж плитки</t>
  </si>
  <si>
    <t>Демонтаж бетонного бортика</t>
  </si>
  <si>
    <t>Демонтаж плинтуса из плитки</t>
  </si>
  <si>
    <t>Демонтаж порога из плитки</t>
  </si>
  <si>
    <t>Демонтаж пластикового уголка</t>
  </si>
  <si>
    <t>Сверление отверстия в ГКЛ</t>
  </si>
  <si>
    <t>Снятие побелки</t>
  </si>
  <si>
    <t>Очистка масляной краски со стен*</t>
  </si>
  <si>
    <t>Очистка стен от "жидких" обоев</t>
  </si>
  <si>
    <t>Насечка стен</t>
  </si>
  <si>
    <t>Высверливание коронкой отверстия в керамической плитке</t>
  </si>
  <si>
    <t>Демонтаж керамической плитки</t>
  </si>
  <si>
    <t>Отбивка плиточного клея</t>
  </si>
  <si>
    <t>Отбивка штукатурки со стен</t>
  </si>
  <si>
    <t>Демонтаж стен из пеноблока</t>
  </si>
  <si>
    <t>Демонтаж стен из ацеида, гипсолита, ГКЛ</t>
  </si>
  <si>
    <t>Демонтаж бетонных стен толщиной до 12 см</t>
  </si>
  <si>
    <t>Демонтаж потолочного плинтуса</t>
  </si>
  <si>
    <t>Демонтаж подвесных потолков ГКЛ</t>
  </si>
  <si>
    <t>Демонтаж реечного потолка</t>
  </si>
  <si>
    <t>Сверление отверстия в реечном потолке</t>
  </si>
  <si>
    <t>Расшивка трещин рустов</t>
  </si>
  <si>
    <t>Очистка побелки</t>
  </si>
  <si>
    <t>Очистка потолков от маслянной краски*</t>
  </si>
  <si>
    <t>Снятие деревянной двери с петель</t>
  </si>
  <si>
    <t>Очистка дверного полотна от краски*</t>
  </si>
  <si>
    <t>Демонтаж оконного блока</t>
  </si>
  <si>
    <t>Очистка окна от краски*</t>
  </si>
  <si>
    <t>Демонтаж карнизов</t>
  </si>
  <si>
    <t>Очиска радиатора каждая следущая секция</t>
  </si>
  <si>
    <t>Демонтаж кухнонной мойки</t>
  </si>
  <si>
    <t>Демонтаж унитаза</t>
  </si>
  <si>
    <t>Демонтаж стиральной машины</t>
  </si>
  <si>
    <t>Демонтаж кранов вводных, счетчиков</t>
  </si>
  <si>
    <t>Демонтаж кранов шаровых</t>
  </si>
  <si>
    <t>Демонтаж труб в/с</t>
  </si>
  <si>
    <t>Демонтаж труб канализации</t>
  </si>
  <si>
    <t>Демонтаж розеток и выключателей</t>
  </si>
  <si>
    <t>Пробивка отверстия ф16-20</t>
  </si>
  <si>
    <t>Грунтовка пола</t>
  </si>
  <si>
    <t>Устройство стяжки по маякам до 6 см</t>
  </si>
  <si>
    <t>Устройство стяжки по маякам свыше 6 см</t>
  </si>
  <si>
    <t>Подсыпка керамзита</t>
  </si>
  <si>
    <t>Гидроизоляция пола пленкой ПВХ</t>
  </si>
  <si>
    <t>Гидроизоляция рулонными материалами</t>
  </si>
  <si>
    <t>Устройство "сухой стяжки"</t>
  </si>
  <si>
    <t>Укладка деревянных лаг</t>
  </si>
  <si>
    <t>Укладка фанеры</t>
  </si>
  <si>
    <t>Шлифовка фанеры</t>
  </si>
  <si>
    <t>Укладка ДВП</t>
  </si>
  <si>
    <t>Штукатурка стен по маякам до 3 см гипсовой смесью</t>
  </si>
  <si>
    <t>Штукатурка стен по маякам до 5 см гипсовой смесью</t>
  </si>
  <si>
    <t>Штукатурка стен по маякам до 3 см цементной смесью</t>
  </si>
  <si>
    <t>Штукатурка стен по маякам до 5 см цементной смесью</t>
  </si>
  <si>
    <t>Протяжка углов штукатуркой</t>
  </si>
  <si>
    <t>Грунтовка стен</t>
  </si>
  <si>
    <t>Сплошная шпаклевка в 1 слой</t>
  </si>
  <si>
    <t>Нанесение малярной сетки</t>
  </si>
  <si>
    <t>Нанесение штукатурной сетки</t>
  </si>
  <si>
    <t>Кирпичная кладка в 1/2 кирпича</t>
  </si>
  <si>
    <t>Кирпичная кладка в 1 кирпич</t>
  </si>
  <si>
    <t>Кладка стен из пеноблоков</t>
  </si>
  <si>
    <t>Кладка перегородок из шлакоблоков</t>
  </si>
  <si>
    <t>Кладка перегородок из пазогребневых блоков</t>
  </si>
  <si>
    <t>Герметизация стыков, швов монтажной пеной</t>
  </si>
  <si>
    <t>Герметизация стыков, швов силиконом</t>
  </si>
  <si>
    <t>Устройство перегородок из ГКЛ в 1 слой</t>
  </si>
  <si>
    <t>Устройство перегородок из ГКЛ в 2 слоя</t>
  </si>
  <si>
    <t>Выравнивание стен листами ГКЛ</t>
  </si>
  <si>
    <t>Устройсво коробов из ГКЛ</t>
  </si>
  <si>
    <t>Устройво ниш, ступеней из ГКЛ</t>
  </si>
  <si>
    <t>Устройство арки из ГКЛ</t>
  </si>
  <si>
    <t>Грунтовка откосов, углов</t>
  </si>
  <si>
    <t>Штукатурка откосов до 40 см, углов</t>
  </si>
  <si>
    <t>Штукатурка откосов от 40 до 60 см, углов</t>
  </si>
  <si>
    <t>Штукатурка откосов арочных</t>
  </si>
  <si>
    <t>Шпаклевка откосов, углов</t>
  </si>
  <si>
    <t>Устройство откосов из ГКЛ</t>
  </si>
  <si>
    <t>Утепление откосов</t>
  </si>
  <si>
    <t>Грунтовка потолков бетоноконтактом</t>
  </si>
  <si>
    <t>Штукатурка потолка по маякам до 1 см</t>
  </si>
  <si>
    <t>Штукатурка потолка по маякам до 3 см</t>
  </si>
  <si>
    <t>Штукатурка потолка по маякам до 5 см</t>
  </si>
  <si>
    <t>Заделка трещин рустов</t>
  </si>
  <si>
    <t>Проклейка швов ГКЛ серпянкой/малярной лентой</t>
  </si>
  <si>
    <t>Грунтовка потолков</t>
  </si>
  <si>
    <t>Укладка малярной сетки/"серпянки"</t>
  </si>
  <si>
    <t>Сплошная шпаклевка в один слой</t>
  </si>
  <si>
    <t>Устройство кробов из ГКЛ</t>
  </si>
  <si>
    <t>Устройство потолков из ГКЛ</t>
  </si>
  <si>
    <t>Устройство потолков из ГКЛ в 2 уровня прямолинейн</t>
  </si>
  <si>
    <t>Устройство потолков из ГКЛ в 2 уровня криволинейн</t>
  </si>
  <si>
    <t>Облицовка плиткой пола с декоративными вставками</t>
  </si>
  <si>
    <t>Облицовка плиткой пола по диагонали</t>
  </si>
  <si>
    <t>Облицовка плиткой пола "панно"</t>
  </si>
  <si>
    <t>Затирка плитки</t>
  </si>
  <si>
    <t>Устройство плинтуса из плитки</t>
  </si>
  <si>
    <t>Укладка ламината</t>
  </si>
  <si>
    <t>Укладка паркетной доски</t>
  </si>
  <si>
    <t>Укладка массива</t>
  </si>
  <si>
    <t>Монтаж плинтусов пластиковых</t>
  </si>
  <si>
    <t>Установка порожков</t>
  </si>
  <si>
    <t>Облицовка плиткой стен, с декоративными вставками</t>
  </si>
  <si>
    <t>Облицовка плиткой стен по диагонали</t>
  </si>
  <si>
    <t>Подрезка плитки</t>
  </si>
  <si>
    <t>Оклейка стен обоями без подбора</t>
  </si>
  <si>
    <t>Оклейка стен обоями с подбором</t>
  </si>
  <si>
    <t>Оклейка стен обоями под окраску</t>
  </si>
  <si>
    <t>Поклейка обойного бордюра</t>
  </si>
  <si>
    <t>Поклейка фотообоев</t>
  </si>
  <si>
    <t>Нанесение жидких обоев</t>
  </si>
  <si>
    <t>Установка малярного уголка</t>
  </si>
  <si>
    <t>Окраска стен в 2 слоя</t>
  </si>
  <si>
    <t>Окраска обоев в 2 слоя</t>
  </si>
  <si>
    <t>Окраска откосов, углов</t>
  </si>
  <si>
    <t>Оклейка откосов обоями</t>
  </si>
  <si>
    <t>Устройство откосов из ПВХ панелей, сэндвич-панелей</t>
  </si>
  <si>
    <t>Облицовка откосов плиткой</t>
  </si>
  <si>
    <t>Подрезка резного края плитки под 45 гр.</t>
  </si>
  <si>
    <t>Окраска потолков</t>
  </si>
  <si>
    <t>Устройство потолков из ПВХ панелей свыше 10м2</t>
  </si>
  <si>
    <t>Устройство потолков из ПВХ панелей до 10м2</t>
  </si>
  <si>
    <t>Устройство потолков реечных свыше 10м2</t>
  </si>
  <si>
    <t>Устройство потолков реечных до 10м2</t>
  </si>
  <si>
    <t>Установка плинтуса потолочного</t>
  </si>
  <si>
    <t>Окраска потолочного плинтуса</t>
  </si>
  <si>
    <t>Поклейка панелей потолочных</t>
  </si>
  <si>
    <t>Поклейка обоев на потолок</t>
  </si>
  <si>
    <t>Установка карнизов</t>
  </si>
  <si>
    <t>Установка полок</t>
  </si>
  <si>
    <t>Установка зеркал</t>
  </si>
  <si>
    <t>Установка шкафа навесного</t>
  </si>
  <si>
    <t>Окраска труб диаметром до 50мм</t>
  </si>
  <si>
    <t>Окраска труб диаметром свыше 50мм</t>
  </si>
  <si>
    <t>Укрытие пленкой</t>
  </si>
  <si>
    <t>Сборка мебели 15% от стоимости</t>
  </si>
  <si>
    <t>Занос/вынос мебели</t>
  </si>
  <si>
    <t>Разгрузка материала</t>
  </si>
  <si>
    <t>При отсутствии лифта подъем на 1 этаж</t>
  </si>
  <si>
    <t>Вынос мусора*****</t>
  </si>
  <si>
    <t>Установка кухонной мойки</t>
  </si>
  <si>
    <t>Установка душевой кабины</t>
  </si>
  <si>
    <t>Установка поддона для душевой кабины</t>
  </si>
  <si>
    <t>Устройство подиума с установкой поддона</t>
  </si>
  <si>
    <t>Установка раковины</t>
  </si>
  <si>
    <t>Установка унитаза</t>
  </si>
  <si>
    <t>Установка сифона</t>
  </si>
  <si>
    <t>Установка душа</t>
  </si>
  <si>
    <t>Установка кранов шаровых</t>
  </si>
  <si>
    <t>Прокладка труб водоснабжения</t>
  </si>
  <si>
    <t>Прокладка труб канализации</t>
  </si>
  <si>
    <t>Установка фильтра</t>
  </si>
  <si>
    <t>Установка регулятора давления</t>
  </si>
  <si>
    <t>Установка счетчика</t>
  </si>
  <si>
    <t>Подключение стиральной машины</t>
  </si>
  <si>
    <t>Установка проточного водонагревателя</t>
  </si>
  <si>
    <t>Замена вводных кранов</t>
  </si>
  <si>
    <t>Установка точки канализации</t>
  </si>
  <si>
    <t>Демонтаж панелей ПВХ(без каркаса)</t>
  </si>
  <si>
    <t>Демонтаж панелей ПВХ(с каркасом)</t>
  </si>
  <si>
    <t>Демонтаж стен(перегородок) в 1/2 кирпича</t>
  </si>
  <si>
    <t>Демонтаж стен(перегородок) в 1 кирпич</t>
  </si>
  <si>
    <t>Демонтаж стен(перегородок) в 1 1/2 кирпича</t>
  </si>
  <si>
    <t>Демонтаж стен(перегородок) в 2 кирпича</t>
  </si>
  <si>
    <t>Демонтаж кассетного подвесного потолка(армстронг)</t>
  </si>
  <si>
    <t>Демонтаж потолочных панелей(на клею)</t>
  </si>
  <si>
    <t>Демонтаж панелей кассетного потолка без профиля(армстронг)</t>
  </si>
  <si>
    <t>Демонтаж натяжного потолка(включая профиль)</t>
  </si>
  <si>
    <t>Демонтаж деревянной двери(+ наличник)</t>
  </si>
  <si>
    <t>Демонтаж металлической двери(+ наличник)</t>
  </si>
  <si>
    <t>Очиска радиатора от краски(до 5 секций)</t>
  </si>
  <si>
    <t>Демонтаж душевой кабины(без сохранения)</t>
  </si>
  <si>
    <t>Демонтаж душевой кабины(с сохранением)</t>
  </si>
  <si>
    <t>Демонтаж ванны(без сохранения)</t>
  </si>
  <si>
    <t>Демонтаж ванны(с сохранением)</t>
  </si>
  <si>
    <t>Штробление кирпичных стен(сечение штробы до 7см)</t>
  </si>
  <si>
    <t>Штробление бетонных стен(сечение штробы до 7 см)</t>
  </si>
  <si>
    <t>Штробление ниши под элщит до 12 модулей(бетон)</t>
  </si>
  <si>
    <t>Штробление ниши под элщит свыше 12 модулей(бетон)</t>
  </si>
  <si>
    <t>Штробление ниши под элщит(кирпич/пеноблок)</t>
  </si>
  <si>
    <t>Итого по разделу(демонтажные работы)</t>
  </si>
  <si>
    <t>Грунтовка пола(бетоноконтактом)</t>
  </si>
  <si>
    <t>Укладка сетки(для стяжки)</t>
  </si>
  <si>
    <t>Монтаж демферной ленты(кромочной ленты)</t>
  </si>
  <si>
    <t>Гидроизоляция пола(смесью водостоп или жидким стеклом)</t>
  </si>
  <si>
    <t>Грунтовка стен(бетоноконтактом)</t>
  </si>
  <si>
    <t>Штукатурка стен(под правило)</t>
  </si>
  <si>
    <t>Шпаклевка стен под оклейку обоями(с ошкуриванием)</t>
  </si>
  <si>
    <t>Шпаклевка стен под окраску(3 слоя с ошкуриванием)</t>
  </si>
  <si>
    <t>Шпаклевка стен ГКЛ под оклейку обоями(с ошкуриванием)</t>
  </si>
  <si>
    <t>Шпаклевка стен ГКЛ под окраску(2 слоя с ошкуриванием)</t>
  </si>
  <si>
    <t>Гидроизоляция(смесью водостоп или жидким стеклом)</t>
  </si>
  <si>
    <t>Выравнивание стен листами ГКЛ(1 слой) с устройством каркаса</t>
  </si>
  <si>
    <t>Выравнивание стен листами ГКЛ(2 слоя) с устройством каркаса</t>
  </si>
  <si>
    <t>Штукатурка потолка(под правило)</t>
  </si>
  <si>
    <t>Шпаклевка ГКЛ под оклейку обоями(с ошкуриванием)</t>
  </si>
  <si>
    <t>Шпаклевка ГКЛ под окраску(2 слоя с ошкуриванием)</t>
  </si>
  <si>
    <t>Итого по разделу(черновые отделочные работы)</t>
  </si>
  <si>
    <t>Облицовка плиточным бордюром(с затиркой)</t>
  </si>
  <si>
    <t>Облицовка мозаикой на подложке(с затиркой)</t>
  </si>
  <si>
    <t>Облицовка мозаикой, мелкой плиткой(с затиркой)</t>
  </si>
  <si>
    <t>Облицовка плиткой ступеней(с подрезкой и затиркой)</t>
  </si>
  <si>
    <t>Укладка паркетной доски(на клей)</t>
  </si>
  <si>
    <t>Покраска(покрытие лаком) плинтуса, наличника</t>
  </si>
  <si>
    <t>Устройство бордюра из плитки(с затиркой)</t>
  </si>
  <si>
    <t>Облицовка стен декоративным камнем(с затиркой)</t>
  </si>
  <si>
    <t>Установка углового профиля(для плитки)</t>
  </si>
  <si>
    <t>Облицовка 3D панелями(менее чем 50х50)</t>
  </si>
  <si>
    <t>Облицовка стен ПВХ панелями(до 10м2)</t>
  </si>
  <si>
    <t>Облицовка стен ПВХ панелями(свыше 10м2)</t>
  </si>
  <si>
    <t>Облицовка стен ПВХ панелями(с устройством каркаса)</t>
  </si>
  <si>
    <t>Облицовка плиткой "фартук"(затиркой и подрезкой)</t>
  </si>
  <si>
    <t>Окраска стен(цветная) до 3х цветов*</t>
  </si>
  <si>
    <t>Облицовка откосов плиткой(торец 45 град, дополнительно)</t>
  </si>
  <si>
    <t>Установка плинтуса потолочного(полиуретан)</t>
  </si>
  <si>
    <t>Установка плинтуса потолочного(полиуретан, с подбором рисунка)</t>
  </si>
  <si>
    <t>Установка плинтуса потолочного(дюропласт)</t>
  </si>
  <si>
    <t>Устройство кассетных подвесных потолков("Армстронг")</t>
  </si>
  <si>
    <t>Шпаклевка дверей(с ошкуриванием*)</t>
  </si>
  <si>
    <t>Замуровка окна(между с/у и кухней)</t>
  </si>
  <si>
    <t>Заделка окна(кухня / с/у)</t>
  </si>
  <si>
    <t>Установка экрана для радиатора из МДФ(без изготовления)</t>
  </si>
  <si>
    <t>Установка аксессуаров(вешалки, крючки и пр.)</t>
  </si>
  <si>
    <t>Итого по разделу(чистовые отделочные работы)</t>
  </si>
  <si>
    <t>Установка трекового освещения(без монтажа осветительных приборов)*</t>
  </si>
  <si>
    <t>Устройство теплого пола из карбоновых матов(кабель)</t>
  </si>
  <si>
    <t>Итого по разделу(электромонтажные работы)</t>
  </si>
  <si>
    <t>Окраска радиатора(до 5 секций)</t>
  </si>
  <si>
    <t>Итого по разделу(сантехнические работы)</t>
  </si>
  <si>
    <t>Итого по разделу(подготовительные работы)</t>
  </si>
  <si>
    <t>Установка ванны(чугун)</t>
  </si>
  <si>
    <t>Установка ванны("джакузи")</t>
  </si>
  <si>
    <t>Установка водонагревателя(до 50 л)</t>
  </si>
  <si>
    <t>Установка люка(металл, ПВХ)</t>
  </si>
  <si>
    <t>Установка люка("невидимка")</t>
  </si>
  <si>
    <t>Монтаж экрана под ванну(пластик)</t>
  </si>
  <si>
    <t>Монтаж экрана под ванну(каркас для плитки)</t>
  </si>
  <si>
    <t>Монтаж системы водостоп(с одним электромагнитным клапаном)</t>
  </si>
  <si>
    <t>Пайка тройника(полипропилен)</t>
  </si>
  <si>
    <t>Пайка угла(полипропилен)</t>
  </si>
  <si>
    <t>Пайка муфты(полипропилен)</t>
  </si>
  <si>
    <t>Установка тройника(металл)</t>
  </si>
  <si>
    <t>Комплексная разводка труб водоснабжения(1 точка)</t>
  </si>
  <si>
    <t>Комплексная разводка труб канализации(1 точка)</t>
  </si>
  <si>
    <t>Установка точки водоснабжения(водорозетки)</t>
  </si>
  <si>
    <t>Комплексная разводка труб водоснабжения из сшитого полиэтилена "Рехау"(1 точка)</t>
  </si>
  <si>
    <t>Установка точки водоснабжения(водорозетки) "Рехау"</t>
  </si>
  <si>
    <t>Демонтаж балконного бортика(бетон)</t>
  </si>
  <si>
    <t>Демонтаж балконного бортика(кирпич)</t>
  </si>
  <si>
    <t>Облицовка стеновыми панелями(с устройством каркаса)</t>
  </si>
  <si>
    <t>Прозвон линии действуюей электросети(до 15 точек)</t>
  </si>
  <si>
    <t>Прозвон линии действуюей электросети(до 30 точек)</t>
  </si>
  <si>
    <t>Прозвон линии действуюей электросети(до 50 точек)</t>
  </si>
  <si>
    <t>Установка ванны(акрил)</t>
  </si>
  <si>
    <t>Установка ванны(камень)</t>
  </si>
  <si>
    <t>Устройство душевой кабины в строительном исполнении(Устройство подиума)</t>
  </si>
  <si>
    <t>Стандартная установка межкомнатной двери включая наличник на одну сторону без врезки замка(две двери и более)</t>
  </si>
  <si>
    <t>Стандартная установка межкомнатной двери включая наличник на одну сторону без врезки замка(всего одна дверь)</t>
  </si>
  <si>
    <t>Демонтаж деревянной двери(включая наличник)</t>
  </si>
  <si>
    <t>Установка добора до 10 см. на входную металлическую дверь(ПОРТАЛ)</t>
  </si>
  <si>
    <t>Установка добора до 20 см. на входную металлическую дверь(ПОРТАЛ)</t>
  </si>
  <si>
    <t>Установка добора до 10 см с наличниками в пустой проём(ПОРТАЛ)</t>
  </si>
  <si>
    <t>Установка добора до 20 см с наличниками в пустой проём(ПОРТАЛ)</t>
  </si>
  <si>
    <t>Расходные материалы(пена, саморезы, заглушки, клей и др.)*</t>
  </si>
  <si>
    <t xml:space="preserve">Натяжной потолок ( материал пвх) </t>
  </si>
  <si>
    <t>Натяжной потолок ( материал пвх) разноцветные</t>
  </si>
  <si>
    <t xml:space="preserve">Натяжной потолок( материал ткань) </t>
  </si>
  <si>
    <t>Натяжной потолок( материал ткань) разноцветные</t>
  </si>
  <si>
    <t>Натяжной потолок( материал ПВХ матовый) фотопечать</t>
  </si>
  <si>
    <t>Натяжной потолок( материал ПВХ глянцевый) фотопечать</t>
  </si>
  <si>
    <t>Установка тканевого потолка + монтаж профиля ( профиль включен )</t>
  </si>
  <si>
    <t>Маскировочная лента по периметру для ПВХ( лента включена )</t>
  </si>
  <si>
    <t>Обвод трубы( материал включен )</t>
  </si>
  <si>
    <t>Еврошлифовка(включая шпаклевку и нанесение лака( без стоимости чернового материала))</t>
  </si>
  <si>
    <t>Еврошлифовка(включая шпаклевку и нанесение лака( с черновым материалом))</t>
  </si>
  <si>
    <t>Нанесение лака(1 слой)</t>
  </si>
  <si>
    <t>Еврошлифовка паркета(с материалом)</t>
  </si>
  <si>
    <t>Погрузка мусора в малогабаритный транспорт(транспорт+грузчики)</t>
  </si>
  <si>
    <t>Трубы для переварки(оцинковка)ХВС</t>
  </si>
  <si>
    <t>Кран 1/2(СТК Европа) или( Итап Италия)ХВС</t>
  </si>
  <si>
    <t>Трубы для переварки(оцинковка)ГВС</t>
  </si>
  <si>
    <t>Кран 1/2(СТК Европа) или( Итап Италия)ГВС</t>
  </si>
  <si>
    <t>Кран 3/4(СТК Европа) или( Итап Италия)</t>
  </si>
  <si>
    <t>Переваривание труб и установка радиатора(всего один)</t>
  </si>
  <si>
    <t>Переваривание труб и установка радиатора(два и более)</t>
  </si>
  <si>
    <t>Кран американка 3/4(СТК Европа) или( Итап Италия)</t>
  </si>
  <si>
    <t>Штробление стен из пеноблока(газоселиката)</t>
  </si>
  <si>
    <t>Штробление стен для дренажного шланка(кирпич)</t>
  </si>
  <si>
    <t>Штробление стен для дренажного шланка(бетон)</t>
  </si>
  <si>
    <t>Штробление стен для дренажного шланка(пеноблок)</t>
  </si>
  <si>
    <t>Дополнительно отверстие в пеноблоке(газоселикате) до 60 см</t>
  </si>
  <si>
    <t>Дополнительно отверстие в пеноблоке(газоселикате) до 95 см</t>
  </si>
  <si>
    <t>Демонтаж кондиционера 5, 7, 9 модели(до 2.7 кВт)</t>
  </si>
  <si>
    <t>Демонтаж кондиционера 12 модель(3.5 кВт)</t>
  </si>
  <si>
    <t>Демонтаж кондиционера 15, 18 модель(5-7 кВт)</t>
  </si>
  <si>
    <t>Демонтаж кондиционера 24 модель (7-8кВт)</t>
  </si>
  <si>
    <t>Демонтаж кондиционера 30 модель(8 кВт)</t>
  </si>
  <si>
    <t>Демонтаж кондиционера 36 модель(свыше 8 кВт)</t>
  </si>
  <si>
    <t>Демонтаж кондиционера 48 модель(свыше 8 кВт)</t>
  </si>
  <si>
    <t>Монтаж трассы под кондиционера 5, 7, 9 модели(с материалом).</t>
  </si>
  <si>
    <t>Монтаж трассы под кондиционера 12 - 18 модели(с материалом).</t>
  </si>
  <si>
    <t>стандартный монтаж кондиционера 5, 7, 9 модели(до 2.7 кВт)</t>
  </si>
  <si>
    <t>стандартный монтаж кондиционера 12 модель(3.5 кВт)</t>
  </si>
  <si>
    <t>стандартный монтаж кондиционера 15, 18 модель(5-7 кВт)</t>
  </si>
  <si>
    <t>стандартный монтаж кондиционера 24 модель (7-8кВт)</t>
  </si>
  <si>
    <t>стандартный монтаж кондиционера 30 модель(8 кВт)</t>
  </si>
  <si>
    <t>стандартный монтаж кондиционера 36 модель(свыше 8 кВт)</t>
  </si>
  <si>
    <t>стандартный монтаж кондиционера 48 модель(свыше 8 кВт)</t>
  </si>
  <si>
    <t>Установка внутреннего блока без дозаправки(пусконаладки)</t>
  </si>
  <si>
    <t>Установка наружного блока на высоту более 3-х м.(установка с лестницы)</t>
  </si>
  <si>
    <t>Заправка кондиционера фреоном( без учёта фреона ) работы выполняются при температуре воздуха +5 градусов</t>
  </si>
  <si>
    <t>Комплексная чистка внешнего и внутреннего блока(включая дозаправку фреоном до 50 гр)</t>
  </si>
  <si>
    <t>Удлинение трассы свыше 5 м без короба(включая материалы) 5-9 модели(до 2.7 кВт)</t>
  </si>
  <si>
    <t>Удлинение трассы свыше 5 м без короба(включая материалы) 12-18 модели(3,2-5,5 кВт)</t>
  </si>
  <si>
    <t>Удлинение трассы свыше 5 м без короба(включая материалы) 21-28 модели(5,6-8,0 кВт)</t>
  </si>
  <si>
    <t>Удлинение трассы свыше 5 м без короба(включая материалы) 30-36 модели(свыше 8,0 кВт)</t>
  </si>
  <si>
    <t>Дополнительный короб с учетом работ(свыше 1 метра, включенного в стандартный монтаж)  60х60</t>
  </si>
  <si>
    <t>Дополнительный короб с учетом работ(свыше 1 метра, включенного в стандартный монтаж)  100х60</t>
  </si>
  <si>
    <t>Дополнительный короб с учетом работ(свыше 2 метров, включенных в стандартный монтаж) 16х16</t>
  </si>
  <si>
    <t>Установка внешнего блока на вентилируемый фасад(демонтаж+монтаж фасадной плитки+демонтаж утепл.+монтаж увеличенных кроншт+высверливание отверстия в плитке)</t>
  </si>
  <si>
    <t>Монтаж защитного козырька при монтаже(без стоимости козырька)</t>
  </si>
  <si>
    <t>Козырек для кондиционера до 4,0 кВт(800х500)</t>
  </si>
  <si>
    <t>Козырек для кондиционера свыше 4,0 кВт(1000х500)</t>
  </si>
  <si>
    <t>Монтаж защитной решетки при монтаже(без стоимости решетки)</t>
  </si>
  <si>
    <t>Рама(подставка) для наружного блока</t>
  </si>
  <si>
    <t>Монтаж зимнего комплекта на ON/OFF кондиционеры(без материалов)</t>
  </si>
  <si>
    <t>Монтаж зимнего комплекта на инверторные кондиционеры(без материалов)</t>
  </si>
  <si>
    <t>Установка автомата защиты без подключения в щите электропитания(только работа)</t>
  </si>
  <si>
    <t>м</t>
  </si>
  <si>
    <t>мп</t>
  </si>
  <si>
    <t>м2/мп</t>
  </si>
  <si>
    <t>Комната. Чистовые отделочные работы</t>
  </si>
  <si>
    <t>Комната. Черновые отделочные работы</t>
  </si>
  <si>
    <t>Ванна. Черновые отделочные работы</t>
  </si>
  <si>
    <t>Ванна. Чистовые отделочные работы</t>
  </si>
  <si>
    <t>Туалет. Черновые отделочные работы</t>
  </si>
  <si>
    <t>Туалет. Чистовые отделочные работы</t>
  </si>
  <si>
    <t>Коридор. Черновые отделочные работы</t>
  </si>
  <si>
    <t>Коридор. Чистовые отделочные работы</t>
  </si>
  <si>
    <t>Устройство тепло/звукоизоляции(стены)</t>
  </si>
  <si>
    <t>Комната. Демонтажные работы</t>
  </si>
  <si>
    <t>Сухая уборка полов под метлу,щетку</t>
  </si>
  <si>
    <t>Ошкуривание поверхности(стены)</t>
  </si>
  <si>
    <t>Расшивка трещин/рустов</t>
  </si>
  <si>
    <t>Отбивка штукатурки</t>
  </si>
  <si>
    <t>Демонтаж наличников</t>
  </si>
  <si>
    <t>Демонтаж подоконника</t>
  </si>
  <si>
    <t>Демонтаж воздуховодов</t>
  </si>
  <si>
    <t>Срез металлоконструкций</t>
  </si>
  <si>
    <t>Демонтаж смесителя</t>
  </si>
  <si>
    <t>Демонтаж раковины</t>
  </si>
  <si>
    <t>Демонтаж полотенцесушителя</t>
  </si>
  <si>
    <t>Демонтаж водонагревателя</t>
  </si>
  <si>
    <t>Демонтаж радиатора</t>
  </si>
  <si>
    <t>Демонтаж светильников</t>
  </si>
  <si>
    <t>Демонтаж электрокабеля</t>
  </si>
  <si>
    <t>Устройство тепло/звукоизоляции(полы)</t>
  </si>
  <si>
    <t>Поклейка стеклохолста(стены)</t>
  </si>
  <si>
    <t>Устройство теплоизоляции</t>
  </si>
  <si>
    <t>Поклейка стеклохолста(потолок)</t>
  </si>
  <si>
    <t>Подрезка керамогранита</t>
  </si>
  <si>
    <t>Декоративная штукатурка</t>
  </si>
  <si>
    <t>Фактурная штукатурка</t>
  </si>
  <si>
    <t>Венецианская штукатурка</t>
  </si>
  <si>
    <t xml:space="preserve">Установка арки в проем </t>
  </si>
  <si>
    <t>Электроточки накладной</t>
  </si>
  <si>
    <t>Установка кабель-канала</t>
  </si>
  <si>
    <t>Установка вентилятора</t>
  </si>
  <si>
    <t>Коробки распределительной</t>
  </si>
  <si>
    <t>Комната. Сантехнические работы</t>
  </si>
  <si>
    <t>Комната. Подготовительные работы</t>
  </si>
  <si>
    <t>Разборка/сборка мебели**</t>
  </si>
  <si>
    <t>Вынос мусора при отсутствии лифта 1 этаж*****</t>
  </si>
  <si>
    <t xml:space="preserve">     (подпись)</t>
  </si>
  <si>
    <t>Кухня. Демонтажные работы</t>
  </si>
  <si>
    <t>Высверливание отверстия 100мм бетонной сене</t>
  </si>
  <si>
    <t>Кухня. Сантехнические работы</t>
  </si>
  <si>
    <t>Установка "мойдодыра"</t>
  </si>
  <si>
    <t>Установка "тюльпана"</t>
  </si>
  <si>
    <t>Установка "инсталляции"</t>
  </si>
  <si>
    <t>Установка смесителей</t>
  </si>
  <si>
    <t>Установка коллекторов</t>
  </si>
  <si>
    <t>Установка полотенцесушителя</t>
  </si>
  <si>
    <t>Установка полотенцесушителя (электрического)</t>
  </si>
  <si>
    <t>Установка перехода (полипропилен-металл)</t>
  </si>
  <si>
    <t>Комплексная разводка воздуховодов</t>
  </si>
  <si>
    <t>Установка вентрешеток</t>
  </si>
  <si>
    <t>Кухня. Подготовительные работы</t>
  </si>
  <si>
    <t>Ванна. Демонтажные работы</t>
  </si>
  <si>
    <t>Высверливание отверстия 100 мм в бетонной сене</t>
  </si>
  <si>
    <t>Ванна. Сантехнические работы</t>
  </si>
  <si>
    <t>Ванна. Подготовительные работы</t>
  </si>
  <si>
    <t>Туалет. Демонтажные работы</t>
  </si>
  <si>
    <t>Туалет. Сантехнические работы</t>
  </si>
  <si>
    <t>Туалет. Подготовительные работы</t>
  </si>
  <si>
    <t>Коридор. Демонтажные работы</t>
  </si>
  <si>
    <t>Коридор. Подготовительные работы</t>
  </si>
  <si>
    <t>Кладовая. Демонтажные работы</t>
  </si>
  <si>
    <t>Кладовая. Подготовительные работы</t>
  </si>
  <si>
    <t>Электромонтажные работы</t>
  </si>
  <si>
    <t>Подготовительные работы</t>
  </si>
  <si>
    <t>Стандартная установка двустворчатой двери включая наличник на одну сторону без врезки замка</t>
  </si>
  <si>
    <t>Установка раздвижной двери-купе без врезки замка</t>
  </si>
  <si>
    <t>Установка двустворчатой раздвижной двери-купе без врезки замка</t>
  </si>
  <si>
    <t xml:space="preserve">Врезка ручки замка </t>
  </si>
  <si>
    <t xml:space="preserve">Распил двери вдоль </t>
  </si>
  <si>
    <t>Устройство дополнительного угла (более 4-х в одном помещении )</t>
  </si>
  <si>
    <t>Работа с применением пылесоса</t>
  </si>
  <si>
    <t>Дополнительное отверстие до 60 см кирпич</t>
  </si>
  <si>
    <t>Монтаж полотна ПВХ с профилем( профиль включен )</t>
  </si>
  <si>
    <t>Введите индекс</t>
  </si>
  <si>
    <t>Наименование работ</t>
  </si>
  <si>
    <t>Цена</t>
  </si>
  <si>
    <t>Цена итоговая</t>
  </si>
  <si>
    <t>Общий</t>
  </si>
  <si>
    <t>Индивидуальный</t>
  </si>
  <si>
    <t>Комната</t>
  </si>
  <si>
    <t>Кухня</t>
  </si>
  <si>
    <t>Ванная комната</t>
  </si>
  <si>
    <t>Туалет</t>
  </si>
  <si>
    <t>Коридор</t>
  </si>
  <si>
    <t>Кладовая</t>
  </si>
  <si>
    <t>Лоджия(балкон)</t>
  </si>
  <si>
    <t>Электромонтаж</t>
  </si>
  <si>
    <t>СМЕТА</t>
  </si>
  <si>
    <t>АКТ И ДОП. РАБОТЫ</t>
  </si>
  <si>
    <t>площади</t>
  </si>
  <si>
    <t>площадь пола</t>
  </si>
  <si>
    <t>площадь стен</t>
  </si>
  <si>
    <t>наименование работ</t>
  </si>
  <si>
    <t>демонтажные работы</t>
  </si>
  <si>
    <t>черновые отделочные работы</t>
  </si>
  <si>
    <t>чистовые отделочные работы</t>
  </si>
  <si>
    <t>электромонтажные работы</t>
  </si>
  <si>
    <t>сантехнические работы</t>
  </si>
  <si>
    <t>подготовительные работы</t>
  </si>
  <si>
    <t>СТОИМОСТЬ РАБОТ</t>
  </si>
  <si>
    <t>руб</t>
  </si>
  <si>
    <t xml:space="preserve">СКИДКА </t>
  </si>
  <si>
    <t>РАБОТЫ С УЧЕТОМ СКИДКИ</t>
  </si>
  <si>
    <t>СПЕЦМОНТАЖ</t>
  </si>
  <si>
    <t>ИТОГО СМЕТНАЯ СТОИМОСТЬ</t>
  </si>
  <si>
    <t>Адрес объекта: ""</t>
  </si>
  <si>
    <t>Вып.</t>
  </si>
  <si>
    <t>Итого по разделу кондиционеры</t>
  </si>
  <si>
    <t>Натяжной потолок( материал ткань) фотопечать</t>
  </si>
  <si>
    <t>Криволинейный участок</t>
  </si>
  <si>
    <t>Работа при наличии керамической плитки</t>
  </si>
  <si>
    <t>м. пог</t>
  </si>
  <si>
    <t>Работа при наличии гипсокартона</t>
  </si>
  <si>
    <t>Закладной брус (для карнизов, для шкафов, обход керамогранита и т.д), материал+монтаж</t>
  </si>
  <si>
    <t>Установка карниза (потолочный, стеновой)</t>
  </si>
  <si>
    <t xml:space="preserve">Устройство вентиляционного отверстия </t>
  </si>
  <si>
    <t>Установка вентиляционной решетки (материал+монтаж)</t>
  </si>
  <si>
    <t>Монтаж вентилятора</t>
  </si>
  <si>
    <t>Закладной элемент для люстры потолочной, накладного светильника</t>
  </si>
  <si>
    <t>Монтаж люстры, накладного светильника (без сборки)</t>
  </si>
  <si>
    <t>Монтаж крючка для люстры (материал включён)</t>
  </si>
  <si>
    <t>Сборка люстры</t>
  </si>
  <si>
    <t>Сборка сложной люстры</t>
  </si>
  <si>
    <t>Закладная платформа для светильника до 90 мм</t>
  </si>
  <si>
    <t>Закладная платформа для светильника до 210 мм</t>
  </si>
  <si>
    <t>Монтаж светильника</t>
  </si>
  <si>
    <t>Двойное подключение светильника</t>
  </si>
  <si>
    <t>Закладная под трековый светильник</t>
  </si>
  <si>
    <t>Монтаж трекового светильника</t>
  </si>
  <si>
    <t>Установка светодиодной ленты с подключением</t>
  </si>
  <si>
    <t>Установка трансформатора (контроллера) для светодиодной ленты</t>
  </si>
  <si>
    <t>Изготовление ниши для скрытого карниза (с перегибом полотна), ПВХ</t>
  </si>
  <si>
    <t>Изготовление ниши для скрытого карниза (с перегибом полотна), Ткань</t>
  </si>
  <si>
    <t>Изготовление ниши для скрытого карниза (с использованием гардины ПК-5)</t>
  </si>
  <si>
    <t>Внутренний угол на профиле БП-40</t>
  </si>
  <si>
    <t>Внутренний угол на гардине  ПК-5</t>
  </si>
  <si>
    <t>Двухуровневый потолок без подсветки (прямолинейный)</t>
  </si>
  <si>
    <t>Двухуровневый потолок с подсветкой (прямолинейный)</t>
  </si>
  <si>
    <t>Двухуровневый потолок без подсветки (криволинейный)</t>
  </si>
  <si>
    <t>Двухуровневый потолок с подсветкой (криволинейный)</t>
  </si>
  <si>
    <t>Парящий натяжной потолок, ПВХ</t>
  </si>
  <si>
    <t>Парящий натяжной потолок, Ткань</t>
  </si>
  <si>
    <t>Контурный натяжной потолок, ПВХ</t>
  </si>
  <si>
    <t>Контурный натяжной потолок, Ткань</t>
  </si>
  <si>
    <t>Световые линии, ПВХ</t>
  </si>
  <si>
    <t>Световые линии, Ткань</t>
  </si>
  <si>
    <t xml:space="preserve">Выезд замерщика для обмера помещения или консультации </t>
  </si>
  <si>
    <t>Выезд бригады по вине Заказчика (доп.выезд)</t>
  </si>
  <si>
    <t>Монтаж в два этапа</t>
  </si>
  <si>
    <t>Подъем материала при отсутствующем, неработающим лифте</t>
  </si>
  <si>
    <t>Устройство плёнки для стен</t>
  </si>
  <si>
    <t>Выезд за МКАД свыше 15 км</t>
  </si>
  <si>
    <t>км</t>
  </si>
  <si>
    <t>Трудный доступ</t>
  </si>
  <si>
    <t>Смета</t>
  </si>
  <si>
    <t>Комната №</t>
  </si>
  <si>
    <t>Смета по комна</t>
  </si>
  <si>
    <t>Смета по кухне</t>
  </si>
  <si>
    <t>Кухня №</t>
  </si>
  <si>
    <t>Смета по ванно</t>
  </si>
  <si>
    <t>Ванная №</t>
  </si>
  <si>
    <t>Смета по туале</t>
  </si>
  <si>
    <t>Туалет №</t>
  </si>
  <si>
    <t>Смета по корид</t>
  </si>
  <si>
    <t>Коридор №</t>
  </si>
  <si>
    <t>Смета по кладо</t>
  </si>
  <si>
    <t>Кладовая №</t>
  </si>
  <si>
    <t>Смета по лоджи</t>
  </si>
  <si>
    <t>Лоджия №</t>
  </si>
  <si>
    <t>Смета, электро</t>
  </si>
  <si>
    <t>Смета, спецмон</t>
  </si>
  <si>
    <t>Итого</t>
  </si>
  <si>
    <t>Комната(база)</t>
  </si>
  <si>
    <t xml:space="preserve">Комната </t>
  </si>
  <si>
    <t>Смета по комнате №</t>
  </si>
  <si>
    <t>Свод</t>
  </si>
  <si>
    <t>Кухня(база)</t>
  </si>
  <si>
    <t xml:space="preserve">Кухня </t>
  </si>
  <si>
    <t>Смета по кухне №</t>
  </si>
  <si>
    <t>Ванная комната(база)</t>
  </si>
  <si>
    <t>Ванна</t>
  </si>
  <si>
    <t xml:space="preserve">Ванная комната </t>
  </si>
  <si>
    <t>Туалет(база)</t>
  </si>
  <si>
    <t xml:space="preserve">Туалет </t>
  </si>
  <si>
    <t>Смета по ванной комнате №</t>
  </si>
  <si>
    <t>Смета по туалету №</t>
  </si>
  <si>
    <t>Коридор(база)</t>
  </si>
  <si>
    <t>Смета по коридору №</t>
  </si>
  <si>
    <t xml:space="preserve">Коридор </t>
  </si>
  <si>
    <t>Кладовая(база)</t>
  </si>
  <si>
    <t>Смета по кладовой №</t>
  </si>
  <si>
    <t xml:space="preserve">Кладовая </t>
  </si>
  <si>
    <t>Лоджия(балкон)(база)</t>
  </si>
  <si>
    <t>Лоджия</t>
  </si>
  <si>
    <t xml:space="preserve">Лоджия(балкон) </t>
  </si>
  <si>
    <t>Смета по лоджии(балкону) №</t>
  </si>
  <si>
    <t>Электромонтаж(база)</t>
  </si>
  <si>
    <t>Смета, электромонтаж</t>
  </si>
  <si>
    <t>Спецмонтаж(база)</t>
  </si>
  <si>
    <t>Смета, спецмонтаж</t>
  </si>
  <si>
    <t>Акт №</t>
  </si>
  <si>
    <t xml:space="preserve"> по комнате №</t>
  </si>
  <si>
    <t>ДР к акту №</t>
  </si>
  <si>
    <t xml:space="preserve"> по кухне №</t>
  </si>
  <si>
    <t xml:space="preserve"> по ванной №</t>
  </si>
  <si>
    <t xml:space="preserve"> по туалету №</t>
  </si>
  <si>
    <t xml:space="preserve"> по коридору №</t>
  </si>
  <si>
    <t xml:space="preserve"> по кладовой №</t>
  </si>
  <si>
    <t xml:space="preserve"> по лоджии №</t>
  </si>
  <si>
    <t>, электромонтаж</t>
  </si>
  <si>
    <t>, эл_м</t>
  </si>
  <si>
    <t>, спецмонтаж</t>
  </si>
  <si>
    <t>, сп_м</t>
  </si>
  <si>
    <t>ФАЙЛ</t>
  </si>
  <si>
    <t>СОЗДАТЬ ЛИСТ СМЕТЫ</t>
  </si>
  <si>
    <t>СОЗДАТЬ ЛИСТЫ АКТА И ДОП. РАБОТ</t>
  </si>
  <si>
    <t>СОЗДАТЬ ЛИСТЫ СМЕТЫ</t>
  </si>
  <si>
    <t>СОЗДАТЬ(ОБНОВИТЬ) СВОД</t>
  </si>
  <si>
    <t>СОЗДАТЬ</t>
  </si>
  <si>
    <t>АКТ от ""______""___________________2020г.</t>
  </si>
  <si>
    <t>ДОП. РАБОТЫ от ""______""___________________2020г.</t>
  </si>
  <si>
    <t>ИТОГО ПО РАБОТАМ</t>
  </si>
  <si>
    <t>ИТОГО СО СКИДКОЙ</t>
  </si>
  <si>
    <r>
      <rPr>
        <b/>
        <sz val="12"/>
        <rFont val="Times New Roman"/>
        <family val="1"/>
      </rPr>
      <t>Полы</t>
    </r>
  </si>
  <si>
    <r>
      <rPr>
        <b/>
        <sz val="12"/>
        <rFont val="Times New Roman"/>
        <family val="1"/>
      </rPr>
      <t>Стены</t>
    </r>
  </si>
  <si>
    <r>
      <rPr>
        <b/>
        <sz val="12"/>
        <rFont val="Times New Roman"/>
        <family val="1"/>
      </rPr>
      <t>Потолки</t>
    </r>
  </si>
  <si>
    <r>
      <rPr>
        <b/>
        <sz val="12"/>
        <rFont val="Times New Roman"/>
        <family val="1"/>
      </rPr>
      <t>Двери, окна</t>
    </r>
  </si>
  <si>
    <r>
      <rPr>
        <b/>
        <sz val="12"/>
        <rFont val="Times New Roman"/>
        <family val="1"/>
      </rPr>
      <t>Прочие</t>
    </r>
  </si>
  <si>
    <r>
      <rPr>
        <b/>
        <sz val="12"/>
        <rFont val="Times New Roman"/>
        <family val="1"/>
      </rPr>
      <t>Сантехника</t>
    </r>
  </si>
  <si>
    <r>
      <rPr>
        <b/>
        <sz val="12"/>
        <rFont val="Times New Roman"/>
        <family val="1"/>
      </rPr>
      <t>Электрика</t>
    </r>
  </si>
  <si>
    <r>
      <rPr>
        <b/>
        <sz val="12"/>
        <rFont val="Times New Roman"/>
        <family val="1"/>
      </rPr>
      <t>Откосы</t>
    </r>
  </si>
  <si>
    <t>т</t>
  </si>
  <si>
    <t>кг</t>
  </si>
  <si>
    <t>Установка линейного светильника</t>
  </si>
  <si>
    <t>Подготовка ниши в ГКЛ под линейное освещение</t>
  </si>
  <si>
    <t>Расключение элищта слаботочного</t>
  </si>
  <si>
    <t>Установка плинтусов полиуретан</t>
  </si>
  <si>
    <t>Укладка инженерной доски</t>
  </si>
  <si>
    <t>Укладка напольного покрытия по диагонали**</t>
  </si>
  <si>
    <t>Укладка напольного покрытия по диагонали*</t>
  </si>
  <si>
    <t>Грунтовка пола (второй и последующие слои)</t>
  </si>
  <si>
    <t>Оклейка стен обоями без подбора*</t>
  </si>
  <si>
    <t>Оклейка стен обоями с подбором*</t>
  </si>
  <si>
    <t>Оклейка стен обоями под окраску*</t>
  </si>
  <si>
    <t>Поклейка обойного бордюра*</t>
  </si>
  <si>
    <t>Поклейка фотообоев*</t>
  </si>
  <si>
    <t>Установка ванны(акрил)*</t>
  </si>
  <si>
    <t>Установка ванны(чугун)*</t>
  </si>
  <si>
    <t>Установка ванны(камень)*</t>
  </si>
  <si>
    <t>Установка ванны("джакузи")*</t>
  </si>
  <si>
    <t>Укладка плитки ПВХ</t>
  </si>
  <si>
    <t>Установка встроенного смесителя</t>
  </si>
  <si>
    <t>Установка душа тропического</t>
  </si>
  <si>
    <t>Заказ контейнера с грузчиками 8м3 (погрузка без лифта 2 и 3 этаж)</t>
  </si>
  <si>
    <t>Заказ контейнера с грузчиками 8м3 (погрузка без лифта 4 этаж)</t>
  </si>
  <si>
    <t>Заказ контейнера с грузчиками 8м3 (погрузка без лифта 5 этаж)</t>
  </si>
  <si>
    <t>Заказ контейнера с грузчиками 8м3 (за МКАД, до 10км)</t>
  </si>
  <si>
    <t>Реставрация ванн акрилом 1,5 - 1,7м</t>
  </si>
  <si>
    <t>Демонтаж сифона</t>
  </si>
  <si>
    <t>Монтаж сифона с материалом</t>
  </si>
  <si>
    <t>Переваривание труб и установка радиатора в нишу с отводами (всего один)</t>
  </si>
  <si>
    <t>Переваривание труб и установка радиатора в нишу с отводами (два и более)</t>
  </si>
  <si>
    <t>Перенос стояка отопления</t>
  </si>
  <si>
    <t>Замена стояка отопления (прямой)</t>
  </si>
  <si>
    <t>Проход через перекрытия</t>
  </si>
  <si>
    <t>Дренажный сифон с установкой</t>
  </si>
  <si>
    <t>Спецкрепления для внешнего блока</t>
  </si>
  <si>
    <t>Дренажный насос с установкой</t>
  </si>
  <si>
    <t>Облицовка керамогранитом 600x600</t>
  </si>
  <si>
    <t>Облицовка плиткой менее 300x300</t>
  </si>
  <si>
    <t>Облицовка плиткой стен более 1200x600</t>
  </si>
  <si>
    <t>Укладка плитки ПВХ (на клей)</t>
  </si>
  <si>
    <t>Монтаж полотна ПВХ с профилем (профиль включен), с применением системы пылеудаления (по периметру)</t>
  </si>
  <si>
    <t>Еврошлифовка старых полов (включая шпаклевку и нанесение лака ( без стоимости расхдных материалов)) до 30м2</t>
  </si>
  <si>
    <t>Установка дренажного насоса</t>
  </si>
  <si>
    <t>Еврошлифовка(включая шпаклевку и нанесение лака( без стоимости чернового материала)) свыше 30м2</t>
  </si>
  <si>
    <t>Устройство наливных полов (до 1 см)</t>
  </si>
  <si>
    <t>Устройство наливных полов (до 3 см)</t>
  </si>
  <si>
    <t>Устройство стяжки по маякам до 4 см</t>
  </si>
  <si>
    <t>Облицовка плиткой пола (до 600 по одной грани включительно)</t>
  </si>
  <si>
    <t>Облицовка керамогранитом (до 600 по одной грани включительно)</t>
  </si>
  <si>
    <t>Облицовка керамогранитом (до 1200 по одной грани включительно)</t>
  </si>
  <si>
    <t>Облицовка керамогранитом (более 1200x600)</t>
  </si>
  <si>
    <t>Затирка плитки эпоксидной затиркой (плитка менее 300x300)</t>
  </si>
  <si>
    <t>Затирка плитки эпоксидной затиркой (плитка более  300x300)</t>
  </si>
  <si>
    <t>Облицовка плиткой стен (до 600 по одной грани включительно)</t>
  </si>
  <si>
    <t>Облицовка стен керамогранитом до 600 по одной грани включительно)</t>
  </si>
  <si>
    <t>Облицовка стен керамогранитом 600x600</t>
  </si>
  <si>
    <t>Облицовка стен керамогранитом (до 1200 по одной грани включительно)</t>
  </si>
  <si>
    <t>Облицовка плиткой стен по диагонали (со вставками)</t>
  </si>
  <si>
    <t>Облицовка плиткой стен (менее 300x300)</t>
  </si>
  <si>
    <t>Облицовка стен мазайкой на подложке(с затиркой)</t>
  </si>
  <si>
    <t>Облицовка стен мозаикой (с затиркой)</t>
  </si>
  <si>
    <t>Оклейка стен обоями без подбора (ширина до 50см)</t>
  </si>
  <si>
    <t>Прокладка кабеля (по полу)</t>
  </si>
  <si>
    <t>Прокладка кабеля в ПВХ трубе (по полу)</t>
  </si>
  <si>
    <t>Прокладка кабеля (по потолку)</t>
  </si>
  <si>
    <t>Прокладка кабеля в ПВХ трубе (по потолку)</t>
  </si>
  <si>
    <t>Установка вертикальных радиаторов</t>
  </si>
  <si>
    <t>Установка внутрипольных конвекторов (без вентилятора)</t>
  </si>
  <si>
    <t>Установка внутрипольных конвекторов (с вентилятором)</t>
  </si>
  <si>
    <t xml:space="preserve">Оклейка стен премиум обоями (от 4 тыс рулон), шелковыми обоями, обоями типа соломка, пробковым покрытием </t>
  </si>
  <si>
    <t>Грунтовка стен(бетоноконтактом) второй и последующие слои*</t>
  </si>
  <si>
    <t>Грунтовка стен второй и последующие слои*</t>
  </si>
  <si>
    <t>Грунтовка потолков бетоноконтактом второй и последующие слои</t>
  </si>
  <si>
    <t>Грунтовка пола(бетоноконтактом) второй и последующие слои</t>
  </si>
  <si>
    <t>Грунтовка потолков второй и соледующие слои</t>
  </si>
  <si>
    <t xml:space="preserve">*на работы со "звездочкой" может применяться коэффицент, связанный с выской трудоемкостью процесса или стоимостью материала </t>
  </si>
  <si>
    <t xml:space="preserve">Устройство молдингов на стены </t>
  </si>
  <si>
    <t xml:space="preserve">Устройство молдингов на стены (полиуретан) </t>
  </si>
  <si>
    <t>Полы. Черновые работы</t>
  </si>
  <si>
    <t>Стены. Черновые Работы</t>
  </si>
  <si>
    <t>Откосы. Черновые Работы</t>
  </si>
  <si>
    <t>Потолки. Черновые Работы</t>
  </si>
  <si>
    <t>Полы. Чистовые Работы</t>
  </si>
  <si>
    <t>Стены. Чистовые Работы</t>
  </si>
  <si>
    <t>Откосы. Чистовые Работы</t>
  </si>
  <si>
    <t>Потолки. Чистовые Работы</t>
  </si>
  <si>
    <t>Прочее. Чистовые Работы</t>
  </si>
  <si>
    <t>Электрика</t>
  </si>
  <si>
    <t>Сантехника</t>
  </si>
  <si>
    <t xml:space="preserve">Демонтажные работы </t>
  </si>
  <si>
    <t>Полы. Черновые Работы</t>
  </si>
  <si>
    <t>Прочее</t>
  </si>
  <si>
    <t>Лоджия. Демонтажные работы</t>
  </si>
  <si>
    <t>Лоджия. Черновые отделочные работы</t>
  </si>
  <si>
    <t>Лоджия. Чистовые отделочные работы</t>
  </si>
  <si>
    <t>Лоджия. Подготовительные работы</t>
  </si>
  <si>
    <t>Устройство коробов из ГКЛ</t>
  </si>
  <si>
    <t>Прайс для расчета (М)</t>
  </si>
  <si>
    <t>Сводная смета</t>
  </si>
  <si>
    <t>цена мастер</t>
  </si>
  <si>
    <r>
      <rPr>
        <b/>
        <sz val="10"/>
        <color rgb="FF000000"/>
        <rFont val="Times New Roman"/>
        <family val="1"/>
        <charset val="204"/>
      </rPr>
      <t>Штукатурка</t>
    </r>
    <r>
      <rPr>
        <sz val="10"/>
        <color rgb="FF000000"/>
        <rFont val="Times New Roman"/>
        <family val="1"/>
        <charset val="204"/>
      </rPr>
      <t xml:space="preserve"> стен по маякам до 3см (с учетом работ: грунтование, штукатурной сетки, установкой маяков).</t>
    </r>
  </si>
  <si>
    <t>Стены</t>
  </si>
  <si>
    <t>Облицовка керамогранитом (до 800 по одной грани включительно)</t>
  </si>
  <si>
    <t>Облицовка керамогранитом (1200х600 и менее)</t>
  </si>
  <si>
    <t>Облицовка керамогранитом (до 1200х600)</t>
  </si>
  <si>
    <t>Облицовка стен керамогранитом до 800 по одной грани включительно)</t>
  </si>
  <si>
    <t>КОМПЛЕКС ПОПУЛЯРНЫХ РАБОТ</t>
  </si>
  <si>
    <r>
      <t xml:space="preserve">Облицовка стен </t>
    </r>
    <r>
      <rPr>
        <b/>
        <sz val="12"/>
        <color rgb="FF000000"/>
        <rFont val="Times New Roman"/>
        <family val="1"/>
        <charset val="204"/>
      </rPr>
      <t>керамогранитом 600x600</t>
    </r>
    <r>
      <rPr>
        <sz val="10"/>
        <color rgb="FF000000"/>
        <rFont val="Times New Roman"/>
        <family val="1"/>
      </rPr>
      <t xml:space="preserve"> (с учетом работ: грунтовка, подрезка, затирка швов) </t>
    </r>
  </si>
  <si>
    <r>
      <t xml:space="preserve">Облицовка стен </t>
    </r>
    <r>
      <rPr>
        <b/>
        <sz val="10"/>
        <color rgb="FF000000"/>
        <rFont val="Times New Roman"/>
        <family val="1"/>
        <charset val="204"/>
      </rPr>
      <t>К</t>
    </r>
    <r>
      <rPr>
        <b/>
        <sz val="12"/>
        <color rgb="FF000000"/>
        <rFont val="Times New Roman"/>
        <family val="1"/>
        <charset val="204"/>
      </rPr>
      <t>ерамогранитом 1200x600</t>
    </r>
    <r>
      <rPr>
        <sz val="10"/>
        <color rgb="FF000000"/>
        <rFont val="Times New Roman"/>
        <family val="1"/>
      </rPr>
      <t xml:space="preserve"> (с учетом работ: грунтовка, подрезка, затирка швов) </t>
    </r>
  </si>
  <si>
    <t>цены актуальны до 31.10.2024 г.</t>
  </si>
  <si>
    <t>Шпатлевка стен под окраску под малярную лампу LOSSEW поверхность качества К4</t>
  </si>
  <si>
    <r>
      <t xml:space="preserve">Шпатлевка стен под окраску под малярную лампу </t>
    </r>
    <r>
      <rPr>
        <sz val="12"/>
        <color rgb="FF00B0F0"/>
        <rFont val="Times New Roman"/>
        <family val="1"/>
        <charset val="204"/>
      </rPr>
      <t>LOSSEW</t>
    </r>
    <r>
      <rPr>
        <sz val="12"/>
        <rFont val="Times New Roman"/>
        <family val="1"/>
        <charset val="204"/>
      </rPr>
      <t xml:space="preserve"> поверхность качества К4</t>
    </r>
  </si>
  <si>
    <r>
      <t>Шпатлевка потолков под окраску под малярную лампу</t>
    </r>
    <r>
      <rPr>
        <sz val="12"/>
        <color rgb="FF00B0F0"/>
        <rFont val="Times New Roman"/>
        <family val="1"/>
        <charset val="204"/>
      </rPr>
      <t xml:space="preserve"> LOSSEW</t>
    </r>
    <r>
      <rPr>
        <sz val="12"/>
        <rFont val="Times New Roman"/>
        <family val="1"/>
        <charset val="204"/>
      </rPr>
      <t xml:space="preserve"> поверхность качества К4</t>
    </r>
  </si>
  <si>
    <t>Шпатлевка потолка под окраску под малярную лампу LOSSEW поверхность качества К4</t>
  </si>
  <si>
    <t>Устройство временного черного освещения и выключателей</t>
  </si>
  <si>
    <t>Устройство временного освещения и розеток на время рем работ</t>
  </si>
  <si>
    <t>Комплекс косметических демонтажных работ*</t>
  </si>
  <si>
    <t>Комплекс капитальных демонтажных работ*</t>
  </si>
  <si>
    <t>Заделка и грунтовка штроб</t>
  </si>
  <si>
    <t>Шпатлевка потолок под окраску под малярную лампу LOSSEW поверхность качества К4</t>
  </si>
  <si>
    <r>
      <t xml:space="preserve">Шпаклевка стен под окраску под малярную лампу </t>
    </r>
    <r>
      <rPr>
        <sz val="12"/>
        <color rgb="FF00B0F0"/>
        <rFont val="Times New Roman"/>
        <family val="1"/>
        <charset val="204"/>
      </rPr>
      <t>LOSSEW</t>
    </r>
    <r>
      <rPr>
        <sz val="12"/>
        <rFont val="Times New Roman"/>
        <family val="1"/>
      </rPr>
      <t xml:space="preserve"> поверхность качества К4</t>
    </r>
  </si>
  <si>
    <r>
      <t xml:space="preserve">Шпаклевка стен под окраску под малярную лампу </t>
    </r>
    <r>
      <rPr>
        <sz val="12"/>
        <color rgb="FF00B0F0"/>
        <rFont val="Times New Roman"/>
        <family val="1"/>
        <charset val="204"/>
      </rPr>
      <t>LOSSEW</t>
    </r>
    <r>
      <rPr>
        <sz val="12"/>
        <rFont val="Times New Roman"/>
        <family val="1"/>
        <charset val="204"/>
      </rPr>
      <t xml:space="preserve"> поверхность качества К4</t>
    </r>
  </si>
  <si>
    <r>
      <t>Шпаклевка потолков под окраску под малярную лампу</t>
    </r>
    <r>
      <rPr>
        <sz val="12"/>
        <color rgb="FF00B0F0"/>
        <rFont val="Times New Roman"/>
        <family val="1"/>
        <charset val="204"/>
      </rPr>
      <t xml:space="preserve"> LOSSEW</t>
    </r>
    <r>
      <rPr>
        <sz val="12"/>
        <rFont val="Times New Roman"/>
        <family val="1"/>
      </rPr>
      <t xml:space="preserve"> поверхность качества К4</t>
    </r>
  </si>
  <si>
    <r>
      <t>Шпаклевка потолков под окраску под малярную лампу</t>
    </r>
    <r>
      <rPr>
        <sz val="12"/>
        <color rgb="FF00B0F0"/>
        <rFont val="Times New Roman"/>
        <family val="1"/>
        <charset val="204"/>
      </rPr>
      <t xml:space="preserve"> LOSSEW</t>
    </r>
    <r>
      <rPr>
        <sz val="12"/>
        <rFont val="Times New Roman"/>
        <family val="1"/>
        <charset val="204"/>
      </rPr>
      <t xml:space="preserve"> поверхность качества К4</t>
    </r>
  </si>
  <si>
    <t>Комплекс капитальный демонтажных работ</t>
  </si>
  <si>
    <t>Комплекс косметических демонтажных работ</t>
  </si>
  <si>
    <t>Комплекс демонтаж космет</t>
  </si>
  <si>
    <t>Комплекс демонтаж капит</t>
  </si>
  <si>
    <t>Прайс Лист*</t>
  </si>
  <si>
    <t>СМЕТА от "______"___________________202_г.</t>
  </si>
  <si>
    <t>Приложение№1 к договору №КС ____________ от ______________ 202_г.</t>
  </si>
  <si>
    <t>Приложение№1 к договору № КС ____________ от ______________ 202_г.</t>
  </si>
  <si>
    <t>Грунтовка пола 1 слой</t>
  </si>
  <si>
    <t>Грунтовка пола(бетоноконтактом) 1 слой</t>
  </si>
  <si>
    <t>Грунтовка стен(бетоноконтактом) 1 слой</t>
  </si>
  <si>
    <t>Грунтовка стен 1 слой</t>
  </si>
  <si>
    <t>Грунтовка потолков бетоноконтактом 1 слой</t>
  </si>
  <si>
    <t>Грунтовка потолков 1 слой</t>
  </si>
  <si>
    <t>Обработка антиплесенью</t>
  </si>
  <si>
    <t>Устройство тепло/звукоизоляции(полы) 1 слой</t>
  </si>
  <si>
    <t>Устройство тепло/звукоизоляции(стены) 1 слой</t>
  </si>
  <si>
    <t>Устройство теплоизоляции/шумоизоляции(потолок) 1 слой</t>
  </si>
  <si>
    <t>Штукатурка стен простая (под правило)</t>
  </si>
  <si>
    <t>Протяжка углов штукатуркой и устройство угла 90 градусов</t>
  </si>
  <si>
    <t>Штукатурка потолка по маякам высококачественная  до 2 см (с учетом демонтажа маяков)</t>
  </si>
  <si>
    <t>Штукатурка потолка по маякам улучшенная до 2 см (с учетом демонтажа маяков)</t>
  </si>
  <si>
    <t>Штукатурка потолка простая (под правило)</t>
  </si>
  <si>
    <t>Штукатурка потолка по маякам высококачественная до 2 см (с учетом демонтажа маяков)</t>
  </si>
  <si>
    <t>СВОБОДНО (ПОЛЫ 1)</t>
  </si>
  <si>
    <t>Сплошная шпаклевка в один слой / Базовый слой</t>
  </si>
  <si>
    <t>Шпаклевка потолков К2</t>
  </si>
  <si>
    <t>Шпаклевка потолков К3</t>
  </si>
  <si>
    <t>Шпаклевка ГКЛ под оклейку обоями (с ошкуриванием) К2</t>
  </si>
  <si>
    <t>Шпаклевка ГКЛ под окраску (с ошкуриванием) поверхность качества К3</t>
  </si>
  <si>
    <t>Шпаклевка потолков под окраску (с ошкуриванием) поверхность качества К3</t>
  </si>
  <si>
    <t>Шпаклевка потолков в два слоя (с ошкуриванием) К2 (ОБОИ)</t>
  </si>
  <si>
    <t>Шпаклевка потолков (с ошкуриванием) К2 (ОБОИ)</t>
  </si>
  <si>
    <t>Сплошная шпаклевка в 1 слой /Базовый слой</t>
  </si>
  <si>
    <t>Армирование проемов арматурой (1 проем)</t>
  </si>
  <si>
    <t>Армирование проемов арматурой (1 проём)</t>
  </si>
  <si>
    <t>Армирование проемов арматурой 1 проём</t>
  </si>
  <si>
    <t>Устройство дверного проёма в возведенных стенах</t>
  </si>
  <si>
    <t>Устройство потолков из ГКЛ в 1 слой</t>
  </si>
  <si>
    <t>Устройство потолков из ГКЛ в толщину 2 слоя прямолинейный</t>
  </si>
  <si>
    <t>Устройство потолков из ГКЛ в толщину 1 слой</t>
  </si>
  <si>
    <t>Устройство криволинейного участка в ГКЛ и/или второй и последующие уровни потолка</t>
  </si>
  <si>
    <t>Устройство потолков из ГКЛ в 2 слоя</t>
  </si>
  <si>
    <t>Устройство потолков из ГКЛ криволинейн</t>
  </si>
  <si>
    <t>Облицовка керамической плиткой пола (до 600 по одной грани включительно)</t>
  </si>
  <si>
    <t>Облицовка керамической плиткой стен (до 600 по одной грани включительно)</t>
  </si>
  <si>
    <t>Подрезка керамической напольной плитки</t>
  </si>
  <si>
    <t>Подрезка керамической плитки</t>
  </si>
  <si>
    <t>Диагональная укладка плитки (считается дополнительно к облицовке кермической плиткой и керамогранитом)*</t>
  </si>
  <si>
    <t>Диагональная укладка (считается дополнительно к облицовке плиткой и керамогранитом)*</t>
  </si>
  <si>
    <t>СВОБОДНО СТЕНЫ 3</t>
  </si>
  <si>
    <t>СВОБОДНО стены 3</t>
  </si>
  <si>
    <t>Облицовка плиточным бордюром</t>
  </si>
  <si>
    <t>Устройство бордюра из плитки</t>
  </si>
  <si>
    <t>Облицовка плиткой (менее 300x300)</t>
  </si>
  <si>
    <t>Облицовка мозаикой на подложке</t>
  </si>
  <si>
    <t>Облицовка мозаикой, мелкой плиткой</t>
  </si>
  <si>
    <t>Облицовка плиткой ступеней</t>
  </si>
  <si>
    <t>Облицовка стен декоративным камнем</t>
  </si>
  <si>
    <t>Облицовка стен мазайкой на подложке</t>
  </si>
  <si>
    <t xml:space="preserve">Облицовка стен мозаикой </t>
  </si>
  <si>
    <t>Облицовка стен мозаикой</t>
  </si>
  <si>
    <t>Укладка ПВХ и кварцвиниловой плитки</t>
  </si>
  <si>
    <t>Укладка ПВХ и кварцвиниловой плитки (на клей)</t>
  </si>
  <si>
    <t xml:space="preserve">Оклейка стен премиум обоями (от 3,5 тыс рулон), шелковыми обоями, обоями типа соломка, пробковым покрытием </t>
  </si>
  <si>
    <t>СВОБОДНО ОТКОСЫ 1</t>
  </si>
  <si>
    <t>Подготовительные работы: Защита поверхностей, двери, ручек, МОПов, укрытие пленкой окон</t>
  </si>
  <si>
    <t>Защита поверхностей, двери, ручек, МОПов, укрытие пленкой окон и тд</t>
  </si>
  <si>
    <t>Защита поверхностей, двери, ручек, МОПов, укрытие пленкой окон и необходимых поверхностей</t>
  </si>
  <si>
    <t>Комплекс капитальный демонтажных работ: Пол: снятие старого напольного покрытия и отбивка стяжки, Стены:Снятие всех покрытий с учетом отбивки старой штукатурки или нанесения засечек под штукатурные работы, Потолок: демонтаж всех старых покрытий и конструкции. Демонтажные работы по потолкам производятся по необходимости и на усмотрение прораба!</t>
  </si>
  <si>
    <t>Комплекс косметических демонтажных работ: Пол: снятие чистового напольного покрытия и напольного плинтуса без демонтажа стяжки, Стены: демонтаж чистового покрытия обои или краска и очисткой стен от старой шпатлевки Потолок очистка от старой краски или демонтаж конструкции из ГКЛ с очисткой поверхности от шпатлевки РАБОТЫ Демонтажные работы по потолкам производятся по необходимости и на усмотрение прораба!</t>
  </si>
  <si>
    <t>Сплошная шпаклевка в 1 слой / базовый слой</t>
  </si>
  <si>
    <t>Шпаклевка стен под оклейку обоями(с ошкуриванием) К2</t>
  </si>
  <si>
    <t>Устройство теплоизоляции 1 слой</t>
  </si>
  <si>
    <t>Установка горизонтальных радиаторов</t>
  </si>
  <si>
    <t>с вентиляторо</t>
  </si>
  <si>
    <t>965 руб/м2</t>
  </si>
  <si>
    <t>300 руб/м2</t>
  </si>
  <si>
    <r>
      <rPr>
        <b/>
        <sz val="10"/>
        <color rgb="FF000000"/>
        <rFont val="Times New Roman"/>
        <family val="1"/>
        <charset val="204"/>
      </rPr>
      <t xml:space="preserve">Устройство стяжки пола от 6 до 12 см </t>
    </r>
    <r>
      <rPr>
        <sz val="10"/>
        <color rgb="FF000000"/>
        <rFont val="Times New Roman"/>
        <family val="1"/>
        <charset val="204"/>
      </rPr>
      <t>(с учетом работ: грунтования, установкой маяков, демпф ленты, укладки металл сетки, отсыпка керамзита).</t>
    </r>
  </si>
  <si>
    <r>
      <t>Устройство наливного пола до 1 см</t>
    </r>
    <r>
      <rPr>
        <sz val="10"/>
        <color rgb="FF000000"/>
        <rFont val="Times New Roman"/>
        <family val="1"/>
        <charset val="204"/>
      </rPr>
      <t xml:space="preserve"> (с учетом работ: грунтования)</t>
    </r>
  </si>
  <si>
    <r>
      <rPr>
        <b/>
        <sz val="12"/>
        <color rgb="FF000000"/>
        <rFont val="Times New Roman"/>
        <family val="1"/>
        <charset val="204"/>
      </rPr>
      <t>Штукатурка</t>
    </r>
    <r>
      <rPr>
        <sz val="10"/>
        <color rgb="FF000000"/>
        <rFont val="Times New Roman"/>
        <family val="1"/>
        <charset val="204"/>
      </rPr>
      <t xml:space="preserve"> стен по маякам </t>
    </r>
    <r>
      <rPr>
        <b/>
        <sz val="10"/>
        <color rgb="FF000000"/>
        <rFont val="Times New Roman"/>
        <family val="1"/>
        <charset val="204"/>
      </rPr>
      <t>ВЫСОКОКАЧЕСТВЕННАЯ</t>
    </r>
    <r>
      <rPr>
        <sz val="10"/>
        <color rgb="FF000000"/>
        <rFont val="Times New Roman"/>
        <family val="1"/>
        <charset val="204"/>
      </rPr>
      <t xml:space="preserve"> до 2 см (с учетом работ: грунтование, штукатурной сетки, установкой маяков).</t>
    </r>
  </si>
  <si>
    <t>650 руб/м2</t>
  </si>
  <si>
    <r>
      <rPr>
        <b/>
        <sz val="12"/>
        <color rgb="FF000000"/>
        <rFont val="Times New Roman"/>
        <family val="1"/>
        <charset val="204"/>
      </rPr>
      <t>Штукатурка</t>
    </r>
    <r>
      <rPr>
        <sz val="10"/>
        <color rgb="FF000000"/>
        <rFont val="Times New Roman"/>
        <family val="1"/>
        <charset val="204"/>
      </rPr>
      <t xml:space="preserve"> стен по маякам </t>
    </r>
    <r>
      <rPr>
        <b/>
        <sz val="10"/>
        <color rgb="FF000000"/>
        <rFont val="Times New Roman"/>
        <family val="1"/>
        <charset val="204"/>
      </rPr>
      <t>УЛУЧШЕННАЯ</t>
    </r>
    <r>
      <rPr>
        <sz val="10"/>
        <color rgb="FF000000"/>
        <rFont val="Times New Roman"/>
        <family val="1"/>
        <charset val="204"/>
      </rPr>
      <t xml:space="preserve"> до 2 см (с учетом работ: грунтование, штукатурной сетки, установкой маяков).</t>
    </r>
  </si>
  <si>
    <t>570 руб/м2</t>
  </si>
  <si>
    <r>
      <rPr>
        <b/>
        <sz val="12"/>
        <color rgb="FFFF0000"/>
        <rFont val="Times New Roman"/>
        <family val="1"/>
        <charset val="204"/>
      </rPr>
      <t>Шпаклевка</t>
    </r>
    <r>
      <rPr>
        <sz val="10"/>
        <color rgb="FF000000"/>
        <rFont val="Times New Roman"/>
        <family val="1"/>
        <charset val="204"/>
      </rPr>
      <t xml:space="preserve"> стен под окраску К3 (с учетом работ: грунтовка 4 слоя, базовый слой при необходимости 2, </t>
    </r>
    <r>
      <rPr>
        <b/>
        <sz val="10"/>
        <color rgb="FF000000"/>
        <rFont val="Times New Roman"/>
        <family val="1"/>
        <charset val="204"/>
      </rPr>
      <t>стеклохост</t>
    </r>
    <r>
      <rPr>
        <sz val="10"/>
        <color rgb="FF000000"/>
        <rFont val="Times New Roman"/>
        <family val="1"/>
        <charset val="204"/>
      </rPr>
      <t xml:space="preserve">, ошкуривание, </t>
    </r>
    <r>
      <rPr>
        <b/>
        <sz val="10"/>
        <color rgb="FF000000"/>
        <rFont val="Times New Roman"/>
        <family val="1"/>
        <charset val="204"/>
      </rPr>
      <t>окраска 2 слоя</t>
    </r>
    <r>
      <rPr>
        <sz val="10"/>
        <color rgb="FF000000"/>
        <rFont val="Times New Roman"/>
        <family val="1"/>
        <charset val="204"/>
      </rPr>
      <t>).</t>
    </r>
  </si>
  <si>
    <r>
      <rPr>
        <b/>
        <sz val="12"/>
        <color rgb="FFFF0000"/>
        <rFont val="Times New Roman"/>
        <family val="1"/>
        <charset val="204"/>
      </rPr>
      <t>Шпаклевка</t>
    </r>
    <r>
      <rPr>
        <sz val="10"/>
        <color rgb="FF000000"/>
        <rFont val="Times New Roman"/>
        <family val="1"/>
        <charset val="204"/>
      </rPr>
      <t xml:space="preserve"> стен под окраску К4 по лампу ЛОСЕВА (с учетом работ: грунтовка 4 слоя, базовый слой при необходимости 2, </t>
    </r>
    <r>
      <rPr>
        <b/>
        <sz val="10"/>
        <color rgb="FF000000"/>
        <rFont val="Times New Roman"/>
        <family val="1"/>
        <charset val="204"/>
      </rPr>
      <t>стеклохост</t>
    </r>
    <r>
      <rPr>
        <sz val="10"/>
        <color rgb="FF000000"/>
        <rFont val="Times New Roman"/>
        <family val="1"/>
        <charset val="204"/>
      </rPr>
      <t xml:space="preserve">, ошкуривание, </t>
    </r>
    <r>
      <rPr>
        <b/>
        <sz val="10"/>
        <color rgb="FF000000"/>
        <rFont val="Times New Roman"/>
        <family val="1"/>
        <charset val="204"/>
      </rPr>
      <t>окраска 2 слоя</t>
    </r>
    <r>
      <rPr>
        <sz val="10"/>
        <color rgb="FF000000"/>
        <rFont val="Times New Roman"/>
        <family val="1"/>
        <charset val="204"/>
      </rPr>
      <t>).</t>
    </r>
  </si>
  <si>
    <r>
      <rPr>
        <b/>
        <sz val="12"/>
        <color rgb="FF000000"/>
        <rFont val="Times New Roman"/>
        <family val="1"/>
        <charset val="204"/>
      </rPr>
      <t>Штукатурка стен по маякам высококачественная до 2 см* + Шпатлевка</t>
    </r>
    <r>
      <rPr>
        <sz val="10"/>
        <color rgb="FF000000"/>
        <rFont val="Times New Roman"/>
        <family val="1"/>
        <charset val="204"/>
      </rPr>
      <t xml:space="preserve"> стен под окраску улучшенная К4 (с учетом работ:  грунтование, штукатурной сетки, установкой маяков, грунтовка, </t>
    </r>
    <r>
      <rPr>
        <b/>
        <sz val="10"/>
        <color rgb="FF000000"/>
        <rFont val="Times New Roman"/>
        <family val="1"/>
        <charset val="204"/>
      </rPr>
      <t>стеклохост</t>
    </r>
    <r>
      <rPr>
        <sz val="10"/>
        <color rgb="FF000000"/>
        <rFont val="Times New Roman"/>
        <family val="1"/>
        <charset val="204"/>
      </rPr>
      <t xml:space="preserve">, ошкуривание, </t>
    </r>
    <r>
      <rPr>
        <b/>
        <sz val="10"/>
        <color rgb="FF000000"/>
        <rFont val="Times New Roman"/>
        <family val="1"/>
        <charset val="204"/>
      </rPr>
      <t>окраска 2 слоя</t>
    </r>
    <r>
      <rPr>
        <sz val="10"/>
        <color rgb="FF000000"/>
        <rFont val="Times New Roman"/>
        <family val="1"/>
        <charset val="204"/>
      </rPr>
      <t>).</t>
    </r>
  </si>
  <si>
    <t>1268 руб/м2</t>
  </si>
  <si>
    <t>2200 руб/м2</t>
  </si>
  <si>
    <t>2850 руб/м2</t>
  </si>
  <si>
    <t>Плитка(стены)</t>
  </si>
  <si>
    <t>≈2000-2200руб/м2</t>
  </si>
  <si>
    <t>≈2400-2700руб/м2</t>
  </si>
  <si>
    <t>Армирование проемов арматурой 1 проем</t>
  </si>
  <si>
    <t>Далее все работы указаны отдельно, если вы хотите посчитать комплекс, то сложите позиции между собой</t>
  </si>
  <si>
    <t>Демонтаж маяков</t>
  </si>
  <si>
    <t>Монтаж маяков</t>
  </si>
  <si>
    <t xml:space="preserve">Штукатурка стен по маякам высококачественная до 2 см </t>
  </si>
  <si>
    <t>Штукатурка стен по маякам высококачественная до 5 см</t>
  </si>
  <si>
    <t>Штукатурка стен по маякам улучшенная до 2 см гипсовая</t>
  </si>
  <si>
    <t>Штукатурка стен по маякам улучшенная до 2 см цементной смесью</t>
  </si>
  <si>
    <t xml:space="preserve">Штукатурка стен по маякам улучшенная до 5 см </t>
  </si>
  <si>
    <t>Штукатурка стен по маякам высококачественная до 2 см</t>
  </si>
  <si>
    <t xml:space="preserve">Штукатурка стен по маякам высококачественная до 5 см </t>
  </si>
  <si>
    <t xml:space="preserve">Штукатурка стен по маякам улучшенная до 2 см гипсовая </t>
  </si>
  <si>
    <t>Штукатурка стен по маякам улучшенная до 5 см</t>
  </si>
  <si>
    <t>Нанесение штукатурной/малярной сетки</t>
  </si>
  <si>
    <t>Свободно 123</t>
  </si>
  <si>
    <t>Шпаклевка стен под оклейку обоями К2</t>
  </si>
  <si>
    <t>Шпаклевка стен под оклейку обоями (поверхность качества) К2</t>
  </si>
  <si>
    <t>Ошкуривание стен</t>
  </si>
  <si>
    <t>Шпаклевка стен под окраску базовые 2 слоя (поверхность качества) К3</t>
  </si>
  <si>
    <t>Шпаклевка стен под окраску финишные 2 слоя (поверхность качества) К3</t>
  </si>
  <si>
    <t>Шпаклевка стен под окраску 2 базовых слоя К3</t>
  </si>
  <si>
    <t>Шпаклевка стен под окраску 2 финишных слоя К3</t>
  </si>
  <si>
    <t>Грунтовка стен 2 слоя</t>
  </si>
  <si>
    <t>Сплошная шпаклевка в 1 слой / Базовый слой / Дополнительный слой</t>
  </si>
  <si>
    <t>Устройство стяжки по маякам свыше 6 см до 10 см</t>
  </si>
  <si>
    <t>Грунтовка пола 2 слоя</t>
  </si>
  <si>
    <t>Поклейка стеклохолста (стены)</t>
  </si>
  <si>
    <t>Штукатурка потолка по маякам высококачественная  до 2 см</t>
  </si>
  <si>
    <t>Штукатурка потолка по маякам улучшенная до 2 см</t>
  </si>
  <si>
    <t>Грунтовка потолков 2 слоя</t>
  </si>
  <si>
    <t>Устройство стяжки по маякам свыше 6 см до 10</t>
  </si>
  <si>
    <t>Шпаклевка стен под окраску базовые 2 слоя К3</t>
  </si>
  <si>
    <t>Шпаклевка стен под окраску финишные 2 слоя К3</t>
  </si>
  <si>
    <t>Ошкуривание</t>
  </si>
  <si>
    <t>Шпаклевка потолков под окраску поверхность качества К3</t>
  </si>
  <si>
    <t>Шпаклевка потолков в два слоя К2 (ОБОИ)</t>
  </si>
  <si>
    <t xml:space="preserve">Ошкуривание поверхности (потолок) </t>
  </si>
  <si>
    <t>Ошкуривание потолка</t>
  </si>
  <si>
    <t xml:space="preserve">Штукатурка потолка по маякам улучшенная до 2 см </t>
  </si>
  <si>
    <t>Свободно</t>
  </si>
  <si>
    <t>Устройство тепло/звукоизоляции (стены) 1 слой</t>
  </si>
  <si>
    <t>Устройство пароизоляции (стены)</t>
  </si>
  <si>
    <t>Шпаклевка потолков в два слоя категория качества К2 под обои</t>
  </si>
  <si>
    <t>Коридор 1. Демонтажные работы</t>
  </si>
  <si>
    <t>Коридор 1. Черновые отделочные работы</t>
  </si>
  <si>
    <t>Коридор 1. Чистовые отделочные работы</t>
  </si>
  <si>
    <t>Коридор 1. Подготовительные работы</t>
  </si>
  <si>
    <t>Кладовая 1. Демонтажные работы</t>
  </si>
  <si>
    <t>Кладовая 1. Черновые отделочные работы</t>
  </si>
  <si>
    <t>Кладовая 1. Чистовые отделочные работы</t>
  </si>
  <si>
    <t>Кладовая 1. Подготовительные работы</t>
  </si>
  <si>
    <t>Кладовая 2. Демонтажные работы</t>
  </si>
  <si>
    <t>Кладовая 2. Черновые отделочные работы</t>
  </si>
  <si>
    <t>Кладовая 2. Чистовые отделочные работы</t>
  </si>
  <si>
    <t>Кладовая 2. Подготовительные работы</t>
  </si>
  <si>
    <t>Комната 1. Демонтажные работы</t>
  </si>
  <si>
    <t>Комната 1. Черновые отделочные работы</t>
  </si>
  <si>
    <t>Комната 1. Чистовые отделочные работы</t>
  </si>
  <si>
    <t>Комната 1. Сантехнические работы</t>
  </si>
  <si>
    <t>Комната 1. Подготовительные работы</t>
  </si>
  <si>
    <t>Прихожая</t>
  </si>
  <si>
    <t>Гардероб 1</t>
  </si>
  <si>
    <t>Гардероб 2</t>
  </si>
  <si>
    <t>Спальня</t>
  </si>
  <si>
    <t>Монтаж микроплинтуса*</t>
  </si>
  <si>
    <t>Кладка стен из пеноблоков (ОБЩИЙ ОБЪЕМ)</t>
  </si>
  <si>
    <t>Армирование проемов арматурой (1 проем) (ОБЩИЙ ОБЪЕМ)</t>
  </si>
  <si>
    <t>Устройство дверного проёма в возведенных стенах (ОБЩИЙ ОБЪЕМ)</t>
  </si>
  <si>
    <t>цены актуальны до 30.11.2025 г.</t>
  </si>
  <si>
    <t>обработка антиплесенью*</t>
  </si>
  <si>
    <t>Просушка помещения + тепло пушка*</t>
  </si>
  <si>
    <t>Антон Негода 89168474617 @proektuyuta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</si>
</sst>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;###0"/>
    <numFmt numFmtId="165" formatCode="0.0"/>
    <numFmt numFmtId="166" formatCode="#,##0.000"/>
    <numFmt numFmtId="167" formatCode="0.000"/>
  </numFmts>
  <fonts count="42" x14ac:knownFonts="1">
    <font>
      <sz val="10"/>
      <color rgb="FF000000"/>
      <name val="Times New Roman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3.5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u/>
      <sz val="10"/>
      <color theme="10"/>
      <name val="Times New Roman"/>
      <family val="1"/>
    </font>
    <font>
      <u/>
      <sz val="10"/>
      <color theme="11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Times New Roman"/>
      <family val="1"/>
    </font>
    <font>
      <sz val="9"/>
      <name val="Times New Roman"/>
      <family val="1"/>
    </font>
    <font>
      <b/>
      <i/>
      <sz val="12"/>
      <name val="Times New Roman"/>
      <family val="1"/>
    </font>
    <font>
      <b/>
      <sz val="2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  <charset val="204"/>
    </font>
    <font>
      <b/>
      <i/>
      <sz val="11"/>
      <name val="Times New Roman"/>
      <family val="1"/>
    </font>
    <font>
      <sz val="1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  <charset val="204"/>
    </font>
    <font>
      <sz val="1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name val="Times New Roman"/>
      <family val="1"/>
    </font>
    <font>
      <b/>
      <i/>
      <sz val="13.5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i/>
      <sz val="2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B0F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Times New Roman"/>
      <family val="1"/>
    </font>
    <font>
      <b/>
      <sz val="14"/>
      <name val="Times New Roman"/>
      <family val="1"/>
      <charset val="204"/>
    </font>
    <font>
      <sz val="10"/>
      <color theme="9" tint="-0.249977111117893"/>
      <name val="Times New Roman"/>
      <family val="1"/>
      <charset val="204"/>
    </font>
    <font>
      <sz val="10"/>
      <color theme="4" tint="-0.499984740745262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B4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8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5" fillId="0" borderId="0"/>
  </cellStyleXfs>
  <cellXfs count="29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top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left" vertical="top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4" fontId="11" fillId="0" borderId="5" xfId="0" applyNumberFormat="1" applyFont="1" applyBorder="1" applyAlignment="1">
      <alignment horizontal="center" vertical="center" wrapText="1"/>
    </xf>
    <xf numFmtId="4" fontId="11" fillId="0" borderId="10" xfId="0" applyNumberFormat="1" applyFont="1" applyBorder="1" applyAlignment="1">
      <alignment horizontal="center" vertical="center" wrapText="1"/>
    </xf>
    <xf numFmtId="4" fontId="11" fillId="0" borderId="9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 vertical="top"/>
    </xf>
    <xf numFmtId="164" fontId="15" fillId="0" borderId="1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3" fontId="0" fillId="0" borderId="0" xfId="0" applyNumberFormat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0" borderId="0" xfId="683" applyAlignment="1">
      <alignment horizontal="left" vertical="top"/>
    </xf>
    <xf numFmtId="4" fontId="19" fillId="0" borderId="15" xfId="683" applyNumberFormat="1" applyFont="1" applyBorder="1" applyAlignment="1">
      <alignment horizontal="left" vertical="center"/>
    </xf>
    <xf numFmtId="4" fontId="16" fillId="0" borderId="0" xfId="683" applyNumberFormat="1" applyFont="1" applyAlignment="1">
      <alignment wrapText="1"/>
    </xf>
    <xf numFmtId="4" fontId="17" fillId="0" borderId="0" xfId="683" applyNumberFormat="1" applyFont="1" applyAlignment="1">
      <alignment wrapText="1"/>
    </xf>
    <xf numFmtId="4" fontId="15" fillId="0" borderId="0" xfId="683" applyNumberFormat="1" applyAlignment="1">
      <alignment horizontal="left" vertical="top"/>
    </xf>
    <xf numFmtId="4" fontId="18" fillId="0" borderId="0" xfId="683" applyNumberFormat="1" applyFont="1" applyAlignment="1">
      <alignment horizontal="left" vertical="center"/>
    </xf>
    <xf numFmtId="4" fontId="18" fillId="0" borderId="0" xfId="683" applyNumberFormat="1" applyFont="1"/>
    <xf numFmtId="4" fontId="18" fillId="4" borderId="5" xfId="683" applyNumberFormat="1" applyFont="1" applyFill="1" applyBorder="1" applyAlignment="1">
      <alignment horizontal="left" vertical="center"/>
    </xf>
    <xf numFmtId="4" fontId="20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/>
    </xf>
    <xf numFmtId="1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wrapText="1"/>
    </xf>
    <xf numFmtId="1" fontId="7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17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3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1" fontId="1" fillId="0" borderId="10" xfId="0" applyNumberFormat="1" applyFont="1" applyBorder="1" applyAlignment="1">
      <alignment horizontal="left" wrapText="1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/>
    </xf>
    <xf numFmtId="4" fontId="14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4" fontId="21" fillId="2" borderId="1" xfId="0" applyNumberFormat="1" applyFont="1" applyFill="1" applyBorder="1" applyAlignment="1">
      <alignment horizontal="left" vertical="center" wrapText="1"/>
    </xf>
    <xf numFmtId="4" fontId="21" fillId="2" borderId="1" xfId="0" applyNumberFormat="1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wrapText="1"/>
    </xf>
    <xf numFmtId="4" fontId="10" fillId="3" borderId="1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wrapText="1"/>
    </xf>
    <xf numFmtId="4" fontId="21" fillId="2" borderId="1" xfId="0" applyNumberFormat="1" applyFont="1" applyFill="1" applyBorder="1" applyAlignment="1">
      <alignment horizontal="left" wrapText="1"/>
    </xf>
    <xf numFmtId="4" fontId="21" fillId="2" borderId="1" xfId="0" applyNumberFormat="1" applyFont="1" applyFill="1" applyBorder="1" applyAlignment="1">
      <alignment horizontal="center" wrapText="1"/>
    </xf>
    <xf numFmtId="4" fontId="10" fillId="2" borderId="1" xfId="0" applyNumberFormat="1" applyFont="1" applyFill="1" applyBorder="1" applyAlignment="1">
      <alignment horizontal="center" wrapText="1"/>
    </xf>
    <xf numFmtId="4" fontId="10" fillId="2" borderId="1" xfId="0" applyNumberFormat="1" applyFont="1" applyFill="1" applyBorder="1" applyAlignment="1">
      <alignment horizontal="right" wrapText="1"/>
    </xf>
    <xf numFmtId="0" fontId="21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wrapText="1"/>
    </xf>
    <xf numFmtId="0" fontId="22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3" fontId="0" fillId="0" borderId="12" xfId="0" applyNumberFormat="1" applyBorder="1" applyAlignment="1">
      <alignment horizontal="left" vertical="center"/>
    </xf>
    <xf numFmtId="4" fontId="21" fillId="5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3" fontId="22" fillId="0" borderId="1" xfId="0" applyNumberFormat="1" applyFont="1" applyBorder="1" applyAlignment="1">
      <alignment horizontal="left" vertical="center"/>
    </xf>
    <xf numFmtId="0" fontId="24" fillId="2" borderId="0" xfId="0" applyFont="1" applyFill="1" applyAlignment="1">
      <alignment horizontal="left" vertical="top" wrapText="1"/>
    </xf>
    <xf numFmtId="0" fontId="22" fillId="0" borderId="1" xfId="0" applyFont="1" applyBorder="1" applyAlignment="1">
      <alignment horizontal="center" vertical="top"/>
    </xf>
    <xf numFmtId="0" fontId="22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1" fillId="3" borderId="1" xfId="0" applyFont="1" applyFill="1" applyBorder="1" applyAlignment="1">
      <alignment horizontal="center" vertical="top" wrapText="1"/>
    </xf>
    <xf numFmtId="4" fontId="21" fillId="3" borderId="1" xfId="0" applyNumberFormat="1" applyFont="1" applyFill="1" applyBorder="1" applyAlignment="1">
      <alignment horizontal="left" vertical="center" wrapText="1"/>
    </xf>
    <xf numFmtId="4" fontId="21" fillId="3" borderId="1" xfId="0" applyNumberFormat="1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/>
    </xf>
    <xf numFmtId="1" fontId="12" fillId="0" borderId="1" xfId="0" applyNumberFormat="1" applyFont="1" applyBorder="1" applyAlignment="1">
      <alignment horizontal="left" wrapText="1"/>
    </xf>
    <xf numFmtId="165" fontId="11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164" fontId="15" fillId="0" borderId="22" xfId="0" applyNumberFormat="1" applyFont="1" applyBorder="1" applyAlignment="1">
      <alignment horizontal="center" vertical="center" wrapText="1"/>
    </xf>
    <xf numFmtId="4" fontId="21" fillId="2" borderId="21" xfId="0" applyNumberFormat="1" applyFont="1" applyFill="1" applyBorder="1" applyAlignment="1">
      <alignment horizontal="left" wrapText="1"/>
    </xf>
    <xf numFmtId="164" fontId="15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left" vertical="center"/>
    </xf>
    <xf numFmtId="4" fontId="25" fillId="2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left" vertical="center" wrapText="1"/>
    </xf>
    <xf numFmtId="4" fontId="21" fillId="6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/>
    </xf>
    <xf numFmtId="4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right" vertical="center"/>
    </xf>
    <xf numFmtId="4" fontId="25" fillId="0" borderId="0" xfId="0" applyNumberFormat="1" applyFont="1" applyAlignment="1">
      <alignment horizontal="left" vertical="top"/>
    </xf>
    <xf numFmtId="4" fontId="26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right" vertical="center"/>
    </xf>
    <xf numFmtId="1" fontId="27" fillId="0" borderId="10" xfId="0" applyNumberFormat="1" applyFont="1" applyBorder="1" applyAlignment="1">
      <alignment horizontal="left" wrapText="1"/>
    </xf>
    <xf numFmtId="0" fontId="27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4" fontId="21" fillId="2" borderId="1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horizontal="left" vertical="top"/>
    </xf>
    <xf numFmtId="4" fontId="8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left" vertical="center"/>
    </xf>
    <xf numFmtId="4" fontId="21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left" vertical="center"/>
    </xf>
    <xf numFmtId="4" fontId="2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horizontal="left" vertical="top"/>
    </xf>
    <xf numFmtId="0" fontId="28" fillId="0" borderId="0" xfId="0" applyFont="1" applyAlignment="1">
      <alignment horizontal="left" vertical="top"/>
    </xf>
    <xf numFmtId="2" fontId="28" fillId="0" borderId="0" xfId="0" applyNumberFormat="1" applyFont="1" applyAlignment="1">
      <alignment horizontal="left" vertical="top"/>
    </xf>
    <xf numFmtId="3" fontId="28" fillId="0" borderId="0" xfId="0" applyNumberFormat="1" applyFont="1" applyAlignment="1">
      <alignment horizontal="left" vertical="top"/>
    </xf>
    <xf numFmtId="3" fontId="20" fillId="0" borderId="0" xfId="0" applyNumberFormat="1" applyFont="1" applyAlignment="1">
      <alignment horizontal="left" vertical="top"/>
    </xf>
    <xf numFmtId="10" fontId="20" fillId="0" borderId="0" xfId="0" applyNumberFormat="1" applyFont="1" applyAlignment="1">
      <alignment horizontal="left" vertical="top"/>
    </xf>
    <xf numFmtId="1" fontId="7" fillId="6" borderId="1" xfId="0" applyNumberFormat="1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center"/>
    </xf>
    <xf numFmtId="4" fontId="21" fillId="6" borderId="1" xfId="0" applyNumberFormat="1" applyFont="1" applyFill="1" applyBorder="1" applyAlignment="1">
      <alignment horizontal="center" wrapText="1"/>
    </xf>
    <xf numFmtId="0" fontId="21" fillId="6" borderId="1" xfId="0" applyFont="1" applyFill="1" applyBorder="1" applyAlignment="1">
      <alignment horizontal="center" vertical="center"/>
    </xf>
    <xf numFmtId="4" fontId="18" fillId="7" borderId="15" xfId="683" applyNumberFormat="1" applyFont="1" applyFill="1" applyBorder="1" applyAlignment="1">
      <alignment horizontal="left" vertical="center"/>
    </xf>
    <xf numFmtId="4" fontId="18" fillId="7" borderId="16" xfId="683" applyNumberFormat="1" applyFont="1" applyFill="1" applyBorder="1" applyAlignment="1">
      <alignment horizontal="left" vertical="center"/>
    </xf>
    <xf numFmtId="4" fontId="18" fillId="7" borderId="6" xfId="683" applyNumberFormat="1" applyFont="1" applyFill="1" applyBorder="1" applyAlignment="1">
      <alignment horizontal="left" vertical="center"/>
    </xf>
    <xf numFmtId="4" fontId="18" fillId="7" borderId="6" xfId="683" applyNumberFormat="1" applyFont="1" applyFill="1" applyBorder="1" applyAlignment="1">
      <alignment horizontal="center" vertical="center"/>
    </xf>
    <xf numFmtId="4" fontId="18" fillId="7" borderId="8" xfId="683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left" vertical="top"/>
    </xf>
    <xf numFmtId="0" fontId="21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4" fontId="7" fillId="7" borderId="1" xfId="0" applyNumberFormat="1" applyFont="1" applyFill="1" applyBorder="1" applyAlignment="1">
      <alignment horizontal="center" vertical="center" wrapText="1"/>
    </xf>
    <xf numFmtId="4" fontId="21" fillId="6" borderId="1" xfId="0" applyNumberFormat="1" applyFont="1" applyFill="1" applyBorder="1" applyAlignment="1">
      <alignment horizontal="right" vertical="center" wrapText="1"/>
    </xf>
    <xf numFmtId="4" fontId="21" fillId="7" borderId="1" xfId="0" applyNumberFormat="1" applyFont="1" applyFill="1" applyBorder="1" applyAlignment="1">
      <alignment horizontal="right" vertical="center" wrapText="1"/>
    </xf>
    <xf numFmtId="10" fontId="21" fillId="7" borderId="1" xfId="0" applyNumberFormat="1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 vertical="center"/>
    </xf>
    <xf numFmtId="4" fontId="14" fillId="7" borderId="1" xfId="0" applyNumberFormat="1" applyFont="1" applyFill="1" applyBorder="1" applyAlignment="1">
      <alignment horizontal="center" vertical="center" wrapText="1"/>
    </xf>
    <xf numFmtId="4" fontId="10" fillId="7" borderId="1" xfId="0" applyNumberFormat="1" applyFont="1" applyFill="1" applyBorder="1" applyAlignment="1">
      <alignment horizontal="right" vertical="center" wrapText="1"/>
    </xf>
    <xf numFmtId="10" fontId="10" fillId="7" borderId="1" xfId="0" applyNumberFormat="1" applyFont="1" applyFill="1" applyBorder="1" applyAlignment="1">
      <alignment horizontal="right" vertical="center" wrapText="1"/>
    </xf>
    <xf numFmtId="4" fontId="10" fillId="6" borderId="1" xfId="0" applyNumberFormat="1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wrapText="1"/>
    </xf>
    <xf numFmtId="4" fontId="14" fillId="7" borderId="1" xfId="0" applyNumberFormat="1" applyFont="1" applyFill="1" applyBorder="1" applyAlignment="1">
      <alignment horizontal="center" wrapText="1"/>
    </xf>
    <xf numFmtId="4" fontId="10" fillId="7" borderId="1" xfId="0" applyNumberFormat="1" applyFont="1" applyFill="1" applyBorder="1" applyAlignment="1">
      <alignment horizontal="right" wrapText="1"/>
    </xf>
    <xf numFmtId="10" fontId="10" fillId="7" borderId="1" xfId="0" applyNumberFormat="1" applyFont="1" applyFill="1" applyBorder="1" applyAlignment="1">
      <alignment horizontal="right" wrapText="1"/>
    </xf>
    <xf numFmtId="4" fontId="10" fillId="6" borderId="1" xfId="0" applyNumberFormat="1" applyFont="1" applyFill="1" applyBorder="1" applyAlignment="1">
      <alignment horizontal="right" wrapText="1"/>
    </xf>
    <xf numFmtId="0" fontId="7" fillId="7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top" wrapText="1"/>
    </xf>
    <xf numFmtId="0" fontId="23" fillId="9" borderId="1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top"/>
    </xf>
    <xf numFmtId="3" fontId="0" fillId="10" borderId="1" xfId="0" applyNumberFormat="1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left" vertical="center"/>
    </xf>
    <xf numFmtId="4" fontId="0" fillId="8" borderId="1" xfId="0" applyNumberForma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0" fillId="11" borderId="1" xfId="0" applyFill="1" applyBorder="1" applyAlignment="1">
      <alignment horizontal="left" vertical="center"/>
    </xf>
    <xf numFmtId="3" fontId="0" fillId="11" borderId="1" xfId="0" applyNumberFormat="1" applyFill="1" applyBorder="1" applyAlignment="1">
      <alignment horizontal="left" vertical="center"/>
    </xf>
    <xf numFmtId="4" fontId="0" fillId="11" borderId="1" xfId="0" applyNumberFormat="1" applyFill="1" applyBorder="1" applyAlignment="1">
      <alignment horizontal="left" vertical="center"/>
    </xf>
    <xf numFmtId="0" fontId="0" fillId="11" borderId="0" xfId="0" applyFill="1" applyAlignment="1">
      <alignment horizontal="left" vertical="top"/>
    </xf>
    <xf numFmtId="0" fontId="22" fillId="11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left" vertical="center"/>
    </xf>
    <xf numFmtId="4" fontId="0" fillId="12" borderId="1" xfId="0" applyNumberFormat="1" applyFill="1" applyBorder="1" applyAlignment="1">
      <alignment horizontal="left" vertical="center"/>
    </xf>
    <xf numFmtId="0" fontId="0" fillId="12" borderId="0" xfId="0" applyFill="1" applyAlignment="1">
      <alignment horizontal="left" vertical="top"/>
    </xf>
    <xf numFmtId="0" fontId="22" fillId="12" borderId="1" xfId="0" applyFont="1" applyFill="1" applyBorder="1" applyAlignment="1">
      <alignment horizontal="left" vertical="center"/>
    </xf>
    <xf numFmtId="4" fontId="0" fillId="10" borderId="1" xfId="0" applyNumberFormat="1" applyFill="1" applyBorder="1" applyAlignment="1">
      <alignment horizontal="left" vertical="center"/>
    </xf>
    <xf numFmtId="0" fontId="0" fillId="10" borderId="0" xfId="0" applyFill="1" applyAlignment="1">
      <alignment horizontal="left" vertical="top"/>
    </xf>
    <xf numFmtId="0" fontId="0" fillId="13" borderId="1" xfId="0" applyFill="1" applyBorder="1" applyAlignment="1">
      <alignment horizontal="left" vertical="center"/>
    </xf>
    <xf numFmtId="3" fontId="0" fillId="13" borderId="1" xfId="0" applyNumberFormat="1" applyFill="1" applyBorder="1" applyAlignment="1">
      <alignment horizontal="left" vertical="center"/>
    </xf>
    <xf numFmtId="4" fontId="0" fillId="13" borderId="1" xfId="0" applyNumberFormat="1" applyFill="1" applyBorder="1" applyAlignment="1">
      <alignment horizontal="left" vertical="center"/>
    </xf>
    <xf numFmtId="0" fontId="0" fillId="13" borderId="0" xfId="0" applyFill="1" applyAlignment="1">
      <alignment horizontal="left" vertical="top"/>
    </xf>
    <xf numFmtId="0" fontId="33" fillId="2" borderId="1" xfId="0" applyFont="1" applyFill="1" applyBorder="1" applyAlignment="1">
      <alignment horizontal="left" wrapText="1"/>
    </xf>
    <xf numFmtId="0" fontId="33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3" fontId="0" fillId="14" borderId="1" xfId="0" applyNumberFormat="1" applyFill="1" applyBorder="1" applyAlignment="1">
      <alignment horizontal="left" vertical="center"/>
    </xf>
    <xf numFmtId="4" fontId="0" fillId="14" borderId="1" xfId="0" applyNumberFormat="1" applyFill="1" applyBorder="1" applyAlignment="1">
      <alignment horizontal="left" vertical="center"/>
    </xf>
    <xf numFmtId="0" fontId="0" fillId="14" borderId="0" xfId="0" applyFill="1" applyAlignment="1">
      <alignment horizontal="left" vertical="top"/>
    </xf>
    <xf numFmtId="0" fontId="22" fillId="7" borderId="1" xfId="0" applyFont="1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left" vertical="center"/>
    </xf>
    <xf numFmtId="4" fontId="0" fillId="7" borderId="1" xfId="0" applyNumberFormat="1" applyFill="1" applyBorder="1" applyAlignment="1">
      <alignment horizontal="left" vertical="center"/>
    </xf>
    <xf numFmtId="0" fontId="0" fillId="7" borderId="0" xfId="0" applyFill="1" applyAlignment="1">
      <alignment horizontal="left" vertical="top"/>
    </xf>
    <xf numFmtId="0" fontId="0" fillId="7" borderId="1" xfId="0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 wrapText="1"/>
    </xf>
    <xf numFmtId="3" fontId="23" fillId="15" borderId="1" xfId="0" applyNumberFormat="1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3" fontId="22" fillId="15" borderId="1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wrapText="1"/>
    </xf>
    <xf numFmtId="0" fontId="38" fillId="8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3" fontId="15" fillId="0" borderId="1" xfId="0" applyNumberFormat="1" applyFont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right" vertical="center" wrapText="1"/>
    </xf>
    <xf numFmtId="0" fontId="7" fillId="7" borderId="19" xfId="0" applyFont="1" applyFill="1" applyBorder="1" applyAlignment="1">
      <alignment horizontal="right" vertical="center" wrapText="1"/>
    </xf>
    <xf numFmtId="0" fontId="7" fillId="7" borderId="20" xfId="0" applyFont="1" applyFill="1" applyBorder="1" applyAlignment="1">
      <alignment horizontal="right" vertical="center" wrapText="1"/>
    </xf>
    <xf numFmtId="0" fontId="7" fillId="7" borderId="11" xfId="0" applyFont="1" applyFill="1" applyBorder="1" applyAlignment="1">
      <alignment vertical="center" wrapText="1"/>
    </xf>
    <xf numFmtId="0" fontId="7" fillId="7" borderId="19" xfId="0" applyFont="1" applyFill="1" applyBorder="1" applyAlignment="1">
      <alignment vertical="center" wrapText="1"/>
    </xf>
    <xf numFmtId="0" fontId="7" fillId="7" borderId="20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37" fillId="0" borderId="0" xfId="0" applyFont="1" applyAlignment="1">
      <alignment horizontal="left" vertical="center" indent="28"/>
    </xf>
    <xf numFmtId="0" fontId="36" fillId="0" borderId="0" xfId="0" applyFont="1" applyAlignment="1">
      <alignment horizontal="left" vertical="center" indent="28"/>
    </xf>
    <xf numFmtId="0" fontId="36" fillId="0" borderId="29" xfId="0" applyFont="1" applyBorder="1" applyAlignment="1">
      <alignment horizontal="left" vertical="center" indent="28"/>
    </xf>
    <xf numFmtId="1" fontId="7" fillId="0" borderId="6" xfId="0" applyNumberFormat="1" applyFont="1" applyBorder="1" applyAlignment="1">
      <alignment horizontal="left" wrapText="1"/>
    </xf>
    <xf numFmtId="1" fontId="7" fillId="0" borderId="7" xfId="0" applyNumberFormat="1" applyFont="1" applyBorder="1" applyAlignment="1">
      <alignment horizontal="left" wrapText="1"/>
    </xf>
    <xf numFmtId="2" fontId="7" fillId="0" borderId="7" xfId="0" applyNumberFormat="1" applyFont="1" applyBorder="1" applyAlignment="1">
      <alignment horizontal="left" wrapText="1"/>
    </xf>
    <xf numFmtId="1" fontId="7" fillId="0" borderId="8" xfId="0" applyNumberFormat="1" applyFont="1" applyBorder="1" applyAlignment="1">
      <alignment horizontal="left" wrapText="1"/>
    </xf>
    <xf numFmtId="1" fontId="27" fillId="0" borderId="10" xfId="0" applyNumberFormat="1" applyFont="1" applyBorder="1" applyAlignment="1">
      <alignment horizontal="left" wrapText="1"/>
    </xf>
    <xf numFmtId="1" fontId="27" fillId="0" borderId="13" xfId="0" applyNumberFormat="1" applyFont="1" applyBorder="1" applyAlignment="1">
      <alignment horizontal="left" wrapText="1"/>
    </xf>
    <xf numFmtId="4" fontId="11" fillId="0" borderId="2" xfId="0" applyNumberFormat="1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4" fontId="11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21" fillId="7" borderId="1" xfId="0" applyFont="1" applyFill="1" applyBorder="1" applyAlignment="1">
      <alignment horizontal="right" vertical="center" wrapText="1"/>
    </xf>
    <xf numFmtId="1" fontId="1" fillId="0" borderId="10" xfId="0" applyNumberFormat="1" applyFont="1" applyBorder="1" applyAlignment="1">
      <alignment horizontal="left" wrapText="1"/>
    </xf>
    <xf numFmtId="1" fontId="1" fillId="0" borderId="13" xfId="0" applyNumberFormat="1" applyFont="1" applyBorder="1" applyAlignment="1">
      <alignment horizontal="left" wrapText="1"/>
    </xf>
    <xf numFmtId="0" fontId="21" fillId="7" borderId="1" xfId="0" applyFont="1" applyFill="1" applyBorder="1" applyAlignment="1">
      <alignment horizontal="right" wrapText="1"/>
    </xf>
    <xf numFmtId="0" fontId="7" fillId="6" borderId="1" xfId="0" applyFont="1" applyFill="1" applyBorder="1" applyAlignment="1">
      <alignment horizontal="right" wrapText="1"/>
    </xf>
    <xf numFmtId="0" fontId="21" fillId="7" borderId="1" xfId="0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right" vertical="top" wrapText="1"/>
    </xf>
    <xf numFmtId="4" fontId="3" fillId="0" borderId="29" xfId="0" applyNumberFormat="1" applyFont="1" applyBorder="1" applyAlignment="1">
      <alignment horizontal="center" vertical="center"/>
    </xf>
    <xf numFmtId="4" fontId="26" fillId="0" borderId="29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wrapText="1"/>
    </xf>
    <xf numFmtId="3" fontId="7" fillId="0" borderId="7" xfId="0" applyNumberFormat="1" applyFont="1" applyBorder="1" applyAlignment="1">
      <alignment horizontal="left" wrapText="1"/>
    </xf>
    <xf numFmtId="3" fontId="7" fillId="0" borderId="8" xfId="0" applyNumberFormat="1" applyFont="1" applyBorder="1" applyAlignment="1">
      <alignment horizontal="left" wrapText="1"/>
    </xf>
    <xf numFmtId="0" fontId="4" fillId="0" borderId="0" xfId="0" applyFont="1" applyAlignment="1">
      <alignment horizontal="right" vertical="center"/>
    </xf>
    <xf numFmtId="1" fontId="12" fillId="0" borderId="11" xfId="0" applyNumberFormat="1" applyFont="1" applyBorder="1" applyAlignment="1">
      <alignment horizontal="right" vertical="center" wrapText="1"/>
    </xf>
    <xf numFmtId="1" fontId="12" fillId="0" borderId="19" xfId="0" applyNumberFormat="1" applyFont="1" applyBorder="1" applyAlignment="1">
      <alignment horizontal="right" vertical="center" wrapText="1"/>
    </xf>
    <xf numFmtId="1" fontId="12" fillId="0" borderId="20" xfId="0" applyNumberFormat="1" applyFont="1" applyBorder="1" applyAlignment="1">
      <alignment horizontal="right" vertical="center" wrapText="1"/>
    </xf>
    <xf numFmtId="0" fontId="14" fillId="2" borderId="26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 vertical="top"/>
    </xf>
    <xf numFmtId="0" fontId="14" fillId="2" borderId="27" xfId="0" applyFont="1" applyFill="1" applyBorder="1" applyAlignment="1">
      <alignment horizontal="center" vertical="top"/>
    </xf>
    <xf numFmtId="0" fontId="14" fillId="2" borderId="28" xfId="0" applyFont="1" applyFill="1" applyBorder="1" applyAlignment="1">
      <alignment horizontal="center" vertical="top"/>
    </xf>
    <xf numFmtId="0" fontId="14" fillId="2" borderId="29" xfId="0" applyFont="1" applyFill="1" applyBorder="1" applyAlignment="1">
      <alignment horizontal="center" vertical="top"/>
    </xf>
    <xf numFmtId="0" fontId="14" fillId="2" borderId="30" xfId="0" applyFont="1" applyFill="1" applyBorder="1" applyAlignment="1">
      <alignment horizontal="center" vertical="top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" fontId="39" fillId="16" borderId="11" xfId="0" applyNumberFormat="1" applyFont="1" applyFill="1" applyBorder="1" applyAlignment="1">
      <alignment horizontal="center" vertical="center" wrapText="1"/>
    </xf>
    <xf numFmtId="1" fontId="39" fillId="16" borderId="19" xfId="0" applyNumberFormat="1" applyFont="1" applyFill="1" applyBorder="1" applyAlignment="1">
      <alignment horizontal="center" vertical="center" wrapText="1"/>
    </xf>
    <xf numFmtId="1" fontId="39" fillId="16" borderId="20" xfId="0" applyNumberFormat="1" applyFont="1" applyFill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1" fontId="12" fillId="0" borderId="19" xfId="0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 vertical="center" wrapText="1"/>
    </xf>
    <xf numFmtId="1" fontId="12" fillId="8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684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Обычный" xfId="0" builtinId="0"/>
    <cellStyle name="Обычный 2" xfId="683"/>
    <cellStyle name="Открывавшаяся гиперссылка" xfId="2" builtinId="9" hidden="1"/>
    <cellStyle name="Открывавшаяся гиперссылка" xfId="4" builtinId="9" hidden="1"/>
    <cellStyle name="Открывавшаяся гиперссылка" xfId="6" builtinId="9" hidden="1"/>
    <cellStyle name="Открывавшаяся гиперссылка" xfId="8" builtinId="9" hidden="1"/>
    <cellStyle name="Открывавшаяся гиперссылка" xfId="10" builtinId="9" hidden="1"/>
    <cellStyle name="Открывавшаяся гиперссылка" xfId="12" builtinId="9" hidden="1"/>
    <cellStyle name="Открывавшаяся гиперссылка" xfId="14" builtinId="9" hidden="1"/>
    <cellStyle name="Открывавшаяся гиперссылка" xfId="16" builtinId="9" hidden="1"/>
    <cellStyle name="Открывавшаяся гиперссылка" xfId="18" builtinId="9" hidden="1"/>
    <cellStyle name="Открывавшаяся гиперссылка" xfId="20" builtinId="9" hidden="1"/>
    <cellStyle name="Открывавшаяся гиперссылка" xfId="22" builtinId="9" hidden="1"/>
    <cellStyle name="Открывавшаяся гиперссылка" xfId="24" builtinId="9" hidden="1"/>
    <cellStyle name="Открывавшаяся гиперссылка" xfId="26" builtinId="9" hidden="1"/>
    <cellStyle name="Открывавшаяся гиперссылка" xfId="28" builtinId="9" hidden="1"/>
    <cellStyle name="Открывавшаяся гиперссылка" xfId="30" builtinId="9" hidden="1"/>
    <cellStyle name="Открывавшаяся гиперссылка" xfId="32" builtinId="9" hidden="1"/>
    <cellStyle name="Открывавшаяся гиперссылка" xfId="34" builtinId="9" hidden="1"/>
    <cellStyle name="Открывавшаяся гиперссылка" xfId="36" builtinId="9" hidden="1"/>
    <cellStyle name="Открывавшаяся гиперссылка" xfId="38" builtinId="9" hidden="1"/>
    <cellStyle name="Открывавшаяся гиперссылка" xfId="40" builtinId="9" hidden="1"/>
    <cellStyle name="Открывавшаяся гиперссылка" xfId="42" builtinId="9" hidden="1"/>
    <cellStyle name="Открывавшаяся гиперссылка" xfId="44" builtinId="9" hidden="1"/>
    <cellStyle name="Открывавшаяся гиперссылка" xfId="46" builtinId="9" hidden="1"/>
    <cellStyle name="Открывавшаяся гиперссылка" xfId="48" builtinId="9" hidden="1"/>
    <cellStyle name="Открывавшаяся гиперссылка" xfId="50" builtinId="9" hidden="1"/>
    <cellStyle name="Открывавшаяся гиперссылка" xfId="52" builtinId="9" hidden="1"/>
    <cellStyle name="Открывавшаяся гиперссылка" xfId="54" builtinId="9" hidden="1"/>
    <cellStyle name="Открывавшаяся гиперссылка" xfId="56" builtinId="9" hidden="1"/>
    <cellStyle name="Открывавшаяся гиперссылка" xfId="58" builtinId="9" hidden="1"/>
    <cellStyle name="Открывавшаяся гиперссылка" xfId="60" builtinId="9" hidden="1"/>
    <cellStyle name="Открывавшаяся гиперссылка" xfId="62" builtinId="9" hidden="1"/>
    <cellStyle name="Открывавшаяся гиперссылка" xfId="64" builtinId="9" hidden="1"/>
    <cellStyle name="Открывавшаяся гиперссылка" xfId="66" builtinId="9" hidden="1"/>
    <cellStyle name="Открывавшаяся гиперссылка" xfId="68" builtinId="9" hidden="1"/>
    <cellStyle name="Открывавшаяся гиперссылка" xfId="70" builtinId="9" hidden="1"/>
    <cellStyle name="Открывавшаяся гиперссылка" xfId="72" builtinId="9" hidden="1"/>
    <cellStyle name="Открывавшаяся гиперссылка" xfId="74" builtinId="9" hidden="1"/>
    <cellStyle name="Открывавшаяся гиперссылка" xfId="76" builtinId="9" hidden="1"/>
    <cellStyle name="Открывавшаяся гиперссылка" xfId="78" builtinId="9" hidden="1"/>
    <cellStyle name="Открывавшаяся гиперссылка" xfId="80" builtinId="9" hidden="1"/>
    <cellStyle name="Открывавшаяся гиперссылка" xfId="82" builtinId="9" hidden="1"/>
    <cellStyle name="Открывавшаяся гиперссылка" xfId="84" builtinId="9" hidden="1"/>
    <cellStyle name="Открывавшаяся гиперссылка" xfId="86" builtinId="9" hidden="1"/>
    <cellStyle name="Открывавшаяся гиперссылка" xfId="88" builtinId="9" hidden="1"/>
    <cellStyle name="Открывавшаяся гиперссылка" xfId="90" builtinId="9" hidden="1"/>
    <cellStyle name="Открывавшаяся гиперссылка" xfId="92" builtinId="9" hidden="1"/>
    <cellStyle name="Открывавшаяся гиперссылка" xfId="94" builtinId="9" hidden="1"/>
    <cellStyle name="Открывавшаяся гиперссылка" xfId="96" builtinId="9" hidden="1"/>
    <cellStyle name="Открывавшаяся гиперссылка" xfId="98" builtinId="9" hidden="1"/>
    <cellStyle name="Открывавшаяся гиперссылка" xfId="100" builtinId="9" hidden="1"/>
    <cellStyle name="Открывавшаяся гиперссылка" xfId="102" builtinId="9" hidden="1"/>
    <cellStyle name="Открывавшаяся гиперссылка" xfId="104" builtinId="9" hidden="1"/>
    <cellStyle name="Открывавшаяся гиперссылка" xfId="106" builtinId="9" hidden="1"/>
    <cellStyle name="Открывавшаяся гиперссылка" xfId="108" builtinId="9" hidden="1"/>
    <cellStyle name="Открывавшаяся гиперссылка" xfId="110" builtinId="9" hidden="1"/>
    <cellStyle name="Открывавшаяся гиперссылка" xfId="112" builtinId="9" hidden="1"/>
    <cellStyle name="Открывавшаяся гиперссылка" xfId="114" builtinId="9" hidden="1"/>
    <cellStyle name="Открывавшаяся гиперссылка" xfId="116" builtinId="9" hidden="1"/>
    <cellStyle name="Открывавшаяся гиперссылка" xfId="118" builtinId="9" hidden="1"/>
    <cellStyle name="Открывавшаяся гиперссылка" xfId="120" builtinId="9" hidden="1"/>
    <cellStyle name="Открывавшаяся гиперссылка" xfId="122" builtinId="9" hidden="1"/>
    <cellStyle name="Открывавшаяся гиперссылка" xfId="124" builtinId="9" hidden="1"/>
    <cellStyle name="Открывавшаяся гиперссылка" xfId="126" builtinId="9" hidden="1"/>
    <cellStyle name="Открывавшаяся гиперссылка" xfId="128" builtinId="9" hidden="1"/>
    <cellStyle name="Открывавшаяся гиперссылка" xfId="130" builtinId="9" hidden="1"/>
    <cellStyle name="Открывавшаяся гиперссылка" xfId="132" builtinId="9" hidden="1"/>
    <cellStyle name="Открывавшаяся гиперссылка" xfId="134" builtinId="9" hidden="1"/>
    <cellStyle name="Открывавшаяся гиперссылка" xfId="136" builtinId="9" hidden="1"/>
    <cellStyle name="Открывавшаяся гиперссылка" xfId="138" builtinId="9" hidden="1"/>
    <cellStyle name="Открывавшаяся гиперссылка" xfId="140" builtinId="9" hidden="1"/>
    <cellStyle name="Открывавшаяся гиперссылка" xfId="142" builtinId="9" hidden="1"/>
    <cellStyle name="Открывавшаяся гиперссылка" xfId="144" builtinId="9" hidden="1"/>
    <cellStyle name="Открывавшаяся гиперссылка" xfId="146" builtinId="9" hidden="1"/>
    <cellStyle name="Открывавшаяся гиперссылка" xfId="148" builtinId="9" hidden="1"/>
    <cellStyle name="Открывавшаяся гиперссылка" xfId="150" builtinId="9" hidden="1"/>
    <cellStyle name="Открывавшаяся гиперссылка" xfId="152" builtinId="9" hidden="1"/>
    <cellStyle name="Открывавшаяся гиперссылка" xfId="154" builtinId="9" hidden="1"/>
    <cellStyle name="Открывавшаяся гиперссылка" xfId="156" builtinId="9" hidden="1"/>
    <cellStyle name="Открывавшаяся гиперссылка" xfId="158" builtinId="9" hidden="1"/>
    <cellStyle name="Открывавшаяся гиперссылка" xfId="160" builtinId="9" hidden="1"/>
    <cellStyle name="Открывавшаяся гиперссылка" xfId="162" builtinId="9" hidden="1"/>
    <cellStyle name="Открывавшаяся гиперссылка" xfId="164" builtinId="9" hidden="1"/>
    <cellStyle name="Открывавшаяся гиперссылка" xfId="166" builtinId="9" hidden="1"/>
    <cellStyle name="Открывавшаяся гиперссылка" xfId="168" builtinId="9" hidden="1"/>
    <cellStyle name="Открывавшаяся гиперссылка" xfId="170" builtinId="9" hidden="1"/>
    <cellStyle name="Открывавшаяся гиперссылка" xfId="172" builtinId="9" hidden="1"/>
    <cellStyle name="Открывавшаяся гиперссылка" xfId="174" builtinId="9" hidden="1"/>
    <cellStyle name="Открывавшаяся гиперссылка" xfId="176" builtinId="9" hidden="1"/>
    <cellStyle name="Открывавшаяся гиперссылка" xfId="178" builtinId="9" hidden="1"/>
    <cellStyle name="Открывавшаяся гиперссылка" xfId="180" builtinId="9" hidden="1"/>
    <cellStyle name="Открывавшаяся гиперссылка" xfId="182" builtinId="9" hidden="1"/>
    <cellStyle name="Открывавшаяся гиперссылка" xfId="184" builtinId="9" hidden="1"/>
    <cellStyle name="Открывавшаяся гиперссылка" xfId="186" builtinId="9" hidden="1"/>
    <cellStyle name="Открывавшаяся гиперссылка" xfId="188" builtinId="9" hidden="1"/>
    <cellStyle name="Открывавшаяся гиперссылка" xfId="190" builtinId="9" hidden="1"/>
    <cellStyle name="Открывавшаяся гиперссылка" xfId="192" builtinId="9" hidden="1"/>
    <cellStyle name="Открывавшаяся гиперссылка" xfId="194" builtinId="9" hidden="1"/>
    <cellStyle name="Открывавшаяся гиперссылка" xfId="196" builtinId="9" hidden="1"/>
    <cellStyle name="Открывавшаяся гиперссылка" xfId="198" builtinId="9" hidden="1"/>
    <cellStyle name="Открывавшаяся гиперссылка" xfId="200" builtinId="9" hidden="1"/>
    <cellStyle name="Открывавшаяся гиперссылка" xfId="202" builtinId="9" hidden="1"/>
    <cellStyle name="Открывавшаяся гиперссылка" xfId="204" builtinId="9" hidden="1"/>
    <cellStyle name="Открывавшаяся гиперссылка" xfId="206" builtinId="9" hidden="1"/>
    <cellStyle name="Открывавшаяся гиперссылка" xfId="208" builtinId="9" hidden="1"/>
    <cellStyle name="Открывавшаяся гиперссылка" xfId="210" builtinId="9" hidden="1"/>
    <cellStyle name="Открывавшаяся гиперссылка" xfId="212" builtinId="9" hidden="1"/>
    <cellStyle name="Открывавшаяся гиперссылка" xfId="214" builtinId="9" hidden="1"/>
    <cellStyle name="Открывавшаяся гиперссылка" xfId="216" builtinId="9" hidden="1"/>
    <cellStyle name="Открывавшаяся гиперссылка" xfId="218" builtinId="9" hidden="1"/>
    <cellStyle name="Открывавшаяся гиперссылка" xfId="220" builtinId="9" hidden="1"/>
    <cellStyle name="Открывавшаяся гиперссылка" xfId="222" builtinId="9" hidden="1"/>
    <cellStyle name="Открывавшаяся гиперссылка" xfId="224" builtinId="9" hidden="1"/>
    <cellStyle name="Открывавшаяся гиперссылка" xfId="226" builtinId="9" hidden="1"/>
    <cellStyle name="Открывавшаяся гиперссылка" xfId="228" builtinId="9" hidden="1"/>
    <cellStyle name="Открывавшаяся гиперссылка" xfId="230" builtinId="9" hidden="1"/>
    <cellStyle name="Открывавшаяся гиперссылка" xfId="232" builtinId="9" hidden="1"/>
    <cellStyle name="Открывавшаяся гиперссылка" xfId="234" builtinId="9" hidden="1"/>
    <cellStyle name="Открывавшаяся гиперссылка" xfId="236" builtinId="9" hidden="1"/>
    <cellStyle name="Открывавшаяся гиперссылка" xfId="238" builtinId="9" hidden="1"/>
    <cellStyle name="Открывавшаяся гиперссылка" xfId="240" builtinId="9" hidden="1"/>
    <cellStyle name="Открывавшаяся гиперссылка" xfId="242" builtinId="9" hidden="1"/>
    <cellStyle name="Открывавшаяся гиперссылка" xfId="244" builtinId="9" hidden="1"/>
    <cellStyle name="Открывавшаяся гиперссылка" xfId="246" builtinId="9" hidden="1"/>
    <cellStyle name="Открывавшаяся гиперссылка" xfId="248" builtinId="9" hidden="1"/>
    <cellStyle name="Открывавшаяся гиперссылка" xfId="250" builtinId="9" hidden="1"/>
    <cellStyle name="Открывавшаяся гиперссылка" xfId="252" builtinId="9" hidden="1"/>
    <cellStyle name="Открывавшаяся гиперссылка" xfId="254" builtinId="9" hidden="1"/>
    <cellStyle name="Открывавшаяся гиперссылка" xfId="256" builtinId="9" hidden="1"/>
    <cellStyle name="Открывавшаяся гиперссылка" xfId="258" builtinId="9" hidden="1"/>
    <cellStyle name="Открывавшаяся гиперссылка" xfId="260" builtinId="9" hidden="1"/>
    <cellStyle name="Открывавшаяся гиперссылка" xfId="262" builtinId="9" hidden="1"/>
    <cellStyle name="Открывавшаяся гиперссылка" xfId="264" builtinId="9" hidden="1"/>
    <cellStyle name="Открывавшаяся гиперссылка" xfId="266" builtinId="9" hidden="1"/>
    <cellStyle name="Открывавшаяся гиперссылка" xfId="268" builtinId="9" hidden="1"/>
    <cellStyle name="Открывавшаяся гиперссылка" xfId="270" builtinId="9" hidden="1"/>
    <cellStyle name="Открывавшаяся гиперссылка" xfId="272" builtinId="9" hidden="1"/>
    <cellStyle name="Открывавшаяся гиперссылка" xfId="274" builtinId="9" hidden="1"/>
    <cellStyle name="Открывавшаяся гиперссылка" xfId="276" builtinId="9" hidden="1"/>
    <cellStyle name="Открывавшаяся гиперссылка" xfId="278" builtinId="9" hidden="1"/>
    <cellStyle name="Открывавшаяся гиперссылка" xfId="280" builtinId="9" hidden="1"/>
    <cellStyle name="Открывавшаяся гиперссылка" xfId="282" builtinId="9" hidden="1"/>
    <cellStyle name="Открывавшаяся гиперссылка" xfId="284" builtinId="9" hidden="1"/>
    <cellStyle name="Открывавшаяся гиперссылка" xfId="286" builtinId="9" hidden="1"/>
    <cellStyle name="Открывавшаяся гиперссылка" xfId="288" builtinId="9" hidden="1"/>
    <cellStyle name="Открывавшаяся гиперссылка" xfId="290" builtinId="9" hidden="1"/>
    <cellStyle name="Открывавшаяся гиперссылка" xfId="292" builtinId="9" hidden="1"/>
    <cellStyle name="Открывавшаяся гиперссылка" xfId="294" builtinId="9" hidden="1"/>
    <cellStyle name="Открывавшаяся гиперссылка" xfId="296" builtinId="9" hidden="1"/>
    <cellStyle name="Открывавшаяся гиперссылка" xfId="298" builtinId="9" hidden="1"/>
    <cellStyle name="Открывавшаяся гиперссылка" xfId="300" builtinId="9" hidden="1"/>
    <cellStyle name="Открывавшаяся гиперссылка" xfId="302" builtinId="9" hidden="1"/>
    <cellStyle name="Открывавшаяся гиперссылка" xfId="304" builtinId="9" hidden="1"/>
    <cellStyle name="Открывавшаяся гиперссылка" xfId="306" builtinId="9" hidden="1"/>
    <cellStyle name="Открывавшаяся гиперссылка" xfId="308" builtinId="9" hidden="1"/>
    <cellStyle name="Открывавшаяся гиперссылка" xfId="310" builtinId="9" hidden="1"/>
    <cellStyle name="Открывавшаяся гиперссылка" xfId="312" builtinId="9" hidden="1"/>
    <cellStyle name="Открывавшаяся гиперссылка" xfId="314" builtinId="9" hidden="1"/>
    <cellStyle name="Открывавшаяся гиперссылка" xfId="316" builtinId="9" hidden="1"/>
    <cellStyle name="Открывавшаяся гиперссылка" xfId="318" builtinId="9" hidden="1"/>
    <cellStyle name="Открывавшаяся гиперссылка" xfId="320" builtinId="9" hidden="1"/>
    <cellStyle name="Открывавшаяся гиперссылка" xfId="322" builtinId="9" hidden="1"/>
    <cellStyle name="Открывавшаяся гиперссылка" xfId="324" builtinId="9" hidden="1"/>
    <cellStyle name="Открывавшаяся гиперссылка" xfId="326" builtinId="9" hidden="1"/>
    <cellStyle name="Открывавшаяся гиперссылка" xfId="328" builtinId="9" hidden="1"/>
    <cellStyle name="Открывавшаяся гиперссылка" xfId="330" builtinId="9" hidden="1"/>
    <cellStyle name="Открывавшаяся гиперссылка" xfId="332" builtinId="9" hidden="1"/>
    <cellStyle name="Открывавшаяся гиперссылка" xfId="334" builtinId="9" hidden="1"/>
    <cellStyle name="Открывавшаяся гиперссылка" xfId="336" builtinId="9" hidden="1"/>
    <cellStyle name="Открывавшаяся гиперссылка" xfId="338" builtinId="9" hidden="1"/>
    <cellStyle name="Открывавшаяся гиперссылка" xfId="340" builtinId="9" hidden="1"/>
    <cellStyle name="Открывавшаяся гиперссылка" xfId="342" builtinId="9" hidden="1"/>
    <cellStyle name="Открывавшаяся гиперссылка" xfId="344" builtinId="9" hidden="1"/>
    <cellStyle name="Открывавшаяся гиперссылка" xfId="346" builtinId="9" hidden="1"/>
    <cellStyle name="Открывавшаяся гиперссылка" xfId="348" builtinId="9" hidden="1"/>
    <cellStyle name="Открывавшаяся гиперссылка" xfId="350" builtinId="9" hidden="1"/>
    <cellStyle name="Открывавшаяся гиперссылка" xfId="352" builtinId="9" hidden="1"/>
    <cellStyle name="Открывавшаяся гиперссылка" xfId="354" builtinId="9" hidden="1"/>
    <cellStyle name="Открывавшаяся гиперссылка" xfId="356" builtinId="9" hidden="1"/>
    <cellStyle name="Открывавшаяся гиперссылка" xfId="358" builtinId="9" hidden="1"/>
    <cellStyle name="Открывавшаяся гиперссылка" xfId="360" builtinId="9" hidden="1"/>
    <cellStyle name="Открывавшаяся гиперссылка" xfId="362" builtinId="9" hidden="1"/>
    <cellStyle name="Открывавшаяся гиперссылка" xfId="364" builtinId="9" hidden="1"/>
    <cellStyle name="Открывавшаяся гиперссылка" xfId="366" builtinId="9" hidden="1"/>
    <cellStyle name="Открывавшаяся гиперссылка" xfId="368" builtinId="9" hidden="1"/>
    <cellStyle name="Открывавшаяся гиперссылка" xfId="370" builtinId="9" hidden="1"/>
    <cellStyle name="Открывавшаяся гиперссылка" xfId="372" builtinId="9" hidden="1"/>
    <cellStyle name="Открывавшаяся гиперссылка" xfId="374" builtinId="9" hidden="1"/>
    <cellStyle name="Открывавшаяся гиперссылка" xfId="376" builtinId="9" hidden="1"/>
    <cellStyle name="Открывавшаяся гиперссылка" xfId="378" builtinId="9" hidden="1"/>
    <cellStyle name="Открывавшаяся гиперссылка" xfId="380" builtinId="9" hidden="1"/>
    <cellStyle name="Открывавшаяся гиперссылка" xfId="382" builtinId="9" hidden="1"/>
    <cellStyle name="Открывавшаяся гиперссылка" xfId="384" builtinId="9" hidden="1"/>
    <cellStyle name="Открывавшаяся гиперссылка" xfId="386" builtinId="9" hidden="1"/>
    <cellStyle name="Открывавшаяся гиперссылка" xfId="388" builtinId="9" hidden="1"/>
    <cellStyle name="Открывавшаяся гиперссылка" xfId="390" builtinId="9" hidden="1"/>
    <cellStyle name="Открывавшаяся гиперссылка" xfId="392" builtinId="9" hidden="1"/>
    <cellStyle name="Открывавшаяся гиперссылка" xfId="394" builtinId="9" hidden="1"/>
    <cellStyle name="Открывавшаяся гиперссылка" xfId="396" builtinId="9" hidden="1"/>
    <cellStyle name="Открывавшаяся гиперссылка" xfId="398" builtinId="9" hidden="1"/>
    <cellStyle name="Открывавшаяся гиперссылка" xfId="400" builtinId="9" hidden="1"/>
    <cellStyle name="Открывавшаяся гиперссылка" xfId="402" builtinId="9" hidden="1"/>
    <cellStyle name="Открывавшаяся гиперссылка" xfId="404" builtinId="9" hidden="1"/>
    <cellStyle name="Открывавшаяся гиперссылка" xfId="406" builtinId="9" hidden="1"/>
    <cellStyle name="Открывавшаяся гиперссылка" xfId="408" builtinId="9" hidden="1"/>
    <cellStyle name="Открывавшаяся гиперссылка" xfId="410" builtinId="9" hidden="1"/>
    <cellStyle name="Открывавшаяся гиперссылка" xfId="412" builtinId="9" hidden="1"/>
    <cellStyle name="Открывавшаяся гиперссылка" xfId="414" builtinId="9" hidden="1"/>
    <cellStyle name="Открывавшаяся гиперссылка" xfId="416" builtinId="9" hidden="1"/>
    <cellStyle name="Открывавшаяся гиперссылка" xfId="418" builtinId="9" hidden="1"/>
    <cellStyle name="Открывавшаяся гиперссылка" xfId="420" builtinId="9" hidden="1"/>
    <cellStyle name="Открывавшаяся гиперссылка" xfId="422" builtinId="9" hidden="1"/>
    <cellStyle name="Открывавшаяся гиперссылка" xfId="424" builtinId="9" hidden="1"/>
    <cellStyle name="Открывавшаяся гиперссылка" xfId="426" builtinId="9" hidden="1"/>
    <cellStyle name="Открывавшаяся гиперссылка" xfId="428" builtinId="9" hidden="1"/>
    <cellStyle name="Открывавшаяся гиперссылка" xfId="430" builtinId="9" hidden="1"/>
    <cellStyle name="Открывавшаяся гиперссылка" xfId="432" builtinId="9" hidden="1"/>
    <cellStyle name="Открывавшаяся гиперссылка" xfId="434" builtinId="9" hidden="1"/>
    <cellStyle name="Открывавшаяся гиперссылка" xfId="436" builtinId="9" hidden="1"/>
    <cellStyle name="Открывавшаяся гиперссылка" xfId="438" builtinId="9" hidden="1"/>
    <cellStyle name="Открывавшаяся гиперссылка" xfId="440" builtinId="9" hidden="1"/>
    <cellStyle name="Открывавшаяся гиперссылка" xfId="442" builtinId="9" hidden="1"/>
    <cellStyle name="Открывавшаяся гиперссылка" xfId="444" builtinId="9" hidden="1"/>
    <cellStyle name="Открывавшаяся гиперссылка" xfId="446" builtinId="9" hidden="1"/>
    <cellStyle name="Открывавшаяся гиперссылка" xfId="448" builtinId="9" hidden="1"/>
    <cellStyle name="Открывавшаяся гиперссылка" xfId="450" builtinId="9" hidden="1"/>
    <cellStyle name="Открывавшаяся гиперссылка" xfId="452" builtinId="9" hidden="1"/>
    <cellStyle name="Открывавшаяся гиперссылка" xfId="454" builtinId="9" hidden="1"/>
    <cellStyle name="Открывавшаяся гиперссылка" xfId="456" builtinId="9" hidden="1"/>
    <cellStyle name="Открывавшаяся гиперссылка" xfId="458" builtinId="9" hidden="1"/>
    <cellStyle name="Открывавшаяся гиперссылка" xfId="460" builtinId="9" hidden="1"/>
    <cellStyle name="Открывавшаяся гиперссылка" xfId="462" builtinId="9" hidden="1"/>
    <cellStyle name="Открывавшаяся гиперссылка" xfId="464" builtinId="9" hidden="1"/>
    <cellStyle name="Открывавшаяся гиперссылка" xfId="466" builtinId="9" hidden="1"/>
    <cellStyle name="Открывавшаяся гиперссылка" xfId="468" builtinId="9" hidden="1"/>
    <cellStyle name="Открывавшаяся гиперссылка" xfId="470" builtinId="9" hidden="1"/>
    <cellStyle name="Открывавшаяся гиперссылка" xfId="472" builtinId="9" hidden="1"/>
    <cellStyle name="Открывавшаяся гиперссылка" xfId="474" builtinId="9" hidden="1"/>
    <cellStyle name="Открывавшаяся гиперссылка" xfId="476" builtinId="9" hidden="1"/>
    <cellStyle name="Открывавшаяся гиперссылка" xfId="478" builtinId="9" hidden="1"/>
    <cellStyle name="Открывавшаяся гиперссылка" xfId="480" builtinId="9" hidden="1"/>
    <cellStyle name="Открывавшаяся гиперссылка" xfId="482" builtinId="9" hidden="1"/>
    <cellStyle name="Открывавшаяся гиперссылка" xfId="484" builtinId="9" hidden="1"/>
    <cellStyle name="Открывавшаяся гиперссылка" xfId="486" builtinId="9" hidden="1"/>
    <cellStyle name="Открывавшаяся гиперссылка" xfId="488" builtinId="9" hidden="1"/>
    <cellStyle name="Открывавшаяся гиперссылка" xfId="490" builtinId="9" hidden="1"/>
    <cellStyle name="Открывавшаяся гиперссылка" xfId="492" builtinId="9" hidden="1"/>
    <cellStyle name="Открывавшаяся гиперссылка" xfId="494" builtinId="9" hidden="1"/>
    <cellStyle name="Открывавшаяся гиперссылка" xfId="496" builtinId="9" hidden="1"/>
    <cellStyle name="Открывавшаяся гиперссылка" xfId="498" builtinId="9" hidden="1"/>
    <cellStyle name="Открывавшаяся гиперссылка" xfId="500" builtinId="9" hidden="1"/>
    <cellStyle name="Открывавшаяся гиперссылка" xfId="502" builtinId="9" hidden="1"/>
    <cellStyle name="Открывавшаяся гиперссылка" xfId="504" builtinId="9" hidden="1"/>
    <cellStyle name="Открывавшаяся гиперссылка" xfId="506" builtinId="9" hidden="1"/>
    <cellStyle name="Открывавшаяся гиперссылка" xfId="508" builtinId="9" hidden="1"/>
    <cellStyle name="Открывавшаяся гиперссылка" xfId="510" builtinId="9" hidden="1"/>
    <cellStyle name="Открывавшаяся гиперссылка" xfId="512" builtinId="9" hidden="1"/>
    <cellStyle name="Открывавшаяся гиперссылка" xfId="514" builtinId="9" hidden="1"/>
    <cellStyle name="Открывавшаяся гиперссылка" xfId="516" builtinId="9" hidden="1"/>
    <cellStyle name="Открывавшаяся гиперссылка" xfId="518" builtinId="9" hidden="1"/>
    <cellStyle name="Открывавшаяся гиперссылка" xfId="520" builtinId="9" hidden="1"/>
    <cellStyle name="Открывавшаяся гиперссылка" xfId="522" builtinId="9" hidden="1"/>
    <cellStyle name="Открывавшаяся гиперссылка" xfId="524" builtinId="9" hidden="1"/>
    <cellStyle name="Открывавшаяся гиперссылка" xfId="526" builtinId="9" hidden="1"/>
    <cellStyle name="Открывавшаяся гиперссылка" xfId="528" builtinId="9" hidden="1"/>
    <cellStyle name="Открывавшаяся гиперссылка" xfId="530" builtinId="9" hidden="1"/>
    <cellStyle name="Открывавшаяся гиперссылка" xfId="532" builtinId="9" hidden="1"/>
    <cellStyle name="Открывавшаяся гиперссылка" xfId="534" builtinId="9" hidden="1"/>
    <cellStyle name="Открывавшаяся гиперссылка" xfId="536" builtinId="9" hidden="1"/>
    <cellStyle name="Открывавшаяся гиперссылка" xfId="538" builtinId="9" hidden="1"/>
    <cellStyle name="Открывавшаяся гиперссылка" xfId="540" builtinId="9" hidden="1"/>
    <cellStyle name="Открывавшаяся гиперссылка" xfId="542" builtinId="9" hidden="1"/>
    <cellStyle name="Открывавшаяся гиперссылка" xfId="544" builtinId="9" hidden="1"/>
    <cellStyle name="Открывавшаяся гиперссылка" xfId="546" builtinId="9" hidden="1"/>
    <cellStyle name="Открывавшаяся гиперссылка" xfId="548" builtinId="9" hidden="1"/>
    <cellStyle name="Открывавшаяся гиперссылка" xfId="550" builtinId="9" hidden="1"/>
    <cellStyle name="Открывавшаяся гиперссылка" xfId="552" builtinId="9" hidden="1"/>
    <cellStyle name="Открывавшаяся гиперссылка" xfId="554" builtinId="9" hidden="1"/>
    <cellStyle name="Открывавшаяся гиперссылка" xfId="556" builtinId="9" hidden="1"/>
    <cellStyle name="Открывавшаяся гиперссылка" xfId="558" builtinId="9" hidden="1"/>
    <cellStyle name="Открывавшаяся гиперссылка" xfId="560" builtinId="9" hidden="1"/>
    <cellStyle name="Открывавшаяся гиперссылка" xfId="562" builtinId="9" hidden="1"/>
    <cellStyle name="Открывавшаяся гиперссылка" xfId="564" builtinId="9" hidden="1"/>
    <cellStyle name="Открывавшаяся гиперссылка" xfId="566" builtinId="9" hidden="1"/>
    <cellStyle name="Открывавшаяся гиперссылка" xfId="568" builtinId="9" hidden="1"/>
    <cellStyle name="Открывавшаяся гиперссылка" xfId="570" builtinId="9" hidden="1"/>
    <cellStyle name="Открывавшаяся гиперссылка" xfId="572" builtinId="9" hidden="1"/>
    <cellStyle name="Открывавшаяся гиперссылка" xfId="574" builtinId="9" hidden="1"/>
    <cellStyle name="Открывавшаяся гиперссылка" xfId="576" builtinId="9" hidden="1"/>
    <cellStyle name="Открывавшаяся гиперссылка" xfId="578" builtinId="9" hidden="1"/>
    <cellStyle name="Открывавшаяся гиперссылка" xfId="580" builtinId="9" hidden="1"/>
    <cellStyle name="Открывавшаяся гиперссылка" xfId="582" builtinId="9" hidden="1"/>
    <cellStyle name="Открывавшаяся гиперссылка" xfId="584" builtinId="9" hidden="1"/>
    <cellStyle name="Открывавшаяся гиперссылка" xfId="586" builtinId="9" hidden="1"/>
    <cellStyle name="Открывавшаяся гиперссылка" xfId="588" builtinId="9" hidden="1"/>
    <cellStyle name="Открывавшаяся гиперссылка" xfId="590" builtinId="9" hidden="1"/>
    <cellStyle name="Открывавшаяся гиперссылка" xfId="592" builtinId="9" hidden="1"/>
    <cellStyle name="Открывавшаяся гиперссылка" xfId="594" builtinId="9" hidden="1"/>
    <cellStyle name="Открывавшаяся гиперссылка" xfId="596" builtinId="9" hidden="1"/>
    <cellStyle name="Открывавшаяся гиперссылка" xfId="598" builtinId="9" hidden="1"/>
    <cellStyle name="Открывавшаяся гиперссылка" xfId="600" builtinId="9" hidden="1"/>
    <cellStyle name="Открывавшаяся гиперссылка" xfId="602" builtinId="9" hidden="1"/>
    <cellStyle name="Открывавшаяся гиперссылка" xfId="604" builtinId="9" hidden="1"/>
    <cellStyle name="Открывавшаяся гиперссылка" xfId="606" builtinId="9" hidden="1"/>
    <cellStyle name="Открывавшаяся гиперссылка" xfId="608" builtinId="9" hidden="1"/>
    <cellStyle name="Открывавшаяся гиперссылка" xfId="610" builtinId="9" hidden="1"/>
    <cellStyle name="Открывавшаяся гиперссылка" xfId="612" builtinId="9" hidden="1"/>
    <cellStyle name="Открывавшаяся гиперссылка" xfId="614" builtinId="9" hidden="1"/>
    <cellStyle name="Открывавшаяся гиперссылка" xfId="616" builtinId="9" hidden="1"/>
    <cellStyle name="Открывавшаяся гиперссылка" xfId="618" builtinId="9" hidden="1"/>
    <cellStyle name="Открывавшаяся гиперссылка" xfId="620" builtinId="9" hidden="1"/>
    <cellStyle name="Открывавшаяся гиперссылка" xfId="622" builtinId="9" hidden="1"/>
    <cellStyle name="Открывавшаяся гиперссылка" xfId="624" builtinId="9" hidden="1"/>
    <cellStyle name="Открывавшаяся гиперссылка" xfId="626" builtinId="9" hidden="1"/>
    <cellStyle name="Открывавшаяся гиперссылка" xfId="628" builtinId="9" hidden="1"/>
    <cellStyle name="Открывавшаяся гиперссылка" xfId="630" builtinId="9" hidden="1"/>
    <cellStyle name="Открывавшаяся гиперссылка" xfId="632" builtinId="9" hidden="1"/>
    <cellStyle name="Открывавшаяся гиперссылка" xfId="634" builtinId="9" hidden="1"/>
    <cellStyle name="Открывавшаяся гиперссылка" xfId="636" builtinId="9" hidden="1"/>
    <cellStyle name="Открывавшаяся гиперссылка" xfId="638" builtinId="9" hidden="1"/>
    <cellStyle name="Открывавшаяся гиперссылка" xfId="640" builtinId="9" hidden="1"/>
    <cellStyle name="Открывавшаяся гиперссылка" xfId="642" builtinId="9" hidden="1"/>
    <cellStyle name="Открывавшаяся гиперссылка" xfId="644" builtinId="9" hidden="1"/>
    <cellStyle name="Открывавшаяся гиперссылка" xfId="646" builtinId="9" hidden="1"/>
    <cellStyle name="Открывавшаяся гиперссылка" xfId="648" builtinId="9" hidden="1"/>
    <cellStyle name="Открывавшаяся гиперссылка" xfId="650" builtinId="9" hidden="1"/>
    <cellStyle name="Открывавшаяся гиперссылка" xfId="652" builtinId="9" hidden="1"/>
    <cellStyle name="Открывавшаяся гиперссылка" xfId="654" builtinId="9" hidden="1"/>
    <cellStyle name="Открывавшаяся гиперссылка" xfId="656" builtinId="9" hidden="1"/>
    <cellStyle name="Открывавшаяся гиперссылка" xfId="658" builtinId="9" hidden="1"/>
    <cellStyle name="Открывавшаяся гиперссылка" xfId="660" builtinId="9" hidden="1"/>
    <cellStyle name="Открывавшаяся гиперссылка" xfId="662" builtinId="9" hidden="1"/>
    <cellStyle name="Открывавшаяся гиперссылка" xfId="664" builtinId="9" hidden="1"/>
    <cellStyle name="Открывавшаяся гиперссылка" xfId="666" builtinId="9" hidden="1"/>
    <cellStyle name="Открывавшаяся гиперссылка" xfId="668" builtinId="9" hidden="1"/>
    <cellStyle name="Открывавшаяся гиперссылка" xfId="670" builtinId="9" hidden="1"/>
    <cellStyle name="Открывавшаяся гиперссылка" xfId="672" builtinId="9" hidden="1"/>
    <cellStyle name="Открывавшаяся гиперссылка" xfId="674" builtinId="9" hidden="1"/>
    <cellStyle name="Открывавшаяся гиперссылка" xfId="676" builtinId="9" hidden="1"/>
    <cellStyle name="Открывавшаяся гиперссылка" xfId="678" builtinId="9" hidden="1"/>
    <cellStyle name="Открывавшаяся гиперссылка" xfId="680" builtinId="9" hidden="1"/>
    <cellStyle name="Открывавшаяся гиперссылка" xfId="682" builtinId="9" hidden="1"/>
  </cellStyles>
  <dxfs count="53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lor auto="1"/>
      </font>
      <fill>
        <patternFill patternType="solid">
          <fgColor indexed="64"/>
          <bgColor theme="2" tint="-9.9978637043366805E-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9" defaultPivotStyle="PivotStyleLight16"/>
  <colors>
    <mruColors>
      <color rgb="FFD13F3F"/>
      <color rgb="FFF9B459"/>
      <color rgb="FFF58223"/>
      <color rgb="FFF8A15A"/>
      <color rgb="FFCD62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2</xdr:col>
      <xdr:colOff>1354931</xdr:colOff>
      <xdr:row>4</xdr:row>
      <xdr:rowOff>240506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5851638-9F36-4FC5-92AF-341D6D18E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C8BFA20-BBE5-4C25-9497-08D578555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CA6B99B-ED4C-4E4F-A617-F938C164A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2</xdr:col>
      <xdr:colOff>1354931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0992A18-623B-4BBF-A081-AB6B3968C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0"/>
          <a:ext cx="1345406" cy="133778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1345406</xdr:colOff>
      <xdr:row>4</xdr:row>
      <xdr:rowOff>240506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1345406" cy="1345406"/>
        </a:xfrm>
        <a:prstGeom prst="rect">
          <a:avLst/>
        </a:prstGeom>
        <a:effectLst>
          <a:glow rad="50800">
            <a:schemeClr val="accent2">
              <a:satMod val="175000"/>
              <a:alpha val="11000"/>
            </a:scheme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1111"/>
  <dimension ref="A1"/>
  <sheetViews>
    <sheetView zoomScaleNormal="100" workbookViewId="0">
      <selection activeCell="D10" sqref="D10"/>
    </sheetView>
  </sheetViews>
  <sheetFormatPr defaultColWidth="12" defaultRowHeight="13.2" x14ac:dyDescent="0.25"/>
  <cols>
    <col min="1" max="1" width="12" style="36"/>
  </cols>
  <sheetData/>
  <pageMargins left="0.25" right="0.25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9" tint="0.59999389629810485"/>
    <pageSetUpPr fitToPage="1"/>
  </sheetPr>
  <dimension ref="A1:G22"/>
  <sheetViews>
    <sheetView workbookViewId="0">
      <selection activeCell="D5" sqref="D5"/>
    </sheetView>
  </sheetViews>
  <sheetFormatPr defaultRowHeight="13.2" x14ac:dyDescent="0.25"/>
  <cols>
    <col min="1" max="1" width="36.77734375" bestFit="1" customWidth="1"/>
    <col min="2" max="3" width="18.6640625" customWidth="1"/>
    <col min="4" max="4" width="20" customWidth="1"/>
    <col min="5" max="7" width="18.6640625" customWidth="1"/>
    <col min="8" max="8" width="17.44140625" customWidth="1"/>
  </cols>
  <sheetData>
    <row r="1" spans="1:7" ht="14.4" x14ac:dyDescent="0.3">
      <c r="A1" s="29"/>
      <c r="B1" s="30"/>
      <c r="C1" s="31"/>
      <c r="D1" s="31"/>
      <c r="E1" s="31"/>
      <c r="F1" s="31"/>
      <c r="G1" s="31"/>
    </row>
    <row r="2" spans="1:7" ht="15.6" x14ac:dyDescent="0.3">
      <c r="A2" s="39" t="s">
        <v>759</v>
      </c>
      <c r="B2" s="37"/>
      <c r="C2" s="38"/>
      <c r="D2" s="37"/>
      <c r="E2" s="37"/>
      <c r="F2" s="27"/>
      <c r="G2" s="27"/>
    </row>
    <row r="3" spans="1:7" ht="15" thickBot="1" x14ac:dyDescent="0.35">
      <c r="A3" s="32" t="s">
        <v>984</v>
      </c>
      <c r="B3" s="33"/>
    </row>
    <row r="4" spans="1:7" ht="14.4" x14ac:dyDescent="0.25">
      <c r="A4" s="34" t="s">
        <v>743</v>
      </c>
      <c r="B4" s="34"/>
    </row>
    <row r="5" spans="1:7" ht="14.4" x14ac:dyDescent="0.25">
      <c r="A5" s="28" t="s">
        <v>744</v>
      </c>
      <c r="B5" s="28"/>
    </row>
    <row r="6" spans="1:7" ht="15" thickBot="1" x14ac:dyDescent="0.3">
      <c r="A6" s="28" t="s">
        <v>745</v>
      </c>
      <c r="B6" s="28"/>
    </row>
    <row r="7" spans="1:7" ht="14.4" x14ac:dyDescent="0.25">
      <c r="A7" s="34" t="s">
        <v>746</v>
      </c>
      <c r="B7" s="34"/>
    </row>
    <row r="8" spans="1:7" ht="14.4" x14ac:dyDescent="0.25">
      <c r="A8" s="28" t="s">
        <v>747</v>
      </c>
      <c r="B8" s="28"/>
    </row>
    <row r="9" spans="1:7" ht="14.4" x14ac:dyDescent="0.25">
      <c r="A9" s="28" t="s">
        <v>748</v>
      </c>
      <c r="B9" s="28"/>
    </row>
    <row r="10" spans="1:7" ht="14.4" x14ac:dyDescent="0.25">
      <c r="A10" s="28" t="s">
        <v>749</v>
      </c>
      <c r="B10" s="28"/>
    </row>
    <row r="11" spans="1:7" ht="14.4" x14ac:dyDescent="0.25">
      <c r="A11" s="28" t="s">
        <v>750</v>
      </c>
      <c r="B11" s="28"/>
    </row>
    <row r="12" spans="1:7" ht="14.4" x14ac:dyDescent="0.25">
      <c r="A12" s="28" t="s">
        <v>751</v>
      </c>
      <c r="B12" s="28"/>
    </row>
    <row r="13" spans="1:7" ht="14.4" x14ac:dyDescent="0.25">
      <c r="A13" s="28" t="s">
        <v>752</v>
      </c>
      <c r="B13" s="28"/>
    </row>
    <row r="14" spans="1:7" ht="14.4" x14ac:dyDescent="0.25">
      <c r="A14" s="141" t="s">
        <v>875</v>
      </c>
      <c r="B14" s="141">
        <f>SUM($B$8, $B$9, $B$10, $B$11, $B$12, $B$13)</f>
        <v>0</v>
      </c>
    </row>
    <row r="15" spans="1:7" ht="15" thickBot="1" x14ac:dyDescent="0.3">
      <c r="A15" s="142" t="s">
        <v>876</v>
      </c>
      <c r="B15" s="142">
        <f>$B$14-$B$14*$B$32</f>
        <v>0</v>
      </c>
    </row>
    <row r="16" spans="1:7" ht="13.8" thickBot="1" x14ac:dyDescent="0.3">
      <c r="A16" s="31"/>
      <c r="B16" s="31"/>
      <c r="C16" s="31"/>
      <c r="D16" s="31"/>
      <c r="E16" s="31"/>
      <c r="F16" s="31"/>
      <c r="G16" s="31"/>
    </row>
    <row r="17" spans="1:7" ht="15" thickBot="1" x14ac:dyDescent="0.3">
      <c r="A17" s="143" t="s">
        <v>753</v>
      </c>
      <c r="B17" s="144"/>
      <c r="C17" s="145" t="s">
        <v>754</v>
      </c>
      <c r="D17" s="31"/>
      <c r="E17" s="31"/>
      <c r="F17" s="31"/>
      <c r="G17" s="31"/>
    </row>
    <row r="18" spans="1:7" ht="15" thickBot="1" x14ac:dyDescent="0.3">
      <c r="A18" s="143" t="s">
        <v>755</v>
      </c>
      <c r="B18" s="144">
        <f>B17-B19</f>
        <v>0</v>
      </c>
      <c r="C18" s="145" t="s">
        <v>754</v>
      </c>
      <c r="D18" s="31"/>
      <c r="E18" s="31"/>
      <c r="F18" s="31"/>
      <c r="G18" s="31"/>
    </row>
    <row r="19" spans="1:7" ht="15" thickBot="1" x14ac:dyDescent="0.3">
      <c r="A19" s="143" t="s">
        <v>756</v>
      </c>
      <c r="B19" s="144"/>
      <c r="C19" s="145" t="s">
        <v>754</v>
      </c>
      <c r="D19" s="31"/>
      <c r="E19" s="31"/>
      <c r="F19" s="31"/>
      <c r="G19" s="31"/>
    </row>
    <row r="20" spans="1:7" ht="15" thickBot="1" x14ac:dyDescent="0.3">
      <c r="A20" s="143" t="s">
        <v>757</v>
      </c>
      <c r="B20" s="144">
        <v>0</v>
      </c>
      <c r="C20" s="145" t="s">
        <v>754</v>
      </c>
      <c r="D20" s="31"/>
      <c r="E20" s="31"/>
      <c r="F20" s="31"/>
      <c r="G20" s="31"/>
    </row>
    <row r="21" spans="1:7" ht="15" thickBot="1" x14ac:dyDescent="0.3">
      <c r="A21" s="143" t="s">
        <v>758</v>
      </c>
      <c r="B21" s="144">
        <f>B20+B19</f>
        <v>0</v>
      </c>
      <c r="C21" s="145" t="s">
        <v>754</v>
      </c>
      <c r="D21" s="31"/>
      <c r="E21" s="31"/>
      <c r="F21" s="31"/>
      <c r="G21" s="31"/>
    </row>
    <row r="22" spans="1:7" x14ac:dyDescent="0.25">
      <c r="A22" s="31"/>
      <c r="B22" s="31"/>
      <c r="C22" s="31"/>
      <c r="D22" s="31"/>
      <c r="E22" s="31"/>
      <c r="F22" s="31"/>
      <c r="G22" s="31"/>
    </row>
  </sheetData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9" tint="0.59999389629810485"/>
    <pageSetUpPr fitToPage="1"/>
  </sheetPr>
  <dimension ref="H1:I1"/>
  <sheetViews>
    <sheetView workbookViewId="0">
      <selection activeCell="G19" sqref="G19"/>
    </sheetView>
  </sheetViews>
  <sheetFormatPr defaultRowHeight="13.2" x14ac:dyDescent="0.25"/>
  <cols>
    <col min="8" max="9" width="9.33203125" style="146"/>
  </cols>
  <sheetData/>
  <dataConsolidate/>
  <pageMargins left="0.7" right="0.7" top="0.75" bottom="0.75" header="0.3" footer="0.3"/>
  <pageSetup paperSize="9" fitToHeight="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11111111"/>
  <dimension ref="A1:C42"/>
  <sheetViews>
    <sheetView workbookViewId="0">
      <selection activeCell="D10" sqref="D10"/>
    </sheetView>
  </sheetViews>
  <sheetFormatPr defaultColWidth="9" defaultRowHeight="13.2" x14ac:dyDescent="0.25"/>
  <cols>
    <col min="1" max="1" width="48.33203125" bestFit="1" customWidth="1"/>
    <col min="2" max="2" width="29.33203125" bestFit="1" customWidth="1"/>
  </cols>
  <sheetData>
    <row r="1" spans="1:3" x14ac:dyDescent="0.25">
      <c r="A1" s="20" t="s">
        <v>808</v>
      </c>
      <c r="B1" s="20" t="s">
        <v>733</v>
      </c>
      <c r="C1" s="20" t="s">
        <v>867</v>
      </c>
    </row>
    <row r="2" spans="1:3" x14ac:dyDescent="0.25">
      <c r="A2" s="20" t="s">
        <v>810</v>
      </c>
      <c r="B2" s="20" t="s">
        <v>826</v>
      </c>
      <c r="C2" s="20" t="s">
        <v>868</v>
      </c>
    </row>
    <row r="3" spans="1:3" x14ac:dyDescent="0.25">
      <c r="A3" s="20" t="s">
        <v>809</v>
      </c>
      <c r="B3" s="20" t="s">
        <v>828</v>
      </c>
      <c r="C3" s="20" t="s">
        <v>869</v>
      </c>
    </row>
    <row r="4" spans="1:3" x14ac:dyDescent="0.25">
      <c r="A4" s="20" t="s">
        <v>811</v>
      </c>
      <c r="B4" s="20" t="s">
        <v>827</v>
      </c>
      <c r="C4" s="20" t="s">
        <v>870</v>
      </c>
    </row>
    <row r="5" spans="1:3" x14ac:dyDescent="0.25">
      <c r="A5" s="20" t="s">
        <v>812</v>
      </c>
      <c r="B5" s="20" t="s">
        <v>734</v>
      </c>
      <c r="C5" s="20" t="s">
        <v>871</v>
      </c>
    </row>
    <row r="6" spans="1:3" x14ac:dyDescent="0.25">
      <c r="A6" s="20" t="s">
        <v>813</v>
      </c>
      <c r="B6" s="20" t="s">
        <v>735</v>
      </c>
      <c r="C6" s="20" t="s">
        <v>872</v>
      </c>
    </row>
    <row r="7" spans="1:3" x14ac:dyDescent="0.25">
      <c r="A7" s="20" t="s">
        <v>814</v>
      </c>
      <c r="B7" s="20" t="s">
        <v>736</v>
      </c>
    </row>
    <row r="8" spans="1:3" x14ac:dyDescent="0.25">
      <c r="A8" s="20" t="s">
        <v>815</v>
      </c>
      <c r="B8" s="20" t="s">
        <v>737</v>
      </c>
    </row>
    <row r="9" spans="1:3" x14ac:dyDescent="0.25">
      <c r="A9" s="20" t="s">
        <v>816</v>
      </c>
      <c r="B9" s="20" t="s">
        <v>738</v>
      </c>
    </row>
    <row r="10" spans="1:3" x14ac:dyDescent="0.25">
      <c r="A10" s="20" t="s">
        <v>817</v>
      </c>
      <c r="B10" s="20" t="s">
        <v>739</v>
      </c>
    </row>
    <row r="11" spans="1:3" x14ac:dyDescent="0.25">
      <c r="A11" s="20" t="s">
        <v>818</v>
      </c>
      <c r="B11" s="20" t="s">
        <v>740</v>
      </c>
    </row>
    <row r="12" spans="1:3" x14ac:dyDescent="0.25">
      <c r="A12" s="20" t="s">
        <v>819</v>
      </c>
      <c r="B12" s="20" t="s">
        <v>204</v>
      </c>
    </row>
    <row r="13" spans="1:3" x14ac:dyDescent="0.25">
      <c r="A13" s="20" t="s">
        <v>820</v>
      </c>
      <c r="B13" s="20" t="s">
        <v>830</v>
      </c>
    </row>
    <row r="14" spans="1:3" x14ac:dyDescent="0.25">
      <c r="A14" s="20" t="s">
        <v>821</v>
      </c>
      <c r="B14" s="20" t="s">
        <v>831</v>
      </c>
    </row>
    <row r="15" spans="1:3" x14ac:dyDescent="0.25">
      <c r="A15" s="20" t="s">
        <v>822</v>
      </c>
      <c r="B15" s="20" t="s">
        <v>832</v>
      </c>
    </row>
    <row r="16" spans="1:3" x14ac:dyDescent="0.25">
      <c r="A16" s="20" t="s">
        <v>823</v>
      </c>
      <c r="B16" s="20" t="s">
        <v>833</v>
      </c>
    </row>
    <row r="17" spans="1:2" x14ac:dyDescent="0.25">
      <c r="A17" s="20" t="s">
        <v>740</v>
      </c>
      <c r="B17" s="20" t="s">
        <v>834</v>
      </c>
    </row>
    <row r="18" spans="1:2" x14ac:dyDescent="0.25">
      <c r="A18" s="20" t="s">
        <v>824</v>
      </c>
      <c r="B18" s="20" t="s">
        <v>835</v>
      </c>
    </row>
    <row r="19" spans="1:2" x14ac:dyDescent="0.25">
      <c r="A19" s="20" t="s">
        <v>825</v>
      </c>
      <c r="B19" s="20" t="s">
        <v>838</v>
      </c>
    </row>
    <row r="20" spans="1:2" x14ac:dyDescent="0.25">
      <c r="A20" s="20" t="s">
        <v>829</v>
      </c>
      <c r="B20" s="20" t="s">
        <v>836</v>
      </c>
    </row>
    <row r="21" spans="1:2" x14ac:dyDescent="0.25">
      <c r="A21" t="s">
        <v>854</v>
      </c>
      <c r="B21" s="20" t="s">
        <v>837</v>
      </c>
    </row>
    <row r="22" spans="1:2" x14ac:dyDescent="0.25">
      <c r="A22" s="20" t="s">
        <v>873</v>
      </c>
      <c r="B22" s="20" t="s">
        <v>839</v>
      </c>
    </row>
    <row r="23" spans="1:2" x14ac:dyDescent="0.25">
      <c r="A23" t="s">
        <v>855</v>
      </c>
      <c r="B23" s="20" t="s">
        <v>840</v>
      </c>
    </row>
    <row r="24" spans="1:2" x14ac:dyDescent="0.25">
      <c r="A24" t="s">
        <v>240</v>
      </c>
      <c r="B24" s="20" t="s">
        <v>841</v>
      </c>
    </row>
    <row r="25" spans="1:2" x14ac:dyDescent="0.25">
      <c r="A25" s="20" t="s">
        <v>206</v>
      </c>
      <c r="B25" s="20" t="s">
        <v>842</v>
      </c>
    </row>
    <row r="26" spans="1:2" x14ac:dyDescent="0.25">
      <c r="A26" t="s">
        <v>856</v>
      </c>
      <c r="B26" s="20" t="s">
        <v>843</v>
      </c>
    </row>
    <row r="27" spans="1:2" x14ac:dyDescent="0.25">
      <c r="A27" s="20" t="s">
        <v>857</v>
      </c>
      <c r="B27" s="20" t="s">
        <v>844</v>
      </c>
    </row>
    <row r="28" spans="1:2" x14ac:dyDescent="0.25">
      <c r="A28" t="s">
        <v>874</v>
      </c>
      <c r="B28" s="20" t="s">
        <v>845</v>
      </c>
    </row>
    <row r="29" spans="1:2" x14ac:dyDescent="0.25">
      <c r="A29" t="s">
        <v>829</v>
      </c>
      <c r="B29" s="20" t="s">
        <v>846</v>
      </c>
    </row>
    <row r="30" spans="1:2" x14ac:dyDescent="0.25">
      <c r="A30" t="s">
        <v>858</v>
      </c>
      <c r="B30" s="20" t="s">
        <v>847</v>
      </c>
    </row>
    <row r="31" spans="1:2" x14ac:dyDescent="0.25">
      <c r="A31" t="s">
        <v>859</v>
      </c>
      <c r="B31" s="20" t="s">
        <v>848</v>
      </c>
    </row>
    <row r="32" spans="1:2" x14ac:dyDescent="0.25">
      <c r="A32" t="s">
        <v>860</v>
      </c>
      <c r="B32" s="20" t="s">
        <v>849</v>
      </c>
    </row>
    <row r="33" spans="1:2" x14ac:dyDescent="0.25">
      <c r="A33" t="s">
        <v>861</v>
      </c>
      <c r="B33" s="20" t="s">
        <v>850</v>
      </c>
    </row>
    <row r="34" spans="1:2" x14ac:dyDescent="0.25">
      <c r="A34" t="s">
        <v>862</v>
      </c>
      <c r="B34" s="20" t="s">
        <v>851</v>
      </c>
    </row>
    <row r="35" spans="1:2" x14ac:dyDescent="0.25">
      <c r="A35" t="s">
        <v>863</v>
      </c>
      <c r="B35" s="20" t="s">
        <v>852</v>
      </c>
    </row>
    <row r="36" spans="1:2" x14ac:dyDescent="0.25">
      <c r="A36" s="20" t="s">
        <v>864</v>
      </c>
      <c r="B36" s="20" t="s">
        <v>853</v>
      </c>
    </row>
    <row r="37" spans="1:2" x14ac:dyDescent="0.25">
      <c r="A37" t="s">
        <v>865</v>
      </c>
    </row>
    <row r="38" spans="1:2" x14ac:dyDescent="0.25">
      <c r="A38" s="20" t="s">
        <v>866</v>
      </c>
    </row>
    <row r="39" spans="1:2" x14ac:dyDescent="0.25">
      <c r="A39" t="s">
        <v>808</v>
      </c>
    </row>
    <row r="41" spans="1:2" x14ac:dyDescent="0.25">
      <c r="A41" s="20" t="s">
        <v>983</v>
      </c>
    </row>
    <row r="42" spans="1:2" x14ac:dyDescent="0.25">
      <c r="A42" t="s">
        <v>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11111111">
    <tabColor rgb="FF00B050"/>
  </sheetPr>
  <dimension ref="A1:S13"/>
  <sheetViews>
    <sheetView zoomScale="90" zoomScaleNormal="90" workbookViewId="0">
      <selection activeCell="A3" sqref="A3"/>
    </sheetView>
  </sheetViews>
  <sheetFormatPr defaultColWidth="8.77734375" defaultRowHeight="13.2" x14ac:dyDescent="0.25"/>
  <cols>
    <col min="1" max="1" width="9.109375" style="2" bestFit="1" customWidth="1"/>
    <col min="2" max="2" width="7.109375" style="2" bestFit="1" customWidth="1"/>
    <col min="3" max="3" width="16.109375" style="2" bestFit="1" customWidth="1"/>
    <col min="4" max="4" width="8" style="2" bestFit="1" customWidth="1"/>
    <col min="5" max="5" width="9.77734375" style="2" bestFit="1" customWidth="1"/>
    <col min="6" max="6" width="10.109375" style="2" bestFit="1" customWidth="1"/>
    <col min="7" max="7" width="16.77734375" style="2" bestFit="1" customWidth="1"/>
    <col min="8" max="8" width="16.33203125" style="2" bestFit="1" customWidth="1"/>
    <col min="9" max="9" width="13" style="2" bestFit="1" customWidth="1"/>
    <col min="10" max="10" width="9.109375" style="2" bestFit="1" customWidth="1"/>
    <col min="11" max="19" width="9.109375" style="2" customWidth="1"/>
  </cols>
  <sheetData>
    <row r="1" spans="1:9" x14ac:dyDescent="0.25">
      <c r="A1" s="238" t="s">
        <v>741</v>
      </c>
      <c r="B1" s="238"/>
      <c r="C1" s="238"/>
      <c r="D1" s="238"/>
      <c r="E1" s="238"/>
      <c r="F1" s="238"/>
      <c r="G1" s="238"/>
      <c r="H1" s="238"/>
      <c r="I1" s="238"/>
    </row>
    <row r="2" spans="1:9" x14ac:dyDescent="0.25">
      <c r="A2" s="26" t="s">
        <v>733</v>
      </c>
      <c r="B2" s="26" t="s">
        <v>734</v>
      </c>
      <c r="C2" s="26" t="s">
        <v>735</v>
      </c>
      <c r="D2" s="26" t="s">
        <v>736</v>
      </c>
      <c r="E2" s="26" t="s">
        <v>737</v>
      </c>
      <c r="F2" s="26" t="s">
        <v>738</v>
      </c>
      <c r="G2" s="26" t="s">
        <v>739</v>
      </c>
      <c r="H2" s="26" t="s">
        <v>740</v>
      </c>
      <c r="I2" s="26" t="s">
        <v>204</v>
      </c>
    </row>
    <row r="3" spans="1:9" x14ac:dyDescent="0.25">
      <c r="A3" s="26">
        <v>3</v>
      </c>
      <c r="B3" s="26">
        <v>1</v>
      </c>
      <c r="C3" s="26">
        <v>2</v>
      </c>
      <c r="D3" s="26"/>
      <c r="E3" s="26">
        <v>1</v>
      </c>
      <c r="F3" s="26">
        <v>2</v>
      </c>
      <c r="G3" s="26"/>
      <c r="H3" s="26">
        <v>1</v>
      </c>
      <c r="I3" s="26"/>
    </row>
    <row r="5" spans="1:9" x14ac:dyDescent="0.25">
      <c r="A5" s="238" t="s">
        <v>742</v>
      </c>
      <c r="B5" s="238"/>
      <c r="C5" s="238"/>
      <c r="D5" s="238"/>
      <c r="E5" s="238"/>
      <c r="F5" s="238"/>
      <c r="G5" s="238"/>
      <c r="H5" s="238"/>
      <c r="I5" s="238"/>
    </row>
    <row r="6" spans="1:9" x14ac:dyDescent="0.25">
      <c r="A6" s="26" t="s">
        <v>733</v>
      </c>
      <c r="B6" s="26" t="s">
        <v>734</v>
      </c>
      <c r="C6" s="26" t="s">
        <v>735</v>
      </c>
      <c r="D6" s="26" t="s">
        <v>736</v>
      </c>
      <c r="E6" s="26" t="s">
        <v>737</v>
      </c>
      <c r="F6" s="26" t="s">
        <v>738</v>
      </c>
      <c r="G6" s="26" t="s">
        <v>739</v>
      </c>
      <c r="H6" s="26" t="s">
        <v>740</v>
      </c>
      <c r="I6" s="26" t="s">
        <v>204</v>
      </c>
    </row>
    <row r="7" spans="1:9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x14ac:dyDescent="0.25">
      <c r="A8" s="26"/>
      <c r="B8" s="26"/>
      <c r="C8" s="26"/>
      <c r="D8" s="26"/>
      <c r="E8" s="26"/>
      <c r="F8" s="26"/>
      <c r="G8" s="26"/>
      <c r="H8" s="26"/>
      <c r="I8" s="26"/>
    </row>
    <row r="9" spans="1:9" x14ac:dyDescent="0.25">
      <c r="A9" s="26"/>
      <c r="B9" s="26"/>
      <c r="C9" s="26"/>
      <c r="D9" s="26"/>
      <c r="E9" s="26"/>
      <c r="F9" s="26"/>
      <c r="G9" s="26"/>
      <c r="H9" s="26"/>
      <c r="I9" s="26"/>
    </row>
    <row r="10" spans="1:9" x14ac:dyDescent="0.25">
      <c r="A10" s="26"/>
      <c r="B10" s="26"/>
      <c r="C10" s="26"/>
      <c r="D10" s="26"/>
      <c r="E10" s="26"/>
      <c r="F10" s="26"/>
      <c r="G10" s="26"/>
      <c r="H10" s="26"/>
      <c r="I10" s="26"/>
    </row>
    <row r="11" spans="1:9" x14ac:dyDescent="0.2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25">
      <c r="A12" s="26"/>
      <c r="B12" s="26"/>
      <c r="C12" s="26"/>
      <c r="D12" s="26"/>
      <c r="E12" s="26"/>
      <c r="F12" s="26"/>
      <c r="G12" s="26"/>
      <c r="H12" s="26"/>
      <c r="I12" s="26"/>
    </row>
    <row r="13" spans="1:9" x14ac:dyDescent="0.25">
      <c r="A13" s="26"/>
      <c r="B13" s="26"/>
      <c r="C13" s="26"/>
      <c r="D13" s="26"/>
      <c r="E13" s="26"/>
      <c r="F13" s="26"/>
      <c r="G13" s="26"/>
      <c r="H13" s="26"/>
      <c r="I13" s="26"/>
    </row>
  </sheetData>
  <mergeCells count="2">
    <mergeCell ref="A1:I1"/>
    <mergeCell ref="A5:I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1111111">
    <tabColor rgb="FF00B050"/>
    <pageSetUpPr fitToPage="1"/>
  </sheetPr>
  <dimension ref="A1:U391"/>
  <sheetViews>
    <sheetView topLeftCell="A220" zoomScaleNormal="100" workbookViewId="0">
      <selection activeCell="C240" sqref="C240"/>
    </sheetView>
  </sheetViews>
  <sheetFormatPr defaultColWidth="8.77734375" defaultRowHeight="13.2" x14ac:dyDescent="0.25"/>
  <cols>
    <col min="1" max="1" width="10.6640625" style="117" customWidth="1"/>
    <col min="2" max="2" width="2.109375" style="113" customWidth="1"/>
    <col min="3" max="3" width="110.77734375" style="114" customWidth="1"/>
    <col min="4" max="6" width="15.77734375" style="115" customWidth="1"/>
    <col min="7" max="7" width="15.77734375" style="116" customWidth="1"/>
    <col min="8" max="8" width="6" style="114" bestFit="1" customWidth="1"/>
    <col min="9" max="9" width="8.77734375" style="132"/>
    <col min="10" max="10" width="8.77734375" style="133"/>
    <col min="11" max="15" width="8.77734375" style="114"/>
    <col min="16" max="16" width="13.109375" style="114" customWidth="1"/>
    <col min="17" max="19" width="13.109375" style="114" bestFit="1" customWidth="1"/>
    <col min="20" max="20" width="13.109375" style="132" bestFit="1" customWidth="1"/>
    <col min="21" max="21" width="8.77734375" style="132"/>
    <col min="22" max="16384" width="8.77734375" style="114"/>
  </cols>
  <sheetData>
    <row r="1" spans="1:21" ht="21.9" customHeight="1" x14ac:dyDescent="0.25">
      <c r="A1" s="18" t="s">
        <v>182</v>
      </c>
      <c r="C1" s="246"/>
      <c r="P1" s="117"/>
      <c r="Q1" s="117"/>
      <c r="R1" s="117"/>
      <c r="S1" s="117"/>
      <c r="T1" s="131">
        <f>G137</f>
        <v>0</v>
      </c>
      <c r="U1" s="131">
        <f>J137</f>
        <v>0</v>
      </c>
    </row>
    <row r="2" spans="1:21" ht="21.9" customHeight="1" x14ac:dyDescent="0.25">
      <c r="A2" s="19">
        <f>ROUND(D7*2+E7*2,2)</f>
        <v>0</v>
      </c>
      <c r="C2" s="247"/>
      <c r="P2" s="117"/>
      <c r="Q2" s="117"/>
      <c r="R2" s="117"/>
      <c r="S2" s="117"/>
      <c r="T2" s="131">
        <f>G248</f>
        <v>0</v>
      </c>
      <c r="U2" s="131">
        <f>J248</f>
        <v>0</v>
      </c>
    </row>
    <row r="3" spans="1:21" ht="21.9" customHeight="1" x14ac:dyDescent="0.25">
      <c r="A3" s="18" t="s">
        <v>183</v>
      </c>
      <c r="C3" s="247"/>
      <c r="D3" s="117"/>
      <c r="E3" s="117"/>
      <c r="F3" s="117"/>
      <c r="G3" s="117"/>
      <c r="P3" s="117"/>
      <c r="Q3" s="117"/>
      <c r="R3" s="117"/>
      <c r="S3" s="117"/>
      <c r="T3" s="131">
        <f>G362</f>
        <v>0</v>
      </c>
      <c r="U3" s="131">
        <f>J362</f>
        <v>0</v>
      </c>
    </row>
    <row r="4" spans="1:21" ht="21.9" customHeight="1" thickBot="1" x14ac:dyDescent="0.3">
      <c r="A4" s="19">
        <f>ROUND(D7*E7,2)</f>
        <v>0</v>
      </c>
      <c r="C4" s="248"/>
      <c r="D4" s="118"/>
      <c r="E4" s="118"/>
      <c r="F4" s="118"/>
      <c r="G4" s="119"/>
      <c r="P4" s="117"/>
      <c r="Q4" s="117"/>
      <c r="R4" s="117"/>
      <c r="S4" s="117"/>
      <c r="T4" s="131">
        <v>0</v>
      </c>
      <c r="U4" s="131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1"/>
      <c r="F5" s="250"/>
      <c r="G5" s="252"/>
      <c r="P5" s="117"/>
      <c r="Q5" s="117"/>
      <c r="R5" s="117"/>
      <c r="S5" s="117"/>
      <c r="T5" s="131">
        <f>G372</f>
        <v>0</v>
      </c>
      <c r="U5" s="131">
        <f>J372</f>
        <v>0</v>
      </c>
    </row>
    <row r="6" spans="1:21" ht="21.9" customHeight="1" thickBot="1" x14ac:dyDescent="0.3">
      <c r="A6" s="19" t="e">
        <f>ROUND(A2*F7-G7,2)</f>
        <v>#REF!</v>
      </c>
      <c r="C6" s="253" t="s">
        <v>1017</v>
      </c>
      <c r="D6" s="12" t="s">
        <v>188</v>
      </c>
      <c r="E6" s="12" t="s">
        <v>189</v>
      </c>
      <c r="F6" s="12" t="s">
        <v>190</v>
      </c>
      <c r="G6" s="13" t="s">
        <v>187</v>
      </c>
      <c r="P6" s="117"/>
      <c r="Q6" s="117"/>
      <c r="R6" s="117"/>
      <c r="S6" s="117"/>
      <c r="T6" s="131">
        <f>G382</f>
        <v>0</v>
      </c>
      <c r="U6" s="131">
        <f>J382</f>
        <v>0</v>
      </c>
    </row>
    <row r="7" spans="1:21" ht="21.9" customHeight="1" thickBot="1" x14ac:dyDescent="0.3">
      <c r="C7" s="254"/>
      <c r="D7" s="12">
        <v>0</v>
      </c>
      <c r="E7" s="12">
        <v>0</v>
      </c>
      <c r="F7" s="12" t="e">
        <f>#REF!</f>
        <v>#REF!</v>
      </c>
      <c r="G7" s="14">
        <v>0</v>
      </c>
      <c r="P7" s="117"/>
      <c r="Q7" s="117"/>
      <c r="R7" s="117"/>
      <c r="S7" s="117"/>
      <c r="T7" s="131">
        <f>G383</f>
        <v>0</v>
      </c>
      <c r="U7" s="131">
        <f>J383</f>
        <v>0</v>
      </c>
    </row>
    <row r="8" spans="1:21" x14ac:dyDescent="0.25">
      <c r="C8" s="120" t="s">
        <v>1015</v>
      </c>
      <c r="D8" s="255" t="e">
        <f>G385</f>
        <v>#REF!</v>
      </c>
      <c r="E8" s="256"/>
      <c r="F8" s="256"/>
      <c r="G8" s="257"/>
      <c r="H8" s="121" t="s">
        <v>760</v>
      </c>
      <c r="P8" s="117"/>
      <c r="Q8" s="117"/>
      <c r="R8" s="117"/>
      <c r="S8" s="117"/>
      <c r="T8" s="131" t="e">
        <f>G385</f>
        <v>#REF!</v>
      </c>
      <c r="U8" s="131">
        <f>J385</f>
        <v>0</v>
      </c>
    </row>
    <row r="9" spans="1:21" ht="15.6" x14ac:dyDescent="0.25">
      <c r="B9" s="140"/>
      <c r="C9" s="111"/>
      <c r="D9" s="112"/>
      <c r="E9" s="112"/>
      <c r="F9" s="112"/>
      <c r="G9" s="112"/>
    </row>
    <row r="10" spans="1:21" ht="15.6" x14ac:dyDescent="0.25">
      <c r="B10" s="147">
        <f>IF(SUM(B11:B136)&gt;0,1,0)</f>
        <v>0</v>
      </c>
      <c r="C10" s="148" t="s">
        <v>657</v>
      </c>
      <c r="D10" s="149" t="s">
        <v>179</v>
      </c>
      <c r="E10" s="149" t="s">
        <v>180</v>
      </c>
      <c r="F10" s="149" t="s">
        <v>1</v>
      </c>
      <c r="G10" s="149" t="s">
        <v>181</v>
      </c>
      <c r="I10" s="132" t="s">
        <v>985</v>
      </c>
      <c r="J10" s="133" t="s">
        <v>181</v>
      </c>
    </row>
    <row r="11" spans="1:21" ht="15.6" x14ac:dyDescent="0.25">
      <c r="B11" s="122">
        <f>IF(SUM(B12:B32)&gt;0,1,0)</f>
        <v>0</v>
      </c>
      <c r="C11" s="60" t="s">
        <v>877</v>
      </c>
      <c r="D11" s="61"/>
      <c r="E11" s="62"/>
      <c r="F11" s="62"/>
      <c r="G11" s="123"/>
    </row>
    <row r="12" spans="1:21" ht="15.6" x14ac:dyDescent="0.25">
      <c r="B12" s="122"/>
      <c r="C12" s="69" t="s">
        <v>305</v>
      </c>
      <c r="D12" s="61" t="s">
        <v>3</v>
      </c>
      <c r="E12" s="62">
        <f>$A$2</f>
        <v>0</v>
      </c>
      <c r="F12" s="62">
        <f>'Прайс для расчета'!E5</f>
        <v>89.25</v>
      </c>
      <c r="G12" s="123">
        <f t="shared" ref="G12:G32" si="0">F12*E12</f>
        <v>0</v>
      </c>
      <c r="I12" s="134">
        <f>'Прайс для расчета (М)'!E5</f>
        <v>44.625</v>
      </c>
      <c r="J12" s="133">
        <f t="shared" ref="J12:J32" si="1">I12*E12</f>
        <v>0</v>
      </c>
    </row>
    <row r="13" spans="1:21" ht="15.6" x14ac:dyDescent="0.25">
      <c r="B13" s="122"/>
      <c r="C13" s="69" t="s">
        <v>306</v>
      </c>
      <c r="D13" s="61" t="s">
        <v>2</v>
      </c>
      <c r="E13" s="62">
        <f t="shared" ref="E13:E28" si="2">$A$4</f>
        <v>0</v>
      </c>
      <c r="F13" s="62">
        <f>'Прайс для расчета'!E6</f>
        <v>157.5</v>
      </c>
      <c r="G13" s="123">
        <f t="shared" si="0"/>
        <v>0</v>
      </c>
      <c r="I13" s="134">
        <f>'Прайс для расчета (М)'!E6</f>
        <v>78.75</v>
      </c>
      <c r="J13" s="133">
        <f t="shared" si="1"/>
        <v>0</v>
      </c>
    </row>
    <row r="14" spans="1:21" ht="15.6" x14ac:dyDescent="0.25">
      <c r="B14" s="122"/>
      <c r="C14" s="69" t="s">
        <v>307</v>
      </c>
      <c r="D14" s="61" t="s">
        <v>2</v>
      </c>
      <c r="E14" s="62">
        <f t="shared" si="2"/>
        <v>0</v>
      </c>
      <c r="F14" s="62">
        <f>'Прайс для расчета'!E7</f>
        <v>292.23599999999999</v>
      </c>
      <c r="G14" s="123">
        <f t="shared" si="0"/>
        <v>0</v>
      </c>
      <c r="I14" s="134">
        <f>'Прайс для расчета (М)'!E7</f>
        <v>146.11799999999999</v>
      </c>
      <c r="J14" s="133">
        <f t="shared" si="1"/>
        <v>0</v>
      </c>
    </row>
    <row r="15" spans="1:21" ht="15.6" x14ac:dyDescent="0.25">
      <c r="B15" s="122"/>
      <c r="C15" s="69" t="s">
        <v>308</v>
      </c>
      <c r="D15" s="61" t="s">
        <v>2</v>
      </c>
      <c r="E15" s="62">
        <f t="shared" si="2"/>
        <v>0</v>
      </c>
      <c r="F15" s="62">
        <f>'Прайс для расчета'!E8</f>
        <v>367.5</v>
      </c>
      <c r="G15" s="123">
        <f t="shared" si="0"/>
        <v>0</v>
      </c>
      <c r="I15" s="134">
        <f>'Прайс для расчета (М)'!E8</f>
        <v>183.75</v>
      </c>
      <c r="J15" s="133">
        <f t="shared" si="1"/>
        <v>0</v>
      </c>
    </row>
    <row r="16" spans="1:21" ht="15.6" x14ac:dyDescent="0.25">
      <c r="B16" s="122"/>
      <c r="C16" s="69" t="s">
        <v>309</v>
      </c>
      <c r="D16" s="61" t="s">
        <v>2</v>
      </c>
      <c r="E16" s="62">
        <f t="shared" si="2"/>
        <v>0</v>
      </c>
      <c r="F16" s="62">
        <f>'Прайс для расчета'!E9</f>
        <v>120.771</v>
      </c>
      <c r="G16" s="123">
        <f t="shared" si="0"/>
        <v>0</v>
      </c>
      <c r="I16" s="134">
        <f>'Прайс для расчета (М)'!E9</f>
        <v>60.3855</v>
      </c>
      <c r="J16" s="133">
        <f t="shared" si="1"/>
        <v>0</v>
      </c>
    </row>
    <row r="17" spans="2:10" ht="15.6" x14ac:dyDescent="0.25">
      <c r="B17" s="122"/>
      <c r="C17" s="69" t="s">
        <v>310</v>
      </c>
      <c r="D17" s="61" t="s">
        <v>2</v>
      </c>
      <c r="E17" s="62">
        <f t="shared" si="2"/>
        <v>0</v>
      </c>
      <c r="F17" s="62">
        <f>'Прайс для расчета'!E10</f>
        <v>102.87899999999999</v>
      </c>
      <c r="G17" s="123">
        <f t="shared" si="0"/>
        <v>0</v>
      </c>
      <c r="I17" s="134">
        <f>'Прайс для расчета (М)'!E10</f>
        <v>51.439499999999995</v>
      </c>
      <c r="J17" s="133">
        <f t="shared" si="1"/>
        <v>0</v>
      </c>
    </row>
    <row r="18" spans="2:10" ht="15.6" x14ac:dyDescent="0.25">
      <c r="B18" s="122"/>
      <c r="C18" s="69" t="s">
        <v>1002</v>
      </c>
      <c r="D18" s="61" t="s">
        <v>2</v>
      </c>
      <c r="E18" s="62">
        <f t="shared" si="2"/>
        <v>0</v>
      </c>
      <c r="F18" s="62">
        <f>'Прайс для расчета'!E11</f>
        <v>1837.5</v>
      </c>
      <c r="G18" s="123">
        <f t="shared" si="0"/>
        <v>0</v>
      </c>
      <c r="I18" s="134">
        <f>'Прайс для расчета (М)'!E11</f>
        <v>918.75</v>
      </c>
      <c r="J18" s="133">
        <f t="shared" si="1"/>
        <v>0</v>
      </c>
    </row>
    <row r="19" spans="2:10" ht="15.6" x14ac:dyDescent="0.25">
      <c r="B19" s="122"/>
      <c r="C19" s="69" t="s">
        <v>1003</v>
      </c>
      <c r="D19" s="61" t="s">
        <v>2</v>
      </c>
      <c r="E19" s="62">
        <f t="shared" si="2"/>
        <v>0</v>
      </c>
      <c r="F19" s="62">
        <f>'Прайс для расчета'!E12</f>
        <v>2677.5</v>
      </c>
      <c r="G19" s="123">
        <f t="shared" si="0"/>
        <v>0</v>
      </c>
      <c r="I19" s="134">
        <f>'Прайс для расчета (М)'!E12</f>
        <v>1338.75</v>
      </c>
      <c r="J19" s="133">
        <f t="shared" si="1"/>
        <v>0</v>
      </c>
    </row>
    <row r="20" spans="2:10" ht="15.6" x14ac:dyDescent="0.25">
      <c r="B20" s="122"/>
      <c r="C20" s="69" t="s">
        <v>59</v>
      </c>
      <c r="D20" s="61" t="s">
        <v>2</v>
      </c>
      <c r="E20" s="62">
        <f t="shared" si="2"/>
        <v>0</v>
      </c>
      <c r="F20" s="62">
        <f>'Прайс для расчета'!E13</f>
        <v>367.5</v>
      </c>
      <c r="G20" s="123">
        <f t="shared" si="0"/>
        <v>0</v>
      </c>
      <c r="I20" s="134">
        <f>'Прайс для расчета (М)'!E13</f>
        <v>183.75</v>
      </c>
      <c r="J20" s="133">
        <f t="shared" si="1"/>
        <v>0</v>
      </c>
    </row>
    <row r="21" spans="2:10" ht="15.6" x14ac:dyDescent="0.25">
      <c r="B21" s="122"/>
      <c r="C21" s="69" t="s">
        <v>311</v>
      </c>
      <c r="D21" s="61" t="s">
        <v>2</v>
      </c>
      <c r="E21" s="62">
        <f t="shared" si="2"/>
        <v>0</v>
      </c>
      <c r="F21" s="62">
        <f>'Прайс для расчета'!E14</f>
        <v>315</v>
      </c>
      <c r="G21" s="123">
        <f t="shared" si="0"/>
        <v>0</v>
      </c>
      <c r="I21" s="134">
        <f>'Прайс для расчета (М)'!E14</f>
        <v>157.5</v>
      </c>
      <c r="J21" s="133">
        <f t="shared" si="1"/>
        <v>0</v>
      </c>
    </row>
    <row r="22" spans="2:10" ht="15.6" x14ac:dyDescent="0.25">
      <c r="B22" s="122"/>
      <c r="C22" s="69" t="s">
        <v>312</v>
      </c>
      <c r="D22" s="61" t="s">
        <v>2</v>
      </c>
      <c r="E22" s="62">
        <f t="shared" si="2"/>
        <v>0</v>
      </c>
      <c r="F22" s="62">
        <f>'Прайс для расчета'!E15</f>
        <v>162.75</v>
      </c>
      <c r="G22" s="123">
        <f t="shared" si="0"/>
        <v>0</v>
      </c>
      <c r="I22" s="134">
        <f>'Прайс для расчета (М)'!E15</f>
        <v>81.375</v>
      </c>
      <c r="J22" s="133">
        <f t="shared" si="1"/>
        <v>0</v>
      </c>
    </row>
    <row r="23" spans="2:10" ht="15.6" x14ac:dyDescent="0.25">
      <c r="B23" s="122"/>
      <c r="C23" s="69" t="s">
        <v>313</v>
      </c>
      <c r="D23" s="61" t="s">
        <v>2</v>
      </c>
      <c r="E23" s="62">
        <f t="shared" si="2"/>
        <v>0</v>
      </c>
      <c r="F23" s="62">
        <f>'Прайс для расчета'!E16</f>
        <v>162.75</v>
      </c>
      <c r="G23" s="123">
        <f t="shared" si="0"/>
        <v>0</v>
      </c>
      <c r="I23" s="134">
        <f>'Прайс для расчета (М)'!E16</f>
        <v>81.375</v>
      </c>
      <c r="J23" s="133">
        <f t="shared" si="1"/>
        <v>0</v>
      </c>
    </row>
    <row r="24" spans="2:10" ht="15.6" x14ac:dyDescent="0.25">
      <c r="B24" s="122"/>
      <c r="C24" s="69" t="s">
        <v>314</v>
      </c>
      <c r="D24" s="61" t="s">
        <v>2</v>
      </c>
      <c r="E24" s="62">
        <f t="shared" si="2"/>
        <v>0</v>
      </c>
      <c r="F24" s="62">
        <f>'Прайс для расчета'!E17</f>
        <v>335.47500000000002</v>
      </c>
      <c r="G24" s="123">
        <f t="shared" si="0"/>
        <v>0</v>
      </c>
      <c r="I24" s="134">
        <f>'Прайс для расчета (М)'!E17</f>
        <v>167.73750000000001</v>
      </c>
      <c r="J24" s="133">
        <f t="shared" si="1"/>
        <v>0</v>
      </c>
    </row>
    <row r="25" spans="2:10" ht="15.6" x14ac:dyDescent="0.25">
      <c r="B25" s="122"/>
      <c r="C25" s="69" t="s">
        <v>658</v>
      </c>
      <c r="D25" s="61" t="s">
        <v>2</v>
      </c>
      <c r="E25" s="62">
        <f t="shared" si="2"/>
        <v>0</v>
      </c>
      <c r="F25" s="62">
        <f>'Прайс для расчета'!E18</f>
        <v>73.5</v>
      </c>
      <c r="G25" s="123">
        <f t="shared" si="0"/>
        <v>0</v>
      </c>
      <c r="I25" s="134">
        <f>'Прайс для расчета (М)'!E18</f>
        <v>36.75</v>
      </c>
      <c r="J25" s="133">
        <f t="shared" si="1"/>
        <v>0</v>
      </c>
    </row>
    <row r="26" spans="2:10" ht="15.6" x14ac:dyDescent="0.25">
      <c r="B26" s="122"/>
      <c r="C26" s="69" t="s">
        <v>315</v>
      </c>
      <c r="D26" s="61" t="s">
        <v>2</v>
      </c>
      <c r="E26" s="62">
        <f t="shared" si="2"/>
        <v>0</v>
      </c>
      <c r="F26" s="62">
        <f>'Прайс для расчета'!E19</f>
        <v>420.46199999999999</v>
      </c>
      <c r="G26" s="123">
        <f t="shared" si="0"/>
        <v>0</v>
      </c>
      <c r="I26" s="134">
        <f>'Прайс для расчета (М)'!E19</f>
        <v>210.23099999999999</v>
      </c>
      <c r="J26" s="133">
        <f t="shared" si="1"/>
        <v>0</v>
      </c>
    </row>
    <row r="27" spans="2:10" ht="15.6" x14ac:dyDescent="0.25">
      <c r="B27" s="122"/>
      <c r="C27" s="69" t="s">
        <v>316</v>
      </c>
      <c r="D27" s="61" t="s">
        <v>2</v>
      </c>
      <c r="E27" s="62">
        <f t="shared" si="2"/>
        <v>0</v>
      </c>
      <c r="F27" s="62">
        <f>'Прайс для расчета'!E20</f>
        <v>577.5</v>
      </c>
      <c r="G27" s="123">
        <f t="shared" si="0"/>
        <v>0</v>
      </c>
      <c r="I27" s="134">
        <f>'Прайс для расчета (М)'!E20</f>
        <v>288.75</v>
      </c>
      <c r="J27" s="133">
        <f t="shared" si="1"/>
        <v>0</v>
      </c>
    </row>
    <row r="28" spans="2:10" ht="15.6" x14ac:dyDescent="0.25">
      <c r="B28" s="122"/>
      <c r="C28" s="69" t="s">
        <v>317</v>
      </c>
      <c r="D28" s="61" t="s">
        <v>2</v>
      </c>
      <c r="E28" s="62">
        <f t="shared" si="2"/>
        <v>0</v>
      </c>
      <c r="F28" s="62">
        <f>'Прайс для расчета'!E21</f>
        <v>262.5</v>
      </c>
      <c r="G28" s="123">
        <f t="shared" si="0"/>
        <v>0</v>
      </c>
      <c r="I28" s="134">
        <f>'Прайс для расчета (М)'!E21</f>
        <v>131.25</v>
      </c>
      <c r="J28" s="133">
        <f t="shared" si="1"/>
        <v>0</v>
      </c>
    </row>
    <row r="29" spans="2:10" ht="15.6" x14ac:dyDescent="0.25">
      <c r="B29" s="122"/>
      <c r="C29" s="69" t="s">
        <v>318</v>
      </c>
      <c r="D29" s="61" t="s">
        <v>3</v>
      </c>
      <c r="E29" s="62">
        <f>$A$2</f>
        <v>0</v>
      </c>
      <c r="F29" s="62">
        <f>'Прайс для расчета'!E22</f>
        <v>644.11199999999997</v>
      </c>
      <c r="G29" s="123">
        <f t="shared" si="0"/>
        <v>0</v>
      </c>
      <c r="I29" s="134">
        <f>'Прайс для расчета (М)'!E22</f>
        <v>322.05599999999998</v>
      </c>
      <c r="J29" s="133">
        <f t="shared" si="1"/>
        <v>0</v>
      </c>
    </row>
    <row r="30" spans="2:10" ht="15.6" x14ac:dyDescent="0.25">
      <c r="B30" s="122"/>
      <c r="C30" s="69" t="s">
        <v>319</v>
      </c>
      <c r="D30" s="61" t="s">
        <v>3</v>
      </c>
      <c r="E30" s="62">
        <f>$A$2</f>
        <v>0</v>
      </c>
      <c r="F30" s="62">
        <f>'Прайс для расчета'!E23</f>
        <v>111.825</v>
      </c>
      <c r="G30" s="123">
        <f t="shared" si="0"/>
        <v>0</v>
      </c>
      <c r="I30" s="134">
        <f>'Прайс для расчета (М)'!E23</f>
        <v>55.912500000000001</v>
      </c>
      <c r="J30" s="133">
        <f t="shared" si="1"/>
        <v>0</v>
      </c>
    </row>
    <row r="31" spans="2:10" ht="15.6" x14ac:dyDescent="0.25">
      <c r="B31" s="122"/>
      <c r="C31" s="69" t="s">
        <v>320</v>
      </c>
      <c r="D31" s="61" t="s">
        <v>3</v>
      </c>
      <c r="E31" s="62">
        <f>$A$2</f>
        <v>0</v>
      </c>
      <c r="F31" s="62">
        <f>'Прайс для расчета'!E24</f>
        <v>523.34100000000001</v>
      </c>
      <c r="G31" s="123">
        <f t="shared" si="0"/>
        <v>0</v>
      </c>
      <c r="I31" s="134">
        <f>'Прайс для расчета (М)'!E24</f>
        <v>261.6705</v>
      </c>
      <c r="J31" s="133">
        <f t="shared" si="1"/>
        <v>0</v>
      </c>
    </row>
    <row r="32" spans="2:10" ht="15.6" x14ac:dyDescent="0.25">
      <c r="B32" s="122"/>
      <c r="C32" s="69" t="s">
        <v>219</v>
      </c>
      <c r="D32" s="61" t="s">
        <v>2</v>
      </c>
      <c r="E32" s="62">
        <f>$A$4</f>
        <v>0</v>
      </c>
      <c r="F32" s="62">
        <f>'Прайс для расчета'!E25</f>
        <v>335.47500000000002</v>
      </c>
      <c r="G32" s="123">
        <f t="shared" si="0"/>
        <v>0</v>
      </c>
      <c r="I32" s="134">
        <f>'Прайс для расчета (М)'!E25</f>
        <v>167.73750000000001</v>
      </c>
      <c r="J32" s="133">
        <f t="shared" si="1"/>
        <v>0</v>
      </c>
    </row>
    <row r="33" spans="2:10" ht="15.6" x14ac:dyDescent="0.25">
      <c r="B33" s="122">
        <f>IF(SUM(B34:B59)&gt;0,1,0)</f>
        <v>0</v>
      </c>
      <c r="C33" s="60" t="s">
        <v>878</v>
      </c>
      <c r="D33" s="61"/>
      <c r="E33" s="62"/>
      <c r="F33" s="62"/>
      <c r="G33" s="123"/>
    </row>
    <row r="34" spans="2:10" ht="15.6" x14ac:dyDescent="0.25">
      <c r="B34" s="122"/>
      <c r="C34" s="69" t="s">
        <v>321</v>
      </c>
      <c r="D34" s="61" t="s">
        <v>3</v>
      </c>
      <c r="E34" s="62">
        <f>$A$2</f>
        <v>0</v>
      </c>
      <c r="F34" s="62">
        <f>'Прайс для расчета'!E29</f>
        <v>68.585999999999999</v>
      </c>
      <c r="G34" s="123">
        <f t="shared" ref="G34:G59" si="3">F34*E34</f>
        <v>0</v>
      </c>
      <c r="I34" s="134">
        <f>'Прайс для расчета (М)'!E29</f>
        <v>34.292999999999999</v>
      </c>
      <c r="J34" s="133">
        <f t="shared" ref="J34:J59" si="4">I34*E34</f>
        <v>0</v>
      </c>
    </row>
    <row r="35" spans="2:10" ht="15.6" x14ac:dyDescent="0.25">
      <c r="B35" s="122"/>
      <c r="C35" s="69" t="s">
        <v>322</v>
      </c>
      <c r="D35" s="61" t="s">
        <v>0</v>
      </c>
      <c r="E35" s="62">
        <v>1</v>
      </c>
      <c r="F35" s="62">
        <f>'Прайс для расчета'!E30</f>
        <v>231</v>
      </c>
      <c r="G35" s="123">
        <f t="shared" si="3"/>
        <v>231</v>
      </c>
      <c r="I35" s="134">
        <f>'Прайс для расчета (М)'!E30</f>
        <v>115.5</v>
      </c>
      <c r="J35" s="133">
        <f t="shared" si="4"/>
        <v>115.5</v>
      </c>
    </row>
    <row r="36" spans="2:10" ht="15.6" x14ac:dyDescent="0.25">
      <c r="B36" s="122"/>
      <c r="C36" s="69" t="s">
        <v>220</v>
      </c>
      <c r="D36" s="61" t="s">
        <v>2</v>
      </c>
      <c r="E36" s="62" t="e">
        <f t="shared" ref="E36:E42" si="5">$A$6</f>
        <v>#REF!</v>
      </c>
      <c r="F36" s="62">
        <f>'Прайс для расчета'!E31</f>
        <v>210</v>
      </c>
      <c r="G36" s="123" t="e">
        <f t="shared" si="3"/>
        <v>#REF!</v>
      </c>
      <c r="I36" s="134">
        <f>'Прайс для расчета (М)'!E31</f>
        <v>105</v>
      </c>
      <c r="J36" s="133" t="e">
        <f t="shared" si="4"/>
        <v>#REF!</v>
      </c>
    </row>
    <row r="37" spans="2:10" ht="15.6" x14ac:dyDescent="0.25">
      <c r="B37" s="122"/>
      <c r="C37" s="69" t="s">
        <v>323</v>
      </c>
      <c r="D37" s="61" t="s">
        <v>2</v>
      </c>
      <c r="E37" s="62" t="e">
        <f t="shared" si="5"/>
        <v>#REF!</v>
      </c>
      <c r="F37" s="62">
        <f>'Прайс для расчета'!E32</f>
        <v>205.75799999999998</v>
      </c>
      <c r="G37" s="123" t="e">
        <f t="shared" si="3"/>
        <v>#REF!</v>
      </c>
      <c r="I37" s="134">
        <f>'Прайс для расчета (М)'!E32</f>
        <v>102.87899999999999</v>
      </c>
      <c r="J37" s="133" t="e">
        <f t="shared" si="4"/>
        <v>#REF!</v>
      </c>
    </row>
    <row r="38" spans="2:10" ht="15.6" x14ac:dyDescent="0.25">
      <c r="B38" s="122"/>
      <c r="C38" s="69" t="s">
        <v>154</v>
      </c>
      <c r="D38" s="61" t="s">
        <v>2</v>
      </c>
      <c r="E38" s="62" t="e">
        <f t="shared" si="5"/>
        <v>#REF!</v>
      </c>
      <c r="F38" s="62">
        <f>'Прайс для расчета'!E33</f>
        <v>205.75799999999998</v>
      </c>
      <c r="G38" s="123" t="e">
        <f t="shared" si="3"/>
        <v>#REF!</v>
      </c>
      <c r="I38" s="134">
        <f>'Прайс для расчета (М)'!E33</f>
        <v>102.87899999999999</v>
      </c>
      <c r="J38" s="133" t="e">
        <f t="shared" si="4"/>
        <v>#REF!</v>
      </c>
    </row>
    <row r="39" spans="2:10" ht="15.6" x14ac:dyDescent="0.25">
      <c r="B39" s="122"/>
      <c r="C39" s="69" t="s">
        <v>324</v>
      </c>
      <c r="D39" s="61" t="s">
        <v>2</v>
      </c>
      <c r="E39" s="62" t="e">
        <f t="shared" si="5"/>
        <v>#REF!</v>
      </c>
      <c r="F39" s="62">
        <f>'Прайс для расчета'!E34</f>
        <v>506.94</v>
      </c>
      <c r="G39" s="123" t="e">
        <f t="shared" si="3"/>
        <v>#REF!</v>
      </c>
      <c r="I39" s="134">
        <f>'Прайс для расчета (М)'!E34</f>
        <v>253.47</v>
      </c>
      <c r="J39" s="133" t="e">
        <f t="shared" si="4"/>
        <v>#REF!</v>
      </c>
    </row>
    <row r="40" spans="2:10" ht="15.6" x14ac:dyDescent="0.25">
      <c r="B40" s="122"/>
      <c r="C40" s="69" t="s">
        <v>325</v>
      </c>
      <c r="D40" s="61" t="s">
        <v>2</v>
      </c>
      <c r="E40" s="62" t="e">
        <f t="shared" si="5"/>
        <v>#REF!</v>
      </c>
      <c r="F40" s="62">
        <f>'Прайс для расчета'!E35</f>
        <v>205.75799999999998</v>
      </c>
      <c r="G40" s="123" t="e">
        <f t="shared" si="3"/>
        <v>#REF!</v>
      </c>
      <c r="I40" s="134">
        <f>'Прайс для расчета (М)'!E35</f>
        <v>102.87899999999999</v>
      </c>
      <c r="J40" s="133" t="e">
        <f t="shared" si="4"/>
        <v>#REF!</v>
      </c>
    </row>
    <row r="41" spans="2:10" ht="15.6" x14ac:dyDescent="0.25">
      <c r="B41" s="122"/>
      <c r="C41" s="69" t="s">
        <v>155</v>
      </c>
      <c r="D41" s="61" t="s">
        <v>2</v>
      </c>
      <c r="E41" s="62" t="e">
        <f t="shared" si="5"/>
        <v>#REF!</v>
      </c>
      <c r="F41" s="62">
        <f>'Прайс для расчета'!E36</f>
        <v>205.75799999999998</v>
      </c>
      <c r="G41" s="123" t="e">
        <f t="shared" si="3"/>
        <v>#REF!</v>
      </c>
      <c r="I41" s="134">
        <f>'Прайс для расчета (М)'!E36</f>
        <v>102.87899999999999</v>
      </c>
      <c r="J41" s="133" t="e">
        <f t="shared" si="4"/>
        <v>#REF!</v>
      </c>
    </row>
    <row r="42" spans="2:10" ht="15.6" x14ac:dyDescent="0.25">
      <c r="B42" s="122"/>
      <c r="C42" s="69" t="s">
        <v>659</v>
      </c>
      <c r="D42" s="61" t="s">
        <v>2</v>
      </c>
      <c r="E42" s="62" t="e">
        <f t="shared" si="5"/>
        <v>#REF!</v>
      </c>
      <c r="F42" s="62">
        <f>'Прайс для расчета'!E37</f>
        <v>204.75</v>
      </c>
      <c r="G42" s="123" t="e">
        <f t="shared" si="3"/>
        <v>#REF!</v>
      </c>
      <c r="I42" s="134">
        <f>'Прайс для расчета (М)'!E37</f>
        <v>102.375</v>
      </c>
      <c r="J42" s="133" t="e">
        <f t="shared" si="4"/>
        <v>#REF!</v>
      </c>
    </row>
    <row r="43" spans="2:10" ht="15.6" x14ac:dyDescent="0.25">
      <c r="B43" s="122"/>
      <c r="C43" s="69" t="s">
        <v>660</v>
      </c>
      <c r="D43" s="61" t="s">
        <v>3</v>
      </c>
      <c r="E43" s="62" t="e">
        <f>ROUND($F$7*4,0)</f>
        <v>#REF!</v>
      </c>
      <c r="F43" s="62">
        <f>'Прайс для расчета'!E38</f>
        <v>292.23599999999999</v>
      </c>
      <c r="G43" s="123" t="e">
        <f t="shared" si="3"/>
        <v>#REF!</v>
      </c>
      <c r="I43" s="134">
        <f>'Прайс для расчета (М)'!E38</f>
        <v>146.11799999999999</v>
      </c>
      <c r="J43" s="133" t="e">
        <f t="shared" si="4"/>
        <v>#REF!</v>
      </c>
    </row>
    <row r="44" spans="2:10" ht="15.6" x14ac:dyDescent="0.25">
      <c r="B44" s="122"/>
      <c r="C44" s="69" t="s">
        <v>326</v>
      </c>
      <c r="D44" s="61" t="s">
        <v>2</v>
      </c>
      <c r="E44" s="62" t="e">
        <f>$A$6</f>
        <v>#REF!</v>
      </c>
      <c r="F44" s="62">
        <f>'Прайс для расчета'!E39</f>
        <v>164.01</v>
      </c>
      <c r="G44" s="123" t="e">
        <f t="shared" si="3"/>
        <v>#REF!</v>
      </c>
      <c r="I44" s="134">
        <f>'Прайс для расчета (М)'!E39</f>
        <v>82.004999999999995</v>
      </c>
      <c r="J44" s="133" t="e">
        <f t="shared" si="4"/>
        <v>#REF!</v>
      </c>
    </row>
    <row r="45" spans="2:10" ht="15.6" x14ac:dyDescent="0.25">
      <c r="B45" s="122"/>
      <c r="C45" s="69" t="s">
        <v>327</v>
      </c>
      <c r="D45" s="61" t="s">
        <v>0</v>
      </c>
      <c r="E45" s="62">
        <v>1</v>
      </c>
      <c r="F45" s="62">
        <f>'Прайс для расчета'!E40</f>
        <v>335.47500000000002</v>
      </c>
      <c r="G45" s="123">
        <f t="shared" si="3"/>
        <v>335.47500000000002</v>
      </c>
      <c r="I45" s="134">
        <f>'Прайс для расчета (М)'!E40</f>
        <v>167.73750000000001</v>
      </c>
      <c r="J45" s="133">
        <f t="shared" si="4"/>
        <v>167.73750000000001</v>
      </c>
    </row>
    <row r="46" spans="2:10" ht="15.6" x14ac:dyDescent="0.25">
      <c r="B46" s="122"/>
      <c r="C46" s="69" t="s">
        <v>328</v>
      </c>
      <c r="D46" s="61" t="s">
        <v>2</v>
      </c>
      <c r="E46" s="62" t="e">
        <f t="shared" ref="E46:E59" si="6">$A$6</f>
        <v>#REF!</v>
      </c>
      <c r="F46" s="62">
        <f>'Прайс для расчета'!E41</f>
        <v>315</v>
      </c>
      <c r="G46" s="123" t="e">
        <f t="shared" si="3"/>
        <v>#REF!</v>
      </c>
      <c r="I46" s="134">
        <f>'Прайс для расчета (М)'!E41</f>
        <v>157.5</v>
      </c>
      <c r="J46" s="133" t="e">
        <f t="shared" si="4"/>
        <v>#REF!</v>
      </c>
    </row>
    <row r="47" spans="2:10" ht="15.6" x14ac:dyDescent="0.25">
      <c r="B47" s="122"/>
      <c r="C47" s="69" t="s">
        <v>329</v>
      </c>
      <c r="D47" s="61" t="s">
        <v>2</v>
      </c>
      <c r="E47" s="62" t="e">
        <f t="shared" si="6"/>
        <v>#REF!</v>
      </c>
      <c r="F47" s="62">
        <f>'Прайс для расчета'!E42</f>
        <v>292.23599999999999</v>
      </c>
      <c r="G47" s="123" t="e">
        <f t="shared" si="3"/>
        <v>#REF!</v>
      </c>
      <c r="I47" s="134">
        <f>'Прайс для расчета (М)'!E42</f>
        <v>146.11799999999999</v>
      </c>
      <c r="J47" s="133" t="e">
        <f t="shared" si="4"/>
        <v>#REF!</v>
      </c>
    </row>
    <row r="48" spans="2:10" ht="15.6" x14ac:dyDescent="0.25">
      <c r="B48" s="122"/>
      <c r="C48" s="69" t="s">
        <v>222</v>
      </c>
      <c r="D48" s="61" t="s">
        <v>2</v>
      </c>
      <c r="E48" s="62" t="e">
        <f t="shared" si="6"/>
        <v>#REF!</v>
      </c>
      <c r="F48" s="62">
        <f>'Прайс для расчета'!E43</f>
        <v>335.47500000000002</v>
      </c>
      <c r="G48" s="123" t="e">
        <f t="shared" si="3"/>
        <v>#REF!</v>
      </c>
      <c r="I48" s="134">
        <f>'Прайс для расчета (М)'!E43</f>
        <v>167.73750000000001</v>
      </c>
      <c r="J48" s="133" t="e">
        <f t="shared" si="4"/>
        <v>#REF!</v>
      </c>
    </row>
    <row r="49" spans="2:10" ht="15.6" x14ac:dyDescent="0.25">
      <c r="B49" s="122"/>
      <c r="C49" s="69" t="s">
        <v>330</v>
      </c>
      <c r="D49" s="61" t="s">
        <v>2</v>
      </c>
      <c r="E49" s="62" t="e">
        <f t="shared" si="6"/>
        <v>#REF!</v>
      </c>
      <c r="F49" s="62">
        <f>'Прайс для расчета'!E44</f>
        <v>335.47500000000002</v>
      </c>
      <c r="G49" s="123" t="e">
        <f t="shared" si="3"/>
        <v>#REF!</v>
      </c>
      <c r="I49" s="134">
        <f>'Прайс для расчета (М)'!E44</f>
        <v>167.73750000000001</v>
      </c>
      <c r="J49" s="133" t="e">
        <f t="shared" si="4"/>
        <v>#REF!</v>
      </c>
    </row>
    <row r="50" spans="2:10" ht="15.6" x14ac:dyDescent="0.25">
      <c r="B50" s="122"/>
      <c r="C50" s="69" t="s">
        <v>475</v>
      </c>
      <c r="D50" s="61" t="s">
        <v>2</v>
      </c>
      <c r="E50" s="62" t="e">
        <f t="shared" si="6"/>
        <v>#REF!</v>
      </c>
      <c r="F50" s="62">
        <f>'Прайс для расчета'!E45</f>
        <v>102.87899999999999</v>
      </c>
      <c r="G50" s="123" t="e">
        <f t="shared" si="3"/>
        <v>#REF!</v>
      </c>
      <c r="I50" s="134">
        <f>'Прайс для расчета (М)'!E45</f>
        <v>51.439499999999995</v>
      </c>
      <c r="J50" s="133" t="e">
        <f t="shared" si="4"/>
        <v>#REF!</v>
      </c>
    </row>
    <row r="51" spans="2:10" ht="15.6" x14ac:dyDescent="0.25">
      <c r="B51" s="122"/>
      <c r="C51" s="69" t="s">
        <v>476</v>
      </c>
      <c r="D51" s="61" t="s">
        <v>2</v>
      </c>
      <c r="E51" s="62" t="e">
        <f t="shared" si="6"/>
        <v>#REF!</v>
      </c>
      <c r="F51" s="62">
        <f>'Прайс для расчета'!E46</f>
        <v>164.01</v>
      </c>
      <c r="G51" s="123" t="e">
        <f t="shared" si="3"/>
        <v>#REF!</v>
      </c>
      <c r="I51" s="134">
        <f>'Прайс для расчета (М)'!E46</f>
        <v>82.004999999999995</v>
      </c>
      <c r="J51" s="133" t="e">
        <f t="shared" si="4"/>
        <v>#REF!</v>
      </c>
    </row>
    <row r="52" spans="2:10" ht="15.6" x14ac:dyDescent="0.25">
      <c r="B52" s="122"/>
      <c r="C52" s="69" t="s">
        <v>477</v>
      </c>
      <c r="D52" s="61" t="s">
        <v>2</v>
      </c>
      <c r="E52" s="62" t="e">
        <f t="shared" si="6"/>
        <v>#REF!</v>
      </c>
      <c r="F52" s="62">
        <f>'Прайс для расчета'!E47</f>
        <v>849.87</v>
      </c>
      <c r="G52" s="123" t="e">
        <f t="shared" si="3"/>
        <v>#REF!</v>
      </c>
      <c r="I52" s="134">
        <f>'Прайс для расчета (М)'!E47</f>
        <v>424.935</v>
      </c>
      <c r="J52" s="133" t="e">
        <f t="shared" si="4"/>
        <v>#REF!</v>
      </c>
    </row>
    <row r="53" spans="2:10" ht="15.6" x14ac:dyDescent="0.25">
      <c r="B53" s="122"/>
      <c r="C53" s="69" t="s">
        <v>478</v>
      </c>
      <c r="D53" s="61" t="s">
        <v>2</v>
      </c>
      <c r="E53" s="62" t="e">
        <f t="shared" si="6"/>
        <v>#REF!</v>
      </c>
      <c r="F53" s="62">
        <f>'Прайс для расчета'!E48</f>
        <v>1021.3349999999999</v>
      </c>
      <c r="G53" s="123" t="e">
        <f t="shared" si="3"/>
        <v>#REF!</v>
      </c>
      <c r="I53" s="134">
        <f>'Прайс для расчета (М)'!E48</f>
        <v>510.66749999999996</v>
      </c>
      <c r="J53" s="133" t="e">
        <f t="shared" si="4"/>
        <v>#REF!</v>
      </c>
    </row>
    <row r="54" spans="2:10" ht="15.6" x14ac:dyDescent="0.25">
      <c r="B54" s="122"/>
      <c r="C54" s="69" t="s">
        <v>479</v>
      </c>
      <c r="D54" s="61" t="s">
        <v>2</v>
      </c>
      <c r="E54" s="62" t="e">
        <f t="shared" si="6"/>
        <v>#REF!</v>
      </c>
      <c r="F54" s="62">
        <f>'Прайс для расчета'!E49</f>
        <v>1192.8</v>
      </c>
      <c r="G54" s="123" t="e">
        <f t="shared" si="3"/>
        <v>#REF!</v>
      </c>
      <c r="I54" s="134">
        <f>'Прайс для расчета (М)'!E49</f>
        <v>596.4</v>
      </c>
      <c r="J54" s="133" t="e">
        <f t="shared" si="4"/>
        <v>#REF!</v>
      </c>
    </row>
    <row r="55" spans="2:10" ht="15.6" x14ac:dyDescent="0.25">
      <c r="B55" s="122"/>
      <c r="C55" s="69" t="s">
        <v>480</v>
      </c>
      <c r="D55" s="61" t="s">
        <v>2</v>
      </c>
      <c r="E55" s="62" t="e">
        <f t="shared" si="6"/>
        <v>#REF!</v>
      </c>
      <c r="F55" s="62">
        <f>'Прайс для расчета'!E50</f>
        <v>1364.2650000000001</v>
      </c>
      <c r="G55" s="123" t="e">
        <f t="shared" si="3"/>
        <v>#REF!</v>
      </c>
      <c r="I55" s="134">
        <f>'Прайс для расчета (М)'!E50</f>
        <v>682.13250000000005</v>
      </c>
      <c r="J55" s="133" t="e">
        <f t="shared" si="4"/>
        <v>#REF!</v>
      </c>
    </row>
    <row r="56" spans="2:10" ht="15.6" x14ac:dyDescent="0.25">
      <c r="B56" s="122"/>
      <c r="C56" s="69" t="s">
        <v>331</v>
      </c>
      <c r="D56" s="61" t="s">
        <v>2</v>
      </c>
      <c r="E56" s="62" t="e">
        <f t="shared" si="6"/>
        <v>#REF!</v>
      </c>
      <c r="F56" s="62">
        <f>'Прайс для расчета'!E51</f>
        <v>849.87</v>
      </c>
      <c r="G56" s="123" t="e">
        <f t="shared" si="3"/>
        <v>#REF!</v>
      </c>
      <c r="I56" s="134">
        <f>'Прайс для расчета (М)'!E51</f>
        <v>424.935</v>
      </c>
      <c r="J56" s="133" t="e">
        <f t="shared" si="4"/>
        <v>#REF!</v>
      </c>
    </row>
    <row r="57" spans="2:10" ht="15.6" x14ac:dyDescent="0.25">
      <c r="B57" s="122"/>
      <c r="C57" s="69" t="s">
        <v>332</v>
      </c>
      <c r="D57" s="61" t="s">
        <v>2</v>
      </c>
      <c r="E57" s="62" t="e">
        <f t="shared" si="6"/>
        <v>#REF!</v>
      </c>
      <c r="F57" s="62">
        <f>'Прайс для расчета'!E52</f>
        <v>506.94</v>
      </c>
      <c r="G57" s="123" t="e">
        <f t="shared" si="3"/>
        <v>#REF!</v>
      </c>
      <c r="I57" s="134">
        <f>'Прайс для расчета (М)'!E52</f>
        <v>253.47</v>
      </c>
      <c r="J57" s="133" t="e">
        <f t="shared" si="4"/>
        <v>#REF!</v>
      </c>
    </row>
    <row r="58" spans="2:10" ht="15.6" x14ac:dyDescent="0.25">
      <c r="B58" s="122"/>
      <c r="C58" s="69" t="s">
        <v>333</v>
      </c>
      <c r="D58" s="61" t="s">
        <v>2</v>
      </c>
      <c r="E58" s="62" t="e">
        <f t="shared" si="6"/>
        <v>#REF!</v>
      </c>
      <c r="F58" s="62">
        <f>'Прайс для расчета'!E53</f>
        <v>5093.2559999999994</v>
      </c>
      <c r="G58" s="123" t="e">
        <f t="shared" si="3"/>
        <v>#REF!</v>
      </c>
      <c r="I58" s="134">
        <f>'Прайс для расчета (М)'!E53</f>
        <v>2546.6279999999997</v>
      </c>
      <c r="J58" s="133" t="e">
        <f t="shared" si="4"/>
        <v>#REF!</v>
      </c>
    </row>
    <row r="59" spans="2:10" ht="15.6" x14ac:dyDescent="0.25">
      <c r="B59" s="122"/>
      <c r="C59" s="69" t="s">
        <v>692</v>
      </c>
      <c r="D59" s="61" t="s">
        <v>0</v>
      </c>
      <c r="E59" s="62" t="e">
        <f t="shared" si="6"/>
        <v>#REF!</v>
      </c>
      <c r="F59" s="62">
        <f>'Прайс для расчета'!E28</f>
        <v>1186.836</v>
      </c>
      <c r="G59" s="123" t="e">
        <f t="shared" si="3"/>
        <v>#REF!</v>
      </c>
      <c r="I59" s="134">
        <f>'Прайс для расчета (М)'!E28</f>
        <v>593.41800000000001</v>
      </c>
      <c r="J59" s="133" t="e">
        <f t="shared" si="4"/>
        <v>#REF!</v>
      </c>
    </row>
    <row r="60" spans="2:10" ht="15.6" x14ac:dyDescent="0.25">
      <c r="B60" s="122">
        <f>IF(SUM(B61:B68)&gt;0,1,0)</f>
        <v>0</v>
      </c>
      <c r="C60" s="66" t="s">
        <v>44</v>
      </c>
      <c r="D60" s="61"/>
      <c r="E60" s="62"/>
      <c r="F60" s="62"/>
      <c r="G60" s="123"/>
    </row>
    <row r="61" spans="2:10" ht="15.6" x14ac:dyDescent="0.25">
      <c r="B61" s="122"/>
      <c r="C61" s="69" t="s">
        <v>45</v>
      </c>
      <c r="D61" s="61" t="s">
        <v>3</v>
      </c>
      <c r="E61" s="62">
        <v>1</v>
      </c>
      <c r="F61" s="62">
        <f>'Прайс для расчета'!E54</f>
        <v>335.47500000000002</v>
      </c>
      <c r="G61" s="123">
        <f t="shared" ref="G61:G68" si="7">F61*E61</f>
        <v>335.47500000000002</v>
      </c>
      <c r="I61" s="134">
        <f>'Прайс для расчета (М)'!E54</f>
        <v>167.73750000000001</v>
      </c>
      <c r="J61" s="133">
        <f t="shared" ref="J61:J68" si="8">I61*E61</f>
        <v>167.73750000000001</v>
      </c>
    </row>
    <row r="62" spans="2:10" ht="15.6" x14ac:dyDescent="0.25">
      <c r="B62" s="122"/>
      <c r="C62" s="69" t="s">
        <v>46</v>
      </c>
      <c r="D62" s="61" t="s">
        <v>3</v>
      </c>
      <c r="E62" s="62">
        <v>1</v>
      </c>
      <c r="F62" s="62">
        <f>'Прайс для расчета'!E55</f>
        <v>137.172</v>
      </c>
      <c r="G62" s="123">
        <f t="shared" si="7"/>
        <v>137.172</v>
      </c>
      <c r="I62" s="134">
        <f>'Прайс для расчета (М)'!E55</f>
        <v>68.585999999999999</v>
      </c>
      <c r="J62" s="133">
        <f t="shared" si="8"/>
        <v>68.585999999999999</v>
      </c>
    </row>
    <row r="63" spans="2:10" ht="15.6" x14ac:dyDescent="0.25">
      <c r="B63" s="122"/>
      <c r="C63" s="69" t="s">
        <v>60</v>
      </c>
      <c r="D63" s="61" t="s">
        <v>3</v>
      </c>
      <c r="E63" s="62">
        <v>1</v>
      </c>
      <c r="F63" s="62">
        <f>'Прайс для расчета'!E56</f>
        <v>205.75799999999998</v>
      </c>
      <c r="G63" s="123">
        <f t="shared" si="7"/>
        <v>205.75799999999998</v>
      </c>
      <c r="I63" s="134">
        <f>'Прайс для расчета (М)'!E56</f>
        <v>102.87899999999999</v>
      </c>
      <c r="J63" s="133">
        <f t="shared" si="8"/>
        <v>102.87899999999999</v>
      </c>
    </row>
    <row r="64" spans="2:10" ht="15.6" x14ac:dyDescent="0.25">
      <c r="B64" s="122"/>
      <c r="C64" s="69" t="s">
        <v>47</v>
      </c>
      <c r="D64" s="61" t="s">
        <v>3</v>
      </c>
      <c r="E64" s="62">
        <v>1</v>
      </c>
      <c r="F64" s="62">
        <f>'Прайс для расчета'!E57</f>
        <v>137.172</v>
      </c>
      <c r="G64" s="123">
        <f t="shared" si="7"/>
        <v>137.172</v>
      </c>
      <c r="I64" s="134">
        <f>'Прайс для расчета (М)'!E57</f>
        <v>68.585999999999999</v>
      </c>
      <c r="J64" s="133">
        <f t="shared" si="8"/>
        <v>68.585999999999999</v>
      </c>
    </row>
    <row r="65" spans="2:10" ht="15.6" x14ac:dyDescent="0.25">
      <c r="B65" s="122"/>
      <c r="C65" s="69" t="s">
        <v>48</v>
      </c>
      <c r="D65" s="61" t="s">
        <v>3</v>
      </c>
      <c r="E65" s="62">
        <v>1</v>
      </c>
      <c r="F65" s="62">
        <f>'Прайс для расчета'!E58</f>
        <v>205.75799999999998</v>
      </c>
      <c r="G65" s="123">
        <f t="shared" si="7"/>
        <v>205.75799999999998</v>
      </c>
      <c r="I65" s="134">
        <f>'Прайс для расчета (М)'!E58</f>
        <v>102.87899999999999</v>
      </c>
      <c r="J65" s="133">
        <f t="shared" si="8"/>
        <v>102.87899999999999</v>
      </c>
    </row>
    <row r="66" spans="2:10" ht="15.6" x14ac:dyDescent="0.25">
      <c r="B66" s="122"/>
      <c r="C66" s="69" t="s">
        <v>49</v>
      </c>
      <c r="D66" s="61" t="s">
        <v>3</v>
      </c>
      <c r="E66" s="62">
        <v>1</v>
      </c>
      <c r="F66" s="62">
        <f>'Прайс для расчета'!E59</f>
        <v>43.239000000000004</v>
      </c>
      <c r="G66" s="123">
        <f t="shared" si="7"/>
        <v>43.239000000000004</v>
      </c>
      <c r="I66" s="134">
        <f>'Прайс для расчета (М)'!E59</f>
        <v>21.619500000000002</v>
      </c>
      <c r="J66" s="133">
        <f t="shared" si="8"/>
        <v>21.619500000000002</v>
      </c>
    </row>
    <row r="67" spans="2:10" ht="15.6" x14ac:dyDescent="0.25">
      <c r="B67" s="122"/>
      <c r="C67" s="69" t="s">
        <v>50</v>
      </c>
      <c r="D67" s="61" t="s">
        <v>3</v>
      </c>
      <c r="E67" s="62">
        <v>1</v>
      </c>
      <c r="F67" s="62">
        <f>'Прайс для расчета'!E60</f>
        <v>86.478000000000009</v>
      </c>
      <c r="G67" s="123">
        <f t="shared" si="7"/>
        <v>86.478000000000009</v>
      </c>
      <c r="I67" s="134">
        <f>'Прайс для расчета (М)'!E60</f>
        <v>43.239000000000004</v>
      </c>
      <c r="J67" s="133">
        <f t="shared" si="8"/>
        <v>43.239000000000004</v>
      </c>
    </row>
    <row r="68" spans="2:10" ht="15.6" x14ac:dyDescent="0.25">
      <c r="B68" s="122"/>
      <c r="C68" s="69" t="s">
        <v>51</v>
      </c>
      <c r="D68" s="61" t="s">
        <v>3</v>
      </c>
      <c r="E68" s="62">
        <v>1</v>
      </c>
      <c r="F68" s="62">
        <f>'Прайс для расчета'!E61</f>
        <v>43.239000000000004</v>
      </c>
      <c r="G68" s="123">
        <f t="shared" si="7"/>
        <v>43.239000000000004</v>
      </c>
      <c r="I68" s="134">
        <f>'Прайс для расчета (М)'!E61</f>
        <v>21.619500000000002</v>
      </c>
      <c r="J68" s="133">
        <f t="shared" si="8"/>
        <v>21.619500000000002</v>
      </c>
    </row>
    <row r="69" spans="2:10" ht="15.6" x14ac:dyDescent="0.25">
      <c r="B69" s="122">
        <f>IF(SUM(B70:B86)&gt;0,1,0)</f>
        <v>0</v>
      </c>
      <c r="C69" s="60" t="s">
        <v>879</v>
      </c>
      <c r="D69" s="61"/>
      <c r="E69" s="62"/>
      <c r="F69" s="62"/>
      <c r="G69" s="123"/>
    </row>
    <row r="70" spans="2:10" ht="15.6" x14ac:dyDescent="0.25">
      <c r="B70" s="122"/>
      <c r="C70" s="69" t="s">
        <v>334</v>
      </c>
      <c r="D70" s="61" t="s">
        <v>3</v>
      </c>
      <c r="E70" s="62">
        <f>$A$2</f>
        <v>0</v>
      </c>
      <c r="F70" s="62">
        <f>'Прайс для расчета'!E62</f>
        <v>110.25</v>
      </c>
      <c r="G70" s="123">
        <f t="shared" ref="G70:G86" si="9">F70*E70</f>
        <v>0</v>
      </c>
      <c r="I70" s="134">
        <f>'Прайс для расчета (М)'!E62</f>
        <v>55.125</v>
      </c>
      <c r="J70" s="133">
        <f t="shared" ref="J70:J86" si="10">I70*E70</f>
        <v>0</v>
      </c>
    </row>
    <row r="71" spans="2:10" ht="15.6" x14ac:dyDescent="0.25">
      <c r="B71" s="122"/>
      <c r="C71" s="69" t="s">
        <v>335</v>
      </c>
      <c r="D71" s="61" t="s">
        <v>2</v>
      </c>
      <c r="E71" s="62">
        <f t="shared" ref="E71:E76" si="11">$A$4</f>
        <v>0</v>
      </c>
      <c r="F71" s="62">
        <f>'Прайс для расчета'!E63</f>
        <v>248.99699999999999</v>
      </c>
      <c r="G71" s="123">
        <f t="shared" si="9"/>
        <v>0</v>
      </c>
      <c r="I71" s="134">
        <f>'Прайс для расчета (М)'!E63</f>
        <v>124.49849999999999</v>
      </c>
      <c r="J71" s="133">
        <f t="shared" si="10"/>
        <v>0</v>
      </c>
    </row>
    <row r="72" spans="2:10" ht="15.6" x14ac:dyDescent="0.25">
      <c r="B72" s="122"/>
      <c r="C72" s="69" t="s">
        <v>336</v>
      </c>
      <c r="D72" s="61" t="s">
        <v>2</v>
      </c>
      <c r="E72" s="62">
        <f t="shared" si="11"/>
        <v>0</v>
      </c>
      <c r="F72" s="62">
        <f>'Прайс для расчета'!E64</f>
        <v>205.75799999999998</v>
      </c>
      <c r="G72" s="123">
        <f t="shared" si="9"/>
        <v>0</v>
      </c>
      <c r="I72" s="134">
        <f>'Прайс для расчета (М)'!E64</f>
        <v>102.87899999999999</v>
      </c>
      <c r="J72" s="133">
        <f t="shared" si="10"/>
        <v>0</v>
      </c>
    </row>
    <row r="73" spans="2:10" ht="15.6" x14ac:dyDescent="0.25">
      <c r="B73" s="122"/>
      <c r="C73" s="69" t="s">
        <v>481</v>
      </c>
      <c r="D73" s="61" t="s">
        <v>2</v>
      </c>
      <c r="E73" s="62">
        <f t="shared" si="11"/>
        <v>0</v>
      </c>
      <c r="F73" s="62">
        <f>'Прайс для расчета'!E65</f>
        <v>155.06400000000002</v>
      </c>
      <c r="G73" s="123">
        <f t="shared" si="9"/>
        <v>0</v>
      </c>
      <c r="I73" s="134">
        <f>'Прайс для расчета (М)'!E65</f>
        <v>77.532000000000011</v>
      </c>
      <c r="J73" s="133">
        <f t="shared" si="10"/>
        <v>0</v>
      </c>
    </row>
    <row r="74" spans="2:10" ht="15.6" x14ac:dyDescent="0.25">
      <c r="B74" s="122"/>
      <c r="C74" s="69" t="s">
        <v>482</v>
      </c>
      <c r="D74" s="61" t="s">
        <v>2</v>
      </c>
      <c r="E74" s="62">
        <f t="shared" si="11"/>
        <v>0</v>
      </c>
      <c r="F74" s="62">
        <f>'Прайс для расчета'!E66</f>
        <v>137.172</v>
      </c>
      <c r="G74" s="123">
        <f t="shared" si="9"/>
        <v>0</v>
      </c>
      <c r="I74" s="134">
        <f>'Прайс для расчета (М)'!E66</f>
        <v>68.585999999999999</v>
      </c>
      <c r="J74" s="133">
        <f t="shared" si="10"/>
        <v>0</v>
      </c>
    </row>
    <row r="75" spans="2:10" ht="15.6" x14ac:dyDescent="0.25">
      <c r="B75" s="122"/>
      <c r="C75" s="69" t="s">
        <v>483</v>
      </c>
      <c r="D75" s="61" t="s">
        <v>2</v>
      </c>
      <c r="E75" s="62">
        <f t="shared" si="11"/>
        <v>0</v>
      </c>
      <c r="F75" s="62">
        <f>'Прайс для расчета'!E67</f>
        <v>86.478000000000009</v>
      </c>
      <c r="G75" s="123">
        <f t="shared" si="9"/>
        <v>0</v>
      </c>
      <c r="I75" s="134">
        <f>'Прайс для расчета (М)'!E67</f>
        <v>43.239000000000004</v>
      </c>
      <c r="J75" s="133">
        <f t="shared" si="10"/>
        <v>0</v>
      </c>
    </row>
    <row r="76" spans="2:10" ht="15.6" x14ac:dyDescent="0.25">
      <c r="B76" s="122"/>
      <c r="C76" s="69" t="s">
        <v>484</v>
      </c>
      <c r="D76" s="61" t="s">
        <v>2</v>
      </c>
      <c r="E76" s="62">
        <f t="shared" si="11"/>
        <v>0</v>
      </c>
      <c r="F76" s="62">
        <f>'Прайс для расчета'!E68</f>
        <v>102.87899999999999</v>
      </c>
      <c r="G76" s="123">
        <f t="shared" si="9"/>
        <v>0</v>
      </c>
      <c r="I76" s="134">
        <f>'Прайс для расчета (М)'!E68</f>
        <v>51.439499999999995</v>
      </c>
      <c r="J76" s="133">
        <f t="shared" si="10"/>
        <v>0</v>
      </c>
    </row>
    <row r="77" spans="2:10" ht="15.6" x14ac:dyDescent="0.25">
      <c r="B77" s="122"/>
      <c r="C77" s="69" t="s">
        <v>337</v>
      </c>
      <c r="D77" s="61" t="s">
        <v>0</v>
      </c>
      <c r="E77" s="62">
        <v>1</v>
      </c>
      <c r="F77" s="62">
        <f>'Прайс для расчета'!E69</f>
        <v>164.01</v>
      </c>
      <c r="G77" s="123">
        <f t="shared" si="9"/>
        <v>164.01</v>
      </c>
      <c r="I77" s="134">
        <f>'Прайс для расчета (М)'!E69</f>
        <v>82.004999999999995</v>
      </c>
      <c r="J77" s="133">
        <f t="shared" si="10"/>
        <v>82.004999999999995</v>
      </c>
    </row>
    <row r="78" spans="2:10" ht="15.6" x14ac:dyDescent="0.25">
      <c r="B78" s="122"/>
      <c r="C78" s="69" t="s">
        <v>661</v>
      </c>
      <c r="D78" s="61" t="s">
        <v>2</v>
      </c>
      <c r="E78" s="62">
        <f>$A$4</f>
        <v>0</v>
      </c>
      <c r="F78" s="62">
        <f>'Прайс для расчета'!E70</f>
        <v>377.22300000000001</v>
      </c>
      <c r="G78" s="123">
        <f t="shared" si="9"/>
        <v>0</v>
      </c>
      <c r="I78" s="134">
        <f>'Прайс для расчета (М)'!E70</f>
        <v>188.61150000000001</v>
      </c>
      <c r="J78" s="133">
        <f t="shared" si="10"/>
        <v>0</v>
      </c>
    </row>
    <row r="79" spans="2:10" ht="15.6" x14ac:dyDescent="0.25">
      <c r="B79" s="122"/>
      <c r="C79" s="69" t="s">
        <v>338</v>
      </c>
      <c r="D79" s="61" t="s">
        <v>3</v>
      </c>
      <c r="E79" s="62">
        <f>ROUND($E$7*2,0)</f>
        <v>0</v>
      </c>
      <c r="F79" s="62">
        <f>'Прайс для расчета'!E71</f>
        <v>274.34399999999999</v>
      </c>
      <c r="G79" s="123">
        <f t="shared" si="9"/>
        <v>0</v>
      </c>
      <c r="I79" s="134">
        <f>'Прайс для расчета (М)'!E71</f>
        <v>137.172</v>
      </c>
      <c r="J79" s="133">
        <f t="shared" si="10"/>
        <v>0</v>
      </c>
    </row>
    <row r="80" spans="2:10" ht="15.6" x14ac:dyDescent="0.25">
      <c r="B80" s="122"/>
      <c r="C80" s="69" t="s">
        <v>138</v>
      </c>
      <c r="D80" s="61" t="s">
        <v>3</v>
      </c>
      <c r="E80" s="62">
        <f t="shared" ref="E80:E86" si="12">$A$4</f>
        <v>0</v>
      </c>
      <c r="F80" s="62">
        <f>'Прайс для расчета'!E72</f>
        <v>204.75</v>
      </c>
      <c r="G80" s="123">
        <f t="shared" si="9"/>
        <v>0</v>
      </c>
      <c r="I80" s="134">
        <f>'Прайс для расчета (М)'!E72</f>
        <v>102.375</v>
      </c>
      <c r="J80" s="133">
        <f t="shared" si="10"/>
        <v>0</v>
      </c>
    </row>
    <row r="81" spans="2:10" ht="15.6" x14ac:dyDescent="0.25">
      <c r="B81" s="122"/>
      <c r="C81" s="69" t="s">
        <v>339</v>
      </c>
      <c r="D81" s="61" t="s">
        <v>2</v>
      </c>
      <c r="E81" s="62">
        <f t="shared" si="12"/>
        <v>0</v>
      </c>
      <c r="F81" s="62">
        <f>'Прайс для расчета'!E73</f>
        <v>274.34399999999999</v>
      </c>
      <c r="G81" s="123">
        <f t="shared" si="9"/>
        <v>0</v>
      </c>
      <c r="I81" s="134">
        <f>'Прайс для расчета (М)'!E73</f>
        <v>137.172</v>
      </c>
      <c r="J81" s="133">
        <f t="shared" si="10"/>
        <v>0</v>
      </c>
    </row>
    <row r="82" spans="2:10" ht="15.6" x14ac:dyDescent="0.25">
      <c r="B82" s="122"/>
      <c r="C82" s="69" t="s">
        <v>156</v>
      </c>
      <c r="D82" s="61" t="s">
        <v>2</v>
      </c>
      <c r="E82" s="62">
        <f t="shared" si="12"/>
        <v>0</v>
      </c>
      <c r="F82" s="62">
        <f>'Прайс для расчета'!E74</f>
        <v>223.65</v>
      </c>
      <c r="G82" s="123">
        <f t="shared" si="9"/>
        <v>0</v>
      </c>
      <c r="I82" s="134">
        <f>'Прайс для расчета (М)'!E74</f>
        <v>111.825</v>
      </c>
      <c r="J82" s="133">
        <f t="shared" si="10"/>
        <v>0</v>
      </c>
    </row>
    <row r="83" spans="2:10" ht="15.6" x14ac:dyDescent="0.25">
      <c r="B83" s="122"/>
      <c r="C83" s="69" t="s">
        <v>340</v>
      </c>
      <c r="D83" s="61" t="s">
        <v>2</v>
      </c>
      <c r="E83" s="62">
        <f t="shared" si="12"/>
        <v>0</v>
      </c>
      <c r="F83" s="62">
        <f>'Прайс для расчета'!E75</f>
        <v>506.94</v>
      </c>
      <c r="G83" s="123">
        <f t="shared" si="9"/>
        <v>0</v>
      </c>
      <c r="I83" s="134">
        <f>'Прайс для расчета (М)'!E75</f>
        <v>253.47</v>
      </c>
      <c r="J83" s="133">
        <f t="shared" si="10"/>
        <v>0</v>
      </c>
    </row>
    <row r="84" spans="2:10" ht="15.6" x14ac:dyDescent="0.25">
      <c r="B84" s="122"/>
      <c r="C84" s="69" t="s">
        <v>54</v>
      </c>
      <c r="D84" s="61" t="s">
        <v>2</v>
      </c>
      <c r="E84" s="62">
        <f t="shared" si="12"/>
        <v>0</v>
      </c>
      <c r="F84" s="62">
        <f>'Прайс для расчета'!E76</f>
        <v>591.92700000000002</v>
      </c>
      <c r="G84" s="123">
        <f t="shared" si="9"/>
        <v>0</v>
      </c>
      <c r="I84" s="134">
        <f>'Прайс для расчета (М)'!E76</f>
        <v>295.96350000000001</v>
      </c>
      <c r="J84" s="133">
        <f t="shared" si="10"/>
        <v>0</v>
      </c>
    </row>
    <row r="85" spans="2:10" ht="15.6" x14ac:dyDescent="0.25">
      <c r="B85" s="122"/>
      <c r="C85" s="69" t="s">
        <v>221</v>
      </c>
      <c r="D85" s="61" t="s">
        <v>2</v>
      </c>
      <c r="E85" s="62">
        <f t="shared" si="12"/>
        <v>0</v>
      </c>
      <c r="F85" s="62">
        <f>'Прайс для расчета'!E77</f>
        <v>210</v>
      </c>
      <c r="G85" s="123">
        <f t="shared" si="9"/>
        <v>0</v>
      </c>
      <c r="I85" s="134">
        <f>'Прайс для расчета (М)'!E77</f>
        <v>105</v>
      </c>
      <c r="J85" s="133">
        <f t="shared" si="10"/>
        <v>0</v>
      </c>
    </row>
    <row r="86" spans="2:10" ht="15.6" x14ac:dyDescent="0.25">
      <c r="B86" s="122"/>
      <c r="C86" s="69" t="s">
        <v>157</v>
      </c>
      <c r="D86" s="61" t="s">
        <v>2</v>
      </c>
      <c r="E86" s="62">
        <f t="shared" si="12"/>
        <v>0</v>
      </c>
      <c r="F86" s="62">
        <f>'Прайс для расчета'!E78</f>
        <v>240.05099999999999</v>
      </c>
      <c r="G86" s="123">
        <f t="shared" si="9"/>
        <v>0</v>
      </c>
      <c r="I86" s="134">
        <f>'Прайс для расчета (М)'!E78</f>
        <v>120.02549999999999</v>
      </c>
      <c r="J86" s="133">
        <f t="shared" si="10"/>
        <v>0</v>
      </c>
    </row>
    <row r="87" spans="2:10" ht="15.6" x14ac:dyDescent="0.25">
      <c r="B87" s="122">
        <f>IF(SUM(B88:B96)&gt;0,1,0)</f>
        <v>0</v>
      </c>
      <c r="C87" s="60" t="s">
        <v>880</v>
      </c>
      <c r="D87" s="61"/>
      <c r="E87" s="62"/>
      <c r="F87" s="62"/>
      <c r="G87" s="123"/>
    </row>
    <row r="88" spans="2:10" ht="15.6" x14ac:dyDescent="0.25">
      <c r="B88" s="122"/>
      <c r="C88" s="69" t="s">
        <v>662</v>
      </c>
      <c r="D88" s="61" t="s">
        <v>3</v>
      </c>
      <c r="E88" s="62">
        <v>1</v>
      </c>
      <c r="F88" s="62">
        <f>'Прайс для расчета'!E79</f>
        <v>86.478000000000009</v>
      </c>
      <c r="G88" s="123">
        <f t="shared" ref="G88:G96" si="13">F88*E88</f>
        <v>86.478000000000009</v>
      </c>
      <c r="I88" s="134">
        <f>'Прайс для расчета (М)'!E79</f>
        <v>43.239000000000004</v>
      </c>
      <c r="J88" s="133">
        <f t="shared" ref="J88:J96" si="14">I88*E88</f>
        <v>43.239000000000004</v>
      </c>
    </row>
    <row r="89" spans="2:10" ht="15.6" x14ac:dyDescent="0.25">
      <c r="B89" s="122"/>
      <c r="C89" s="69" t="s">
        <v>485</v>
      </c>
      <c r="D89" s="61" t="s">
        <v>2</v>
      </c>
      <c r="E89" s="62">
        <v>1</v>
      </c>
      <c r="F89" s="62">
        <f>'Прайс для расчета'!E80</f>
        <v>420.46199999999999</v>
      </c>
      <c r="G89" s="123">
        <f t="shared" si="13"/>
        <v>420.46199999999999</v>
      </c>
      <c r="I89" s="134">
        <f>'Прайс для расчета (М)'!E80</f>
        <v>210.23099999999999</v>
      </c>
      <c r="J89" s="133">
        <f t="shared" si="14"/>
        <v>210.23099999999999</v>
      </c>
    </row>
    <row r="90" spans="2:10" ht="15.6" x14ac:dyDescent="0.25">
      <c r="B90" s="122"/>
      <c r="C90" s="69" t="s">
        <v>486</v>
      </c>
      <c r="D90" s="61" t="s">
        <v>2</v>
      </c>
      <c r="E90" s="62">
        <v>1</v>
      </c>
      <c r="F90" s="62">
        <f>'Прайс для расчета'!E81</f>
        <v>591.92700000000002</v>
      </c>
      <c r="G90" s="123">
        <f t="shared" si="13"/>
        <v>591.92700000000002</v>
      </c>
      <c r="I90" s="134">
        <f>'Прайс для расчета (М)'!E81</f>
        <v>295.96350000000001</v>
      </c>
      <c r="J90" s="133">
        <f t="shared" si="14"/>
        <v>295.96350000000001</v>
      </c>
    </row>
    <row r="91" spans="2:10" ht="15.6" x14ac:dyDescent="0.25">
      <c r="B91" s="122"/>
      <c r="C91" s="69" t="s">
        <v>341</v>
      </c>
      <c r="D91" s="61" t="s">
        <v>0</v>
      </c>
      <c r="E91" s="62">
        <v>1</v>
      </c>
      <c r="F91" s="62">
        <f>'Прайс для расчета'!E82</f>
        <v>335.47500000000002</v>
      </c>
      <c r="G91" s="123">
        <f t="shared" si="13"/>
        <v>335.47500000000002</v>
      </c>
      <c r="I91" s="134">
        <f>'Прайс для расчета (М)'!E82</f>
        <v>167.73750000000001</v>
      </c>
      <c r="J91" s="133">
        <f t="shared" si="14"/>
        <v>167.73750000000001</v>
      </c>
    </row>
    <row r="92" spans="2:10" ht="15.6" x14ac:dyDescent="0.25">
      <c r="B92" s="122"/>
      <c r="C92" s="69" t="s">
        <v>61</v>
      </c>
      <c r="D92" s="61" t="s">
        <v>3</v>
      </c>
      <c r="E92" s="62">
        <v>1</v>
      </c>
      <c r="F92" s="62">
        <f>'Прайс для расчета'!E83</f>
        <v>102.87899999999999</v>
      </c>
      <c r="G92" s="123">
        <f t="shared" si="13"/>
        <v>102.87899999999999</v>
      </c>
      <c r="I92" s="134">
        <f>'Прайс для расчета (М)'!E83</f>
        <v>51.439499999999995</v>
      </c>
      <c r="J92" s="133">
        <f t="shared" si="14"/>
        <v>51.439499999999995</v>
      </c>
    </row>
    <row r="93" spans="2:10" ht="15.6" x14ac:dyDescent="0.25">
      <c r="B93" s="122"/>
      <c r="C93" s="69" t="s">
        <v>342</v>
      </c>
      <c r="D93" s="61" t="s">
        <v>2</v>
      </c>
      <c r="E93" s="62">
        <v>1</v>
      </c>
      <c r="F93" s="62">
        <f>'Прайс для расчета'!E84</f>
        <v>644.11199999999997</v>
      </c>
      <c r="G93" s="123">
        <f t="shared" si="13"/>
        <v>644.11199999999997</v>
      </c>
      <c r="I93" s="134">
        <f>'Прайс для расчета (М)'!E84</f>
        <v>322.05599999999998</v>
      </c>
      <c r="J93" s="133">
        <f t="shared" si="14"/>
        <v>322.05599999999998</v>
      </c>
    </row>
    <row r="94" spans="2:10" ht="15.6" x14ac:dyDescent="0.25">
      <c r="B94" s="122"/>
      <c r="C94" s="69" t="s">
        <v>343</v>
      </c>
      <c r="D94" s="61" t="s">
        <v>2</v>
      </c>
      <c r="E94" s="62">
        <v>1</v>
      </c>
      <c r="F94" s="62">
        <f>'Прайс для расчета'!E85</f>
        <v>678.40500000000009</v>
      </c>
      <c r="G94" s="123">
        <f t="shared" si="13"/>
        <v>678.40500000000009</v>
      </c>
      <c r="I94" s="134">
        <f>'Прайс для расчета (М)'!E85</f>
        <v>339.20250000000004</v>
      </c>
      <c r="J94" s="133">
        <f t="shared" si="14"/>
        <v>339.20250000000004</v>
      </c>
    </row>
    <row r="95" spans="2:10" ht="15.6" x14ac:dyDescent="0.25">
      <c r="B95" s="122"/>
      <c r="C95" s="69" t="s">
        <v>663</v>
      </c>
      <c r="D95" s="61" t="s">
        <v>3</v>
      </c>
      <c r="E95" s="62">
        <v>1</v>
      </c>
      <c r="F95" s="62">
        <f>'Прайс для расчета'!E86</f>
        <v>395.11499999999995</v>
      </c>
      <c r="G95" s="123">
        <f t="shared" si="13"/>
        <v>395.11499999999995</v>
      </c>
      <c r="I95" s="134">
        <f>'Прайс для расчета (М)'!E86</f>
        <v>197.55749999999998</v>
      </c>
      <c r="J95" s="133">
        <f t="shared" si="14"/>
        <v>197.55749999999998</v>
      </c>
    </row>
    <row r="96" spans="2:10" ht="15.6" x14ac:dyDescent="0.25">
      <c r="B96" s="122"/>
      <c r="C96" s="69" t="s">
        <v>344</v>
      </c>
      <c r="D96" s="61" t="s">
        <v>2</v>
      </c>
      <c r="E96" s="62">
        <v>1</v>
      </c>
      <c r="F96" s="62">
        <f>'Прайс для расчета'!E87</f>
        <v>849.87</v>
      </c>
      <c r="G96" s="123">
        <f t="shared" si="13"/>
        <v>849.87</v>
      </c>
      <c r="I96" s="134">
        <f>'Прайс для расчета (М)'!E87</f>
        <v>424.935</v>
      </c>
      <c r="J96" s="133">
        <f t="shared" si="14"/>
        <v>424.935</v>
      </c>
    </row>
    <row r="97" spans="2:10" ht="15.6" x14ac:dyDescent="0.25">
      <c r="B97" s="122">
        <f>IF(SUM(B98:B104)&gt;0,1,0)</f>
        <v>0</v>
      </c>
      <c r="C97" s="60" t="s">
        <v>881</v>
      </c>
      <c r="D97" s="61"/>
      <c r="E97" s="62"/>
      <c r="F97" s="62"/>
      <c r="G97" s="123"/>
    </row>
    <row r="98" spans="2:10" ht="15.6" x14ac:dyDescent="0.25">
      <c r="B98" s="122"/>
      <c r="C98" s="69" t="s">
        <v>158</v>
      </c>
      <c r="D98" s="61" t="s">
        <v>2</v>
      </c>
      <c r="E98" s="62">
        <v>1</v>
      </c>
      <c r="F98" s="62">
        <f>'Прайс для расчета'!E88</f>
        <v>987.04200000000003</v>
      </c>
      <c r="G98" s="123">
        <f t="shared" ref="G98:G104" si="15">F98*E98</f>
        <v>987.04200000000003</v>
      </c>
      <c r="I98" s="134">
        <f>'Прайс для расчета (М)'!E88</f>
        <v>493.52100000000002</v>
      </c>
      <c r="J98" s="133">
        <f t="shared" ref="J98:J104" si="16">I98*E98</f>
        <v>493.52100000000002</v>
      </c>
    </row>
    <row r="99" spans="2:10" ht="15.6" x14ac:dyDescent="0.25">
      <c r="B99" s="122"/>
      <c r="C99" s="69" t="s">
        <v>345</v>
      </c>
      <c r="D99" s="61" t="s">
        <v>645</v>
      </c>
      <c r="E99" s="62">
        <f>$E$7</f>
        <v>0</v>
      </c>
      <c r="F99" s="62">
        <f>'Прайс для расчета'!E89</f>
        <v>248.99699999999999</v>
      </c>
      <c r="G99" s="123">
        <f t="shared" si="15"/>
        <v>0</v>
      </c>
      <c r="I99" s="134">
        <f>'Прайс для расчета (М)'!E89</f>
        <v>124.49849999999999</v>
      </c>
      <c r="J99" s="133">
        <f t="shared" si="16"/>
        <v>0</v>
      </c>
    </row>
    <row r="100" spans="2:10" ht="15.6" x14ac:dyDescent="0.25">
      <c r="B100" s="122"/>
      <c r="C100" s="69" t="s">
        <v>62</v>
      </c>
      <c r="D100" s="61" t="s">
        <v>0</v>
      </c>
      <c r="E100" s="62">
        <v>1</v>
      </c>
      <c r="F100" s="62">
        <f>'Прайс для расчета'!E90</f>
        <v>326.529</v>
      </c>
      <c r="G100" s="123">
        <f t="shared" si="15"/>
        <v>326.529</v>
      </c>
      <c r="I100" s="134">
        <f>'Прайс для расчета (М)'!E90</f>
        <v>163.2645</v>
      </c>
      <c r="J100" s="133">
        <f t="shared" si="16"/>
        <v>163.2645</v>
      </c>
    </row>
    <row r="101" spans="2:10" ht="15.6" x14ac:dyDescent="0.25">
      <c r="B101" s="122"/>
      <c r="C101" s="69" t="s">
        <v>487</v>
      </c>
      <c r="D101" s="61" t="s">
        <v>0</v>
      </c>
      <c r="E101" s="62">
        <v>1</v>
      </c>
      <c r="F101" s="62">
        <f>'Прайс для расчета'!E91</f>
        <v>1698.249</v>
      </c>
      <c r="G101" s="123">
        <f t="shared" si="15"/>
        <v>1698.249</v>
      </c>
      <c r="I101" s="134">
        <f>'Прайс для расчета (М)'!E91</f>
        <v>849.12450000000001</v>
      </c>
      <c r="J101" s="133">
        <f t="shared" si="16"/>
        <v>849.12450000000001</v>
      </c>
    </row>
    <row r="102" spans="2:10" ht="15.6" x14ac:dyDescent="0.25">
      <c r="B102" s="122"/>
      <c r="C102" s="69" t="s">
        <v>346</v>
      </c>
      <c r="D102" s="61" t="s">
        <v>0</v>
      </c>
      <c r="E102" s="62">
        <v>1</v>
      </c>
      <c r="F102" s="62">
        <f>'Прайс для расчета'!E92</f>
        <v>335.47500000000002</v>
      </c>
      <c r="G102" s="123">
        <f t="shared" si="15"/>
        <v>335.47500000000002</v>
      </c>
      <c r="I102" s="134">
        <f>'Прайс для расчета (М)'!E92</f>
        <v>167.73750000000001</v>
      </c>
      <c r="J102" s="133">
        <f t="shared" si="16"/>
        <v>167.73750000000001</v>
      </c>
    </row>
    <row r="103" spans="2:10" ht="15.6" x14ac:dyDescent="0.25">
      <c r="B103" s="122"/>
      <c r="C103" s="69" t="s">
        <v>664</v>
      </c>
      <c r="D103" s="61" t="s">
        <v>645</v>
      </c>
      <c r="E103" s="62">
        <v>1</v>
      </c>
      <c r="F103" s="62">
        <f>'Прайс для расчета'!E93</f>
        <v>240.05099999999999</v>
      </c>
      <c r="G103" s="123">
        <f t="shared" si="15"/>
        <v>240.05099999999999</v>
      </c>
      <c r="I103" s="134">
        <f>'Прайс для расчета (М)'!E93</f>
        <v>120.02549999999999</v>
      </c>
      <c r="J103" s="133">
        <f t="shared" si="16"/>
        <v>120.02549999999999</v>
      </c>
    </row>
    <row r="104" spans="2:10" ht="15.6" x14ac:dyDescent="0.25">
      <c r="B104" s="122"/>
      <c r="C104" s="69" t="s">
        <v>665</v>
      </c>
      <c r="D104" s="61" t="s">
        <v>0</v>
      </c>
      <c r="E104" s="62">
        <v>1</v>
      </c>
      <c r="F104" s="62">
        <f>'Прайс для расчета'!E94</f>
        <v>102.87899999999999</v>
      </c>
      <c r="G104" s="123">
        <f t="shared" si="15"/>
        <v>102.87899999999999</v>
      </c>
      <c r="I104" s="134">
        <f>'Прайс для расчета (М)'!E94</f>
        <v>51.439499999999995</v>
      </c>
      <c r="J104" s="133">
        <f t="shared" si="16"/>
        <v>51.439499999999995</v>
      </c>
    </row>
    <row r="105" spans="2:10" ht="15.6" x14ac:dyDescent="0.25">
      <c r="B105" s="122">
        <f>IF(SUM(B106:B125)&gt;0,1,0)</f>
        <v>0</v>
      </c>
      <c r="C105" s="60" t="s">
        <v>882</v>
      </c>
      <c r="D105" s="61"/>
      <c r="E105" s="62"/>
      <c r="F105" s="62"/>
      <c r="G105" s="123"/>
    </row>
    <row r="106" spans="2:10" ht="15.6" x14ac:dyDescent="0.25">
      <c r="B106" s="122"/>
      <c r="C106" s="69" t="s">
        <v>666</v>
      </c>
      <c r="D106" s="61" t="s">
        <v>0</v>
      </c>
      <c r="E106" s="62">
        <v>1</v>
      </c>
      <c r="F106" s="62">
        <f>'Прайс для расчета'!E95</f>
        <v>472.5</v>
      </c>
      <c r="G106" s="123">
        <f t="shared" ref="G106:G125" si="17">F106*E106</f>
        <v>472.5</v>
      </c>
      <c r="I106" s="134">
        <f>'Прайс для расчета (М)'!E95</f>
        <v>236.25</v>
      </c>
      <c r="J106" s="133">
        <f t="shared" ref="J106:J125" si="18">I106*E106</f>
        <v>236.25</v>
      </c>
    </row>
    <row r="107" spans="2:10" ht="15.6" x14ac:dyDescent="0.25">
      <c r="B107" s="122"/>
      <c r="C107" s="69" t="s">
        <v>159</v>
      </c>
      <c r="D107" s="61" t="s">
        <v>0</v>
      </c>
      <c r="E107" s="62">
        <v>1</v>
      </c>
      <c r="F107" s="62">
        <f>'Прайс для расчета'!E96</f>
        <v>840</v>
      </c>
      <c r="G107" s="123">
        <f t="shared" si="17"/>
        <v>840</v>
      </c>
      <c r="I107" s="134">
        <f>'Прайс для расчета (М)'!E96</f>
        <v>420</v>
      </c>
      <c r="J107" s="133">
        <f t="shared" si="18"/>
        <v>420</v>
      </c>
    </row>
    <row r="108" spans="2:10" ht="15.6" x14ac:dyDescent="0.25">
      <c r="B108" s="122"/>
      <c r="C108" s="69" t="s">
        <v>63</v>
      </c>
      <c r="D108" s="61" t="s">
        <v>2</v>
      </c>
      <c r="E108" s="62">
        <v>1</v>
      </c>
      <c r="F108" s="62">
        <f>'Прайс для расчета'!E97</f>
        <v>420.46199999999999</v>
      </c>
      <c r="G108" s="123">
        <f t="shared" si="17"/>
        <v>420.46199999999999</v>
      </c>
      <c r="I108" s="134">
        <f>'Прайс для расчета (М)'!E97</f>
        <v>210.23099999999999</v>
      </c>
      <c r="J108" s="133">
        <f t="shared" si="18"/>
        <v>210.23099999999999</v>
      </c>
    </row>
    <row r="109" spans="2:10" ht="15.6" x14ac:dyDescent="0.25">
      <c r="B109" s="122"/>
      <c r="C109" s="69" t="s">
        <v>488</v>
      </c>
      <c r="D109" s="61" t="s">
        <v>0</v>
      </c>
      <c r="E109" s="62">
        <v>1</v>
      </c>
      <c r="F109" s="62">
        <f>'Прайс для расчета'!E98</f>
        <v>1021.3349999999999</v>
      </c>
      <c r="G109" s="123">
        <f t="shared" si="17"/>
        <v>1021.3349999999999</v>
      </c>
      <c r="I109" s="134">
        <f>'Прайс для расчета (М)'!E98</f>
        <v>510.66749999999996</v>
      </c>
      <c r="J109" s="133">
        <f t="shared" si="18"/>
        <v>510.66749999999996</v>
      </c>
    </row>
    <row r="110" spans="2:10" ht="15.6" x14ac:dyDescent="0.25">
      <c r="B110" s="122"/>
      <c r="C110" s="69" t="s">
        <v>489</v>
      </c>
      <c r="D110" s="61" t="s">
        <v>0</v>
      </c>
      <c r="E110" s="62">
        <v>1</v>
      </c>
      <c r="F110" s="62">
        <f>'Прайс для расчета'!E99</f>
        <v>4179</v>
      </c>
      <c r="G110" s="123">
        <f t="shared" si="17"/>
        <v>4179</v>
      </c>
      <c r="I110" s="134">
        <f>'Прайс для расчета (М)'!E99</f>
        <v>2089.5</v>
      </c>
      <c r="J110" s="133">
        <f t="shared" si="18"/>
        <v>2089.5</v>
      </c>
    </row>
    <row r="111" spans="2:10" ht="15.6" x14ac:dyDescent="0.25">
      <c r="B111" s="122"/>
      <c r="C111" s="69" t="s">
        <v>490</v>
      </c>
      <c r="D111" s="61" t="s">
        <v>0</v>
      </c>
      <c r="E111" s="62">
        <v>1</v>
      </c>
      <c r="F111" s="62">
        <f>'Прайс для расчета'!E100</f>
        <v>1183.854</v>
      </c>
      <c r="G111" s="123">
        <f t="shared" si="17"/>
        <v>1183.854</v>
      </c>
      <c r="I111" s="134">
        <f>'Прайс для расчета (М)'!E100</f>
        <v>591.92700000000002</v>
      </c>
      <c r="J111" s="133">
        <f t="shared" si="18"/>
        <v>591.92700000000002</v>
      </c>
    </row>
    <row r="112" spans="2:10" ht="15.6" x14ac:dyDescent="0.25">
      <c r="B112" s="122"/>
      <c r="C112" s="69" t="s">
        <v>491</v>
      </c>
      <c r="D112" s="61" t="s">
        <v>0</v>
      </c>
      <c r="E112" s="62">
        <v>1</v>
      </c>
      <c r="F112" s="62">
        <f>'Прайс для расчета'!E101</f>
        <v>3129</v>
      </c>
      <c r="G112" s="123">
        <f t="shared" si="17"/>
        <v>3129</v>
      </c>
      <c r="I112" s="134">
        <f>'Прайс для расчета (М)'!E101</f>
        <v>1564.5</v>
      </c>
      <c r="J112" s="133">
        <f t="shared" si="18"/>
        <v>1564.5</v>
      </c>
    </row>
    <row r="113" spans="2:10" ht="15.6" x14ac:dyDescent="0.25">
      <c r="B113" s="122"/>
      <c r="C113" s="69" t="s">
        <v>667</v>
      </c>
      <c r="D113" s="61" t="s">
        <v>0</v>
      </c>
      <c r="E113" s="62">
        <v>1</v>
      </c>
      <c r="F113" s="62">
        <f>'Прайс для расчета'!E102</f>
        <v>591.92700000000002</v>
      </c>
      <c r="G113" s="123">
        <f t="shared" si="17"/>
        <v>591.92700000000002</v>
      </c>
      <c r="I113" s="134">
        <f>'Прайс для расчета (М)'!E102</f>
        <v>295.96350000000001</v>
      </c>
      <c r="J113" s="133">
        <f t="shared" si="18"/>
        <v>295.96350000000001</v>
      </c>
    </row>
    <row r="114" spans="2:10" ht="15.6" x14ac:dyDescent="0.25">
      <c r="B114" s="122"/>
      <c r="C114" s="69" t="s">
        <v>347</v>
      </c>
      <c r="D114" s="61" t="s">
        <v>0</v>
      </c>
      <c r="E114" s="62">
        <v>1</v>
      </c>
      <c r="F114" s="62">
        <f>'Прайс для расчета'!E103</f>
        <v>678.40500000000009</v>
      </c>
      <c r="G114" s="123">
        <f t="shared" si="17"/>
        <v>678.40500000000009</v>
      </c>
      <c r="I114" s="134">
        <f>'Прайс для расчета (М)'!E103</f>
        <v>339.20250000000004</v>
      </c>
      <c r="J114" s="133">
        <f t="shared" si="18"/>
        <v>339.20250000000004</v>
      </c>
    </row>
    <row r="115" spans="2:10" ht="15.6" x14ac:dyDescent="0.25">
      <c r="B115" s="122"/>
      <c r="C115" s="69" t="s">
        <v>348</v>
      </c>
      <c r="D115" s="61" t="s">
        <v>0</v>
      </c>
      <c r="E115" s="62">
        <v>1</v>
      </c>
      <c r="F115" s="62">
        <f>'Прайс для расчета'!E104</f>
        <v>849.87</v>
      </c>
      <c r="G115" s="123">
        <f t="shared" si="17"/>
        <v>849.87</v>
      </c>
      <c r="I115" s="134">
        <f>'Прайс для расчета (М)'!E104</f>
        <v>424.935</v>
      </c>
      <c r="J115" s="133">
        <f t="shared" si="18"/>
        <v>424.935</v>
      </c>
    </row>
    <row r="116" spans="2:10" ht="15.6" x14ac:dyDescent="0.25">
      <c r="B116" s="122"/>
      <c r="C116" s="69" t="s">
        <v>349</v>
      </c>
      <c r="D116" s="61" t="s">
        <v>0</v>
      </c>
      <c r="E116" s="62">
        <v>1</v>
      </c>
      <c r="F116" s="62">
        <f>'Прайс для расчета'!E105</f>
        <v>849.87</v>
      </c>
      <c r="G116" s="123">
        <f t="shared" si="17"/>
        <v>849.87</v>
      </c>
      <c r="I116" s="134">
        <f>'Прайс для расчета (М)'!E105</f>
        <v>424.935</v>
      </c>
      <c r="J116" s="133">
        <f t="shared" si="18"/>
        <v>424.935</v>
      </c>
    </row>
    <row r="117" spans="2:10" ht="15.6" x14ac:dyDescent="0.25">
      <c r="B117" s="122"/>
      <c r="C117" s="69" t="s">
        <v>668</v>
      </c>
      <c r="D117" s="61" t="s">
        <v>0</v>
      </c>
      <c r="E117" s="62">
        <v>1</v>
      </c>
      <c r="F117" s="62">
        <f>'Прайс для расчета'!E106</f>
        <v>678.40500000000009</v>
      </c>
      <c r="G117" s="123">
        <f t="shared" si="17"/>
        <v>678.40500000000009</v>
      </c>
      <c r="I117" s="134">
        <f>'Прайс для расчета (М)'!E106</f>
        <v>339.20250000000004</v>
      </c>
      <c r="J117" s="133">
        <f t="shared" si="18"/>
        <v>339.20250000000004</v>
      </c>
    </row>
    <row r="118" spans="2:10" ht="15.6" x14ac:dyDescent="0.25">
      <c r="B118" s="122"/>
      <c r="C118" s="69" t="s">
        <v>669</v>
      </c>
      <c r="D118" s="61" t="s">
        <v>0</v>
      </c>
      <c r="E118" s="62">
        <v>1</v>
      </c>
      <c r="F118" s="62">
        <f>'Прайс для расчета'!E107</f>
        <v>1106.3219999999999</v>
      </c>
      <c r="G118" s="123">
        <f t="shared" si="17"/>
        <v>1106.3219999999999</v>
      </c>
      <c r="I118" s="134">
        <f>'Прайс для расчета (М)'!E107</f>
        <v>553.16099999999994</v>
      </c>
      <c r="J118" s="133">
        <f t="shared" si="18"/>
        <v>553.16099999999994</v>
      </c>
    </row>
    <row r="119" spans="2:10" ht="15.6" x14ac:dyDescent="0.25">
      <c r="B119" s="122"/>
      <c r="C119" s="69" t="s">
        <v>670</v>
      </c>
      <c r="D119" s="61" t="s">
        <v>0</v>
      </c>
      <c r="E119" s="62">
        <v>1</v>
      </c>
      <c r="F119" s="62">
        <f>'Прайс для расчета'!E108</f>
        <v>892.5</v>
      </c>
      <c r="G119" s="123">
        <f t="shared" si="17"/>
        <v>892.5</v>
      </c>
      <c r="I119" s="134">
        <f>'Прайс для расчета (М)'!E108</f>
        <v>446.25</v>
      </c>
      <c r="J119" s="133">
        <f t="shared" si="18"/>
        <v>446.25</v>
      </c>
    </row>
    <row r="120" spans="2:10" ht="15.6" x14ac:dyDescent="0.25">
      <c r="B120" s="122"/>
      <c r="C120" s="69" t="s">
        <v>350</v>
      </c>
      <c r="D120" s="61" t="s">
        <v>0</v>
      </c>
      <c r="E120" s="62">
        <v>1</v>
      </c>
      <c r="F120" s="62">
        <f>'Прайс для расчета'!E109</f>
        <v>164.01</v>
      </c>
      <c r="G120" s="123">
        <f t="shared" si="17"/>
        <v>164.01</v>
      </c>
      <c r="I120" s="134">
        <f>'Прайс для расчета (М)'!E109</f>
        <v>82.004999999999995</v>
      </c>
      <c r="J120" s="133">
        <f t="shared" si="18"/>
        <v>82.004999999999995</v>
      </c>
    </row>
    <row r="121" spans="2:10" ht="15.6" x14ac:dyDescent="0.25">
      <c r="B121" s="122"/>
      <c r="C121" s="69" t="s">
        <v>351</v>
      </c>
      <c r="D121" s="61" t="s">
        <v>0</v>
      </c>
      <c r="E121" s="62">
        <v>1</v>
      </c>
      <c r="F121" s="62">
        <f>'Прайс для расчета'!E110</f>
        <v>102.87899999999999</v>
      </c>
      <c r="G121" s="123">
        <f t="shared" si="17"/>
        <v>102.87899999999999</v>
      </c>
      <c r="I121" s="134">
        <f>'Прайс для расчета (М)'!E110</f>
        <v>51.439499999999995</v>
      </c>
      <c r="J121" s="133">
        <f t="shared" si="18"/>
        <v>51.439499999999995</v>
      </c>
    </row>
    <row r="122" spans="2:10" ht="15.6" x14ac:dyDescent="0.25">
      <c r="B122" s="122"/>
      <c r="C122" s="69" t="s">
        <v>352</v>
      </c>
      <c r="D122" s="61" t="s">
        <v>3</v>
      </c>
      <c r="E122" s="62">
        <v>1</v>
      </c>
      <c r="F122" s="62">
        <f>'Прайс для расчета'!E111</f>
        <v>248.99699999999999</v>
      </c>
      <c r="G122" s="123">
        <f t="shared" si="17"/>
        <v>248.99699999999999</v>
      </c>
      <c r="I122" s="134">
        <f>'Прайс для расчета (М)'!E111</f>
        <v>124.49849999999999</v>
      </c>
      <c r="J122" s="133">
        <f t="shared" si="18"/>
        <v>124.49849999999999</v>
      </c>
    </row>
    <row r="123" spans="2:10" ht="15.6" x14ac:dyDescent="0.25">
      <c r="B123" s="122"/>
      <c r="C123" s="69" t="s">
        <v>353</v>
      </c>
      <c r="D123" s="61" t="s">
        <v>3</v>
      </c>
      <c r="E123" s="62">
        <v>1</v>
      </c>
      <c r="F123" s="62">
        <f>'Прайс для расчета'!E112</f>
        <v>395.11499999999995</v>
      </c>
      <c r="G123" s="123">
        <f t="shared" si="17"/>
        <v>395.11499999999995</v>
      </c>
      <c r="I123" s="134">
        <f>'Прайс для расчета (М)'!E112</f>
        <v>197.55749999999998</v>
      </c>
      <c r="J123" s="133">
        <f t="shared" si="18"/>
        <v>197.55749999999998</v>
      </c>
    </row>
    <row r="124" spans="2:10" ht="15.6" x14ac:dyDescent="0.25">
      <c r="B124" s="122"/>
      <c r="C124" s="69" t="s">
        <v>492</v>
      </c>
      <c r="D124" s="61" t="s">
        <v>3</v>
      </c>
      <c r="E124" s="62">
        <v>1</v>
      </c>
      <c r="F124" s="62">
        <f>'Прайс для расчета'!E113</f>
        <v>978.096</v>
      </c>
      <c r="G124" s="123">
        <f t="shared" si="17"/>
        <v>978.096</v>
      </c>
      <c r="I124" s="134">
        <f>'Прайс для расчета (М)'!E113</f>
        <v>489.048</v>
      </c>
      <c r="J124" s="133">
        <f t="shared" si="18"/>
        <v>489.048</v>
      </c>
    </row>
    <row r="125" spans="2:10" ht="15.6" x14ac:dyDescent="0.25">
      <c r="B125" s="122"/>
      <c r="C125" s="69" t="s">
        <v>493</v>
      </c>
      <c r="D125" s="61" t="s">
        <v>3</v>
      </c>
      <c r="E125" s="62">
        <v>1</v>
      </c>
      <c r="F125" s="62">
        <f>'Прайс для расчета'!E114</f>
        <v>1183.854</v>
      </c>
      <c r="G125" s="123">
        <f t="shared" si="17"/>
        <v>1183.854</v>
      </c>
      <c r="I125" s="134">
        <f>'Прайс для расчета (М)'!E114</f>
        <v>591.92700000000002</v>
      </c>
      <c r="J125" s="133">
        <f t="shared" si="18"/>
        <v>591.92700000000002</v>
      </c>
    </row>
    <row r="126" spans="2:10" ht="15.6" x14ac:dyDescent="0.25">
      <c r="B126" s="122">
        <f>IF(SUM(B127:B136)&gt;0,1,0)</f>
        <v>0</v>
      </c>
      <c r="C126" s="60" t="s">
        <v>883</v>
      </c>
      <c r="D126" s="61"/>
      <c r="E126" s="62"/>
      <c r="F126" s="62"/>
      <c r="G126" s="123"/>
    </row>
    <row r="127" spans="2:10" ht="15.6" x14ac:dyDescent="0.25">
      <c r="B127" s="122"/>
      <c r="C127" s="69" t="s">
        <v>354</v>
      </c>
      <c r="D127" s="61" t="s">
        <v>0</v>
      </c>
      <c r="E127" s="62">
        <v>1</v>
      </c>
      <c r="F127" s="62">
        <f>'Прайс для расчета'!E115</f>
        <v>146.11799999999999</v>
      </c>
      <c r="G127" s="123">
        <f t="shared" ref="G127:G136" si="19">F127*E127</f>
        <v>146.11799999999999</v>
      </c>
      <c r="I127" s="134">
        <f>'Прайс для расчета (М)'!E115</f>
        <v>73.058999999999997</v>
      </c>
      <c r="J127" s="133">
        <f t="shared" ref="J127:J136" si="20">I127*E127</f>
        <v>73.058999999999997</v>
      </c>
    </row>
    <row r="128" spans="2:10" ht="15.6" x14ac:dyDescent="0.25">
      <c r="B128" s="122"/>
      <c r="C128" s="69" t="s">
        <v>671</v>
      </c>
      <c r="D128" s="61" t="s">
        <v>0</v>
      </c>
      <c r="E128" s="62">
        <v>1</v>
      </c>
      <c r="F128" s="62">
        <f>'Прайс для расчета'!E116</f>
        <v>164.01</v>
      </c>
      <c r="G128" s="123">
        <f t="shared" si="19"/>
        <v>164.01</v>
      </c>
      <c r="I128" s="134">
        <f>'Прайс для расчета (М)'!E116</f>
        <v>82.004999999999995</v>
      </c>
      <c r="J128" s="133">
        <f t="shared" si="20"/>
        <v>82.004999999999995</v>
      </c>
    </row>
    <row r="129" spans="2:10" ht="15.6" x14ac:dyDescent="0.25">
      <c r="B129" s="122"/>
      <c r="C129" s="69" t="s">
        <v>146</v>
      </c>
      <c r="D129" s="61" t="s">
        <v>0</v>
      </c>
      <c r="E129" s="62">
        <v>1</v>
      </c>
      <c r="F129" s="62">
        <f>'Прайс для расчета'!E117</f>
        <v>335.47500000000002</v>
      </c>
      <c r="G129" s="123">
        <f t="shared" si="19"/>
        <v>335.47500000000002</v>
      </c>
      <c r="I129" s="134">
        <f>'Прайс для расчета (М)'!E117</f>
        <v>167.73750000000001</v>
      </c>
      <c r="J129" s="133">
        <f t="shared" si="20"/>
        <v>167.73750000000001</v>
      </c>
    </row>
    <row r="130" spans="2:10" ht="15.6" x14ac:dyDescent="0.25">
      <c r="B130" s="122"/>
      <c r="C130" s="69" t="s">
        <v>64</v>
      </c>
      <c r="D130" s="61" t="s">
        <v>0</v>
      </c>
      <c r="E130" s="62">
        <v>1</v>
      </c>
      <c r="F130" s="62">
        <f>'Прайс для расчета'!E118</f>
        <v>1021.3349999999999</v>
      </c>
      <c r="G130" s="123">
        <f t="shared" si="19"/>
        <v>1021.3349999999999</v>
      </c>
      <c r="I130" s="134">
        <f>'Прайс для расчета (М)'!E118</f>
        <v>510.66749999999996</v>
      </c>
      <c r="J130" s="133">
        <f t="shared" si="20"/>
        <v>510.66749999999996</v>
      </c>
    </row>
    <row r="131" spans="2:10" ht="15.6" x14ac:dyDescent="0.25">
      <c r="B131" s="122"/>
      <c r="C131" s="69" t="s">
        <v>672</v>
      </c>
      <c r="D131" s="61" t="s">
        <v>645</v>
      </c>
      <c r="E131" s="62">
        <v>1</v>
      </c>
      <c r="F131" s="62">
        <f>'Прайс для расчета'!E119</f>
        <v>34.292999999999999</v>
      </c>
      <c r="G131" s="123">
        <f t="shared" si="19"/>
        <v>34.292999999999999</v>
      </c>
      <c r="I131" s="134">
        <f>'Прайс для расчета (М)'!E119</f>
        <v>17.1465</v>
      </c>
      <c r="J131" s="133">
        <f t="shared" si="20"/>
        <v>17.1465</v>
      </c>
    </row>
    <row r="132" spans="2:10" ht="15.6" x14ac:dyDescent="0.25">
      <c r="B132" s="122"/>
      <c r="C132" s="69" t="s">
        <v>177</v>
      </c>
      <c r="D132" s="61" t="s">
        <v>0</v>
      </c>
      <c r="E132" s="62">
        <v>1</v>
      </c>
      <c r="F132" s="62">
        <f>'Прайс для расчета'!E120</f>
        <v>164.01</v>
      </c>
      <c r="G132" s="123">
        <f t="shared" si="19"/>
        <v>164.01</v>
      </c>
      <c r="I132" s="134">
        <f>'Прайс для расчета (М)'!E120</f>
        <v>82.004999999999995</v>
      </c>
      <c r="J132" s="133">
        <f t="shared" si="20"/>
        <v>82.004999999999995</v>
      </c>
    </row>
    <row r="133" spans="2:10" ht="15.6" x14ac:dyDescent="0.25">
      <c r="B133" s="122"/>
      <c r="C133" s="69" t="s">
        <v>355</v>
      </c>
      <c r="D133" s="61" t="s">
        <v>0</v>
      </c>
      <c r="E133" s="62">
        <v>1</v>
      </c>
      <c r="F133" s="62">
        <f>'Прайс для расчета'!E121</f>
        <v>600.87300000000005</v>
      </c>
      <c r="G133" s="123">
        <f t="shared" si="19"/>
        <v>600.87300000000005</v>
      </c>
      <c r="I133" s="134">
        <f>'Прайс для расчета (М)'!E121</f>
        <v>300.43650000000002</v>
      </c>
      <c r="J133" s="133">
        <f t="shared" si="20"/>
        <v>300.43650000000002</v>
      </c>
    </row>
    <row r="134" spans="2:10" ht="15.6" x14ac:dyDescent="0.25">
      <c r="B134" s="122"/>
      <c r="C134" s="69" t="s">
        <v>494</v>
      </c>
      <c r="D134" s="61" t="s">
        <v>0</v>
      </c>
      <c r="E134" s="62">
        <v>1</v>
      </c>
      <c r="F134" s="62">
        <f>'Прайс для расчета'!E122</f>
        <v>3936.24</v>
      </c>
      <c r="G134" s="123">
        <f t="shared" si="19"/>
        <v>3936.24</v>
      </c>
      <c r="I134" s="134">
        <f>'Прайс для расчета (М)'!E122</f>
        <v>1968.12</v>
      </c>
      <c r="J134" s="133">
        <f t="shared" si="20"/>
        <v>1968.12</v>
      </c>
    </row>
    <row r="135" spans="2:10" ht="15.6" x14ac:dyDescent="0.25">
      <c r="B135" s="122"/>
      <c r="C135" s="69" t="s">
        <v>495</v>
      </c>
      <c r="D135" s="61" t="s">
        <v>0</v>
      </c>
      <c r="E135" s="62">
        <v>1</v>
      </c>
      <c r="F135" s="62">
        <f>'Прайс для расчета'!E123</f>
        <v>5093.2559999999994</v>
      </c>
      <c r="G135" s="123">
        <f t="shared" si="19"/>
        <v>5093.2559999999994</v>
      </c>
      <c r="I135" s="134">
        <f>'Прайс для расчета (М)'!E123</f>
        <v>2546.6279999999997</v>
      </c>
      <c r="J135" s="133">
        <f t="shared" si="20"/>
        <v>2546.6279999999997</v>
      </c>
    </row>
    <row r="136" spans="2:10" ht="15.6" x14ac:dyDescent="0.25">
      <c r="B136" s="122"/>
      <c r="C136" s="69" t="s">
        <v>496</v>
      </c>
      <c r="D136" s="61" t="s">
        <v>0</v>
      </c>
      <c r="E136" s="62">
        <v>1</v>
      </c>
      <c r="F136" s="62">
        <f>'Прайс для расчета'!E124</f>
        <v>4244.8769999999995</v>
      </c>
      <c r="G136" s="123">
        <f t="shared" si="19"/>
        <v>4244.8769999999995</v>
      </c>
      <c r="I136" s="134">
        <f>'Прайс для расчета (М)'!E124</f>
        <v>2122.4384999999997</v>
      </c>
      <c r="J136" s="133">
        <f t="shared" si="20"/>
        <v>2122.4384999999997</v>
      </c>
    </row>
    <row r="137" spans="2:10" ht="20.100000000000001" customHeight="1" x14ac:dyDescent="0.25">
      <c r="B137" s="140">
        <f>IF(SUM(B11:B136)&gt;0,1,0)</f>
        <v>0</v>
      </c>
      <c r="C137" s="245" t="s">
        <v>497</v>
      </c>
      <c r="D137" s="245"/>
      <c r="E137" s="245"/>
      <c r="F137" s="245"/>
      <c r="G137" s="150">
        <f>SUMIF(B12:B136,1,G12:G136)</f>
        <v>0</v>
      </c>
      <c r="J137" s="133">
        <f>SUMIF(B12:B136,1,J12:J136)</f>
        <v>0</v>
      </c>
    </row>
    <row r="138" spans="2:10" ht="15.6" x14ac:dyDescent="0.25">
      <c r="B138" s="147">
        <f>IF(SUM(B139:B247)&gt;0,1,0)</f>
        <v>0</v>
      </c>
      <c r="C138" s="148" t="s">
        <v>649</v>
      </c>
      <c r="D138" s="149" t="s">
        <v>179</v>
      </c>
      <c r="E138" s="149" t="s">
        <v>180</v>
      </c>
      <c r="F138" s="149" t="s">
        <v>1</v>
      </c>
      <c r="G138" s="149" t="s">
        <v>181</v>
      </c>
      <c r="I138" s="132" t="s">
        <v>1</v>
      </c>
      <c r="J138" s="133" t="s">
        <v>181</v>
      </c>
    </row>
    <row r="139" spans="2:10" ht="15.6" x14ac:dyDescent="0.25">
      <c r="B139" s="122">
        <f>IF(SUM(B140:B164)&gt;0,1,0)</f>
        <v>0</v>
      </c>
      <c r="C139" s="60" t="s">
        <v>877</v>
      </c>
      <c r="D139" s="61"/>
      <c r="E139" s="62"/>
      <c r="F139" s="62"/>
      <c r="G139" s="123"/>
    </row>
    <row r="140" spans="2:10" ht="15.6" x14ac:dyDescent="0.25">
      <c r="B140" s="122"/>
      <c r="C140" s="69" t="s">
        <v>1018</v>
      </c>
      <c r="D140" s="61" t="s">
        <v>2</v>
      </c>
      <c r="E140" s="62">
        <f t="shared" ref="E140:E164" si="21">$A$4</f>
        <v>0</v>
      </c>
      <c r="F140" s="62">
        <f>'Прайс для расчета'!E125</f>
        <v>94.5</v>
      </c>
      <c r="G140" s="123">
        <f t="shared" ref="G140:G164" si="22">F140*E140</f>
        <v>0</v>
      </c>
      <c r="I140" s="134">
        <f>'Прайс для расчета (М)'!E125</f>
        <v>47.25</v>
      </c>
      <c r="J140" s="133">
        <f t="shared" ref="J140:J164" si="23">I140*E140</f>
        <v>0</v>
      </c>
    </row>
    <row r="141" spans="2:10" ht="15.6" x14ac:dyDescent="0.25">
      <c r="B141" s="122"/>
      <c r="C141" s="69" t="s">
        <v>1128</v>
      </c>
      <c r="D141" s="61" t="s">
        <v>2</v>
      </c>
      <c r="E141" s="62">
        <f t="shared" si="21"/>
        <v>0</v>
      </c>
      <c r="F141" s="62">
        <f>'Прайс для расчета'!E126</f>
        <v>157.5</v>
      </c>
      <c r="G141" s="123">
        <f t="shared" ref="G141" si="24">F141*E141</f>
        <v>0</v>
      </c>
      <c r="I141" s="134">
        <f>'Прайс для расчета (М)'!E126</f>
        <v>78.75</v>
      </c>
      <c r="J141" s="133">
        <f t="shared" si="23"/>
        <v>0</v>
      </c>
    </row>
    <row r="142" spans="2:10" ht="15.6" x14ac:dyDescent="0.25">
      <c r="B142" s="122"/>
      <c r="C142" s="69" t="s">
        <v>1019</v>
      </c>
      <c r="D142" s="61" t="s">
        <v>2</v>
      </c>
      <c r="E142" s="62">
        <f t="shared" si="21"/>
        <v>0</v>
      </c>
      <c r="F142" s="62">
        <f>'Прайс для расчета'!E127</f>
        <v>114.45</v>
      </c>
      <c r="G142" s="123">
        <f t="shared" si="22"/>
        <v>0</v>
      </c>
      <c r="I142" s="134">
        <f>'Прайс для расчета (М)'!E127</f>
        <v>57.225000000000001</v>
      </c>
      <c r="J142" s="133">
        <f t="shared" si="23"/>
        <v>0</v>
      </c>
    </row>
    <row r="143" spans="2:10" ht="15.6" x14ac:dyDescent="0.25">
      <c r="B143" s="122"/>
      <c r="C143" s="69" t="s">
        <v>1034</v>
      </c>
      <c r="D143" s="61" t="s">
        <v>2</v>
      </c>
      <c r="E143" s="62">
        <f t="shared" si="21"/>
        <v>0</v>
      </c>
      <c r="F143" s="62">
        <f>'Прайс для расчета'!E128</f>
        <v>0</v>
      </c>
      <c r="G143" s="123">
        <f t="shared" ref="G143" si="25">F143*E143</f>
        <v>0</v>
      </c>
      <c r="I143" s="134">
        <f>'Прайс для расчета (М)'!E128</f>
        <v>0</v>
      </c>
      <c r="J143" s="133">
        <f t="shared" si="23"/>
        <v>0</v>
      </c>
    </row>
    <row r="144" spans="2:10" ht="15.6" x14ac:dyDescent="0.25">
      <c r="B144" s="122"/>
      <c r="C144" s="69" t="s">
        <v>930</v>
      </c>
      <c r="D144" s="61" t="s">
        <v>2</v>
      </c>
      <c r="E144" s="62">
        <f t="shared" si="21"/>
        <v>0</v>
      </c>
      <c r="F144" s="62">
        <f>'Прайс для расчета'!E129</f>
        <v>576.45000000000005</v>
      </c>
      <c r="G144" s="123">
        <f t="shared" si="22"/>
        <v>0</v>
      </c>
      <c r="I144" s="134">
        <f>'Прайс для расчета (М)'!E129</f>
        <v>288.22500000000002</v>
      </c>
      <c r="J144" s="133">
        <f t="shared" si="23"/>
        <v>0</v>
      </c>
    </row>
    <row r="145" spans="2:10" ht="15.6" x14ac:dyDescent="0.25">
      <c r="B145" s="122"/>
      <c r="C145" s="69" t="s">
        <v>931</v>
      </c>
      <c r="D145" s="61" t="s">
        <v>2</v>
      </c>
      <c r="E145" s="62">
        <f t="shared" si="21"/>
        <v>0</v>
      </c>
      <c r="F145" s="62">
        <f>'Прайс для расчета'!E130</f>
        <v>681.45</v>
      </c>
      <c r="G145" s="123">
        <f t="shared" si="22"/>
        <v>0</v>
      </c>
      <c r="I145" s="134">
        <f>'Прайс для расчета (М)'!E130</f>
        <v>340.72500000000002</v>
      </c>
      <c r="J145" s="133">
        <f t="shared" si="23"/>
        <v>0</v>
      </c>
    </row>
    <row r="146" spans="2:10" ht="15.6" x14ac:dyDescent="0.25">
      <c r="B146" s="122"/>
      <c r="C146" s="69" t="s">
        <v>932</v>
      </c>
      <c r="D146" s="61" t="s">
        <v>2</v>
      </c>
      <c r="E146" s="62">
        <f t="shared" si="21"/>
        <v>0</v>
      </c>
      <c r="F146" s="62">
        <f>'Прайс для расчета'!E131</f>
        <v>891.45</v>
      </c>
      <c r="G146" s="123">
        <f t="shared" si="22"/>
        <v>0</v>
      </c>
      <c r="I146" s="134">
        <f>'Прайс для расчета (М)'!E131</f>
        <v>445.72500000000002</v>
      </c>
      <c r="J146" s="133">
        <f t="shared" si="23"/>
        <v>0</v>
      </c>
    </row>
    <row r="147" spans="2:10" ht="15.6" x14ac:dyDescent="0.25">
      <c r="B147" s="122"/>
      <c r="C147" s="69" t="s">
        <v>357</v>
      </c>
      <c r="D147" s="61" t="s">
        <v>2</v>
      </c>
      <c r="E147" s="62">
        <f t="shared" si="21"/>
        <v>0</v>
      </c>
      <c r="F147" s="62">
        <f>'Прайс для расчета'!E132</f>
        <v>996.45</v>
      </c>
      <c r="G147" s="123">
        <f t="shared" si="22"/>
        <v>0</v>
      </c>
      <c r="I147" s="134">
        <f>'Прайс для расчета (М)'!E132</f>
        <v>498.22500000000002</v>
      </c>
      <c r="J147" s="133">
        <f t="shared" si="23"/>
        <v>0</v>
      </c>
    </row>
    <row r="148" spans="2:10" ht="15.6" x14ac:dyDescent="0.25">
      <c r="B148" s="122"/>
      <c r="C148" s="69" t="s">
        <v>1127</v>
      </c>
      <c r="D148" s="61" t="s">
        <v>2</v>
      </c>
      <c r="E148" s="62">
        <f t="shared" si="21"/>
        <v>0</v>
      </c>
      <c r="F148" s="62">
        <f>'Прайс для расчета'!E133</f>
        <v>1101.45</v>
      </c>
      <c r="G148" s="123">
        <f t="shared" si="22"/>
        <v>0</v>
      </c>
      <c r="I148" s="134">
        <f>'Прайс для расчета (М)'!E133</f>
        <v>550.72500000000002</v>
      </c>
      <c r="J148" s="133">
        <f t="shared" si="23"/>
        <v>0</v>
      </c>
    </row>
    <row r="149" spans="2:10" ht="15.6" x14ac:dyDescent="0.25">
      <c r="B149" s="122"/>
      <c r="C149" s="69" t="s">
        <v>151</v>
      </c>
      <c r="D149" s="61" t="s">
        <v>2</v>
      </c>
      <c r="E149" s="62">
        <f t="shared" si="21"/>
        <v>0</v>
      </c>
      <c r="F149" s="62">
        <f>'Прайс для расчета'!E134</f>
        <v>271.95</v>
      </c>
      <c r="G149" s="123">
        <f t="shared" si="22"/>
        <v>0</v>
      </c>
      <c r="I149" s="134">
        <f>'Прайс для расчета (М)'!E134</f>
        <v>135.97499999999999</v>
      </c>
      <c r="J149" s="133">
        <f t="shared" si="23"/>
        <v>0</v>
      </c>
    </row>
    <row r="150" spans="2:10" ht="15.6" x14ac:dyDescent="0.25">
      <c r="B150" s="122"/>
      <c r="C150" s="69" t="s">
        <v>499</v>
      </c>
      <c r="D150" s="61" t="s">
        <v>2</v>
      </c>
      <c r="E150" s="62">
        <f t="shared" si="21"/>
        <v>0</v>
      </c>
      <c r="F150" s="62">
        <f>'Прайс для расчета'!E135</f>
        <v>262.5</v>
      </c>
      <c r="G150" s="123">
        <f t="shared" si="22"/>
        <v>0</v>
      </c>
      <c r="I150" s="134">
        <f>'Прайс для расчета (М)'!E135</f>
        <v>131.25</v>
      </c>
      <c r="J150" s="133">
        <f t="shared" si="23"/>
        <v>0</v>
      </c>
    </row>
    <row r="151" spans="2:10" ht="15.6" x14ac:dyDescent="0.25">
      <c r="B151" s="122"/>
      <c r="C151" s="69" t="s">
        <v>500</v>
      </c>
      <c r="D151" s="61" t="s">
        <v>3</v>
      </c>
      <c r="E151" s="62">
        <f>$A$2</f>
        <v>0</v>
      </c>
      <c r="F151" s="62">
        <f>'Прайс для расчета'!E136</f>
        <v>250.95000000000002</v>
      </c>
      <c r="G151" s="123">
        <f t="shared" si="22"/>
        <v>0</v>
      </c>
      <c r="I151" s="134">
        <f>'Прайс для расчета (М)'!E136</f>
        <v>125.47500000000001</v>
      </c>
      <c r="J151" s="133">
        <f t="shared" si="23"/>
        <v>0</v>
      </c>
    </row>
    <row r="152" spans="2:10" ht="15.6" x14ac:dyDescent="0.25">
      <c r="B152" s="122"/>
      <c r="C152" s="69" t="s">
        <v>1024</v>
      </c>
      <c r="D152" s="61" t="s">
        <v>2</v>
      </c>
      <c r="E152" s="62">
        <f t="shared" si="21"/>
        <v>0</v>
      </c>
      <c r="F152" s="62">
        <f>'Прайс для расчета'!E137</f>
        <v>204.75</v>
      </c>
      <c r="G152" s="123">
        <f t="shared" si="22"/>
        <v>0</v>
      </c>
      <c r="I152" s="134">
        <f>'Прайс для расчета (М)'!E137</f>
        <v>102.375</v>
      </c>
      <c r="J152" s="133">
        <f t="shared" si="23"/>
        <v>0</v>
      </c>
    </row>
    <row r="153" spans="2:10" ht="15.6" x14ac:dyDescent="0.25">
      <c r="B153" s="122"/>
      <c r="C153" s="69" t="s">
        <v>359</v>
      </c>
      <c r="D153" s="61" t="s">
        <v>2</v>
      </c>
      <c r="E153" s="62">
        <f t="shared" si="21"/>
        <v>0</v>
      </c>
      <c r="F153" s="62">
        <f>'Прайс для расчета'!E138</f>
        <v>299.25</v>
      </c>
      <c r="G153" s="123">
        <f t="shared" si="22"/>
        <v>0</v>
      </c>
      <c r="I153" s="134">
        <f>'Прайс для расчета (М)'!E138</f>
        <v>149.625</v>
      </c>
      <c r="J153" s="133">
        <f t="shared" si="23"/>
        <v>0</v>
      </c>
    </row>
    <row r="154" spans="2:10" ht="15.6" x14ac:dyDescent="0.25">
      <c r="B154" s="122"/>
      <c r="C154" s="69" t="s">
        <v>360</v>
      </c>
      <c r="D154" s="61" t="s">
        <v>2</v>
      </c>
      <c r="E154" s="62">
        <f t="shared" si="21"/>
        <v>0</v>
      </c>
      <c r="F154" s="62">
        <f>'Прайс для расчета'!E139</f>
        <v>104.36999999999999</v>
      </c>
      <c r="G154" s="123">
        <f t="shared" si="22"/>
        <v>0</v>
      </c>
      <c r="I154" s="134">
        <f>'Прайс для расчета (М)'!E139</f>
        <v>52.184999999999995</v>
      </c>
      <c r="J154" s="133">
        <f t="shared" si="23"/>
        <v>0</v>
      </c>
    </row>
    <row r="155" spans="2:10" ht="15.6" x14ac:dyDescent="0.25">
      <c r="B155" s="122"/>
      <c r="C155" s="69" t="s">
        <v>361</v>
      </c>
      <c r="D155" s="61" t="s">
        <v>2</v>
      </c>
      <c r="E155" s="62">
        <f t="shared" si="21"/>
        <v>0</v>
      </c>
      <c r="F155" s="62">
        <f>'Прайс для расчета'!E140</f>
        <v>498.75</v>
      </c>
      <c r="G155" s="123">
        <f t="shared" si="22"/>
        <v>0</v>
      </c>
      <c r="I155" s="134">
        <f>'Прайс для расчета (М)'!E140</f>
        <v>249.375</v>
      </c>
      <c r="J155" s="133">
        <f t="shared" si="23"/>
        <v>0</v>
      </c>
    </row>
    <row r="156" spans="2:10" ht="15.6" x14ac:dyDescent="0.25">
      <c r="B156" s="122"/>
      <c r="C156" s="69" t="s">
        <v>501</v>
      </c>
      <c r="D156" s="61" t="s">
        <v>2</v>
      </c>
      <c r="E156" s="62">
        <f t="shared" si="21"/>
        <v>0</v>
      </c>
      <c r="F156" s="62">
        <f>'Прайс для расчета'!E141</f>
        <v>460.95000000000005</v>
      </c>
      <c r="G156" s="123">
        <f t="shared" si="22"/>
        <v>0</v>
      </c>
      <c r="I156" s="134">
        <f>'Прайс для расчета (М)'!E141</f>
        <v>230.47500000000002</v>
      </c>
      <c r="J156" s="133">
        <f t="shared" si="23"/>
        <v>0</v>
      </c>
    </row>
    <row r="157" spans="2:10" ht="15.6" x14ac:dyDescent="0.25">
      <c r="B157" s="122"/>
      <c r="C157" s="69" t="s">
        <v>362</v>
      </c>
      <c r="D157" s="61" t="s">
        <v>2</v>
      </c>
      <c r="E157" s="62">
        <f t="shared" si="21"/>
        <v>0</v>
      </c>
      <c r="F157" s="62">
        <f>'Прайс для расчета'!E142</f>
        <v>1942.5</v>
      </c>
      <c r="G157" s="123">
        <f t="shared" si="22"/>
        <v>0</v>
      </c>
      <c r="I157" s="134">
        <f>'Прайс для расчета (М)'!E142</f>
        <v>971.25</v>
      </c>
      <c r="J157" s="133">
        <f t="shared" si="23"/>
        <v>0</v>
      </c>
    </row>
    <row r="158" spans="2:10" ht="15.6" x14ac:dyDescent="0.25">
      <c r="B158" s="122"/>
      <c r="C158" s="69" t="s">
        <v>227</v>
      </c>
      <c r="D158" s="61" t="s">
        <v>2</v>
      </c>
      <c r="E158" s="62">
        <f t="shared" si="21"/>
        <v>0</v>
      </c>
      <c r="F158" s="62">
        <f>'Прайс для расчета'!E143</f>
        <v>362.25</v>
      </c>
      <c r="G158" s="123">
        <f t="shared" si="22"/>
        <v>0</v>
      </c>
      <c r="I158" s="134">
        <f>'Прайс для расчета (М)'!E143</f>
        <v>181.125</v>
      </c>
      <c r="J158" s="133">
        <f t="shared" si="23"/>
        <v>0</v>
      </c>
    </row>
    <row r="159" spans="2:10" ht="15.6" x14ac:dyDescent="0.25">
      <c r="B159" s="122"/>
      <c r="C159" s="69" t="s">
        <v>224</v>
      </c>
      <c r="D159" s="61" t="s">
        <v>2</v>
      </c>
      <c r="E159" s="62">
        <f t="shared" si="21"/>
        <v>0</v>
      </c>
      <c r="F159" s="62">
        <f>'Прайс для расчета'!E144</f>
        <v>271.95</v>
      </c>
      <c r="G159" s="123">
        <f t="shared" si="22"/>
        <v>0</v>
      </c>
      <c r="I159" s="134">
        <f>'Прайс для расчета (М)'!E144</f>
        <v>135.97499999999999</v>
      </c>
      <c r="J159" s="133">
        <f t="shared" si="23"/>
        <v>0</v>
      </c>
    </row>
    <row r="160" spans="2:10" ht="15.6" x14ac:dyDescent="0.25">
      <c r="B160" s="122"/>
      <c r="C160" s="69" t="s">
        <v>1025</v>
      </c>
      <c r="D160" s="61" t="s">
        <v>2</v>
      </c>
      <c r="E160" s="62">
        <f t="shared" si="21"/>
        <v>0</v>
      </c>
      <c r="F160" s="62">
        <f>'Прайс для расчета'!E145</f>
        <v>509.25</v>
      </c>
      <c r="G160" s="123">
        <f t="shared" si="22"/>
        <v>0</v>
      </c>
      <c r="I160" s="134">
        <f>'Прайс для расчета (М)'!E145</f>
        <v>254.625</v>
      </c>
      <c r="J160" s="133">
        <f t="shared" si="23"/>
        <v>0</v>
      </c>
    </row>
    <row r="161" spans="2:10" ht="15.6" x14ac:dyDescent="0.25">
      <c r="B161" s="122"/>
      <c r="C161" s="69" t="s">
        <v>363</v>
      </c>
      <c r="D161" s="61" t="s">
        <v>3</v>
      </c>
      <c r="E161" s="62">
        <f t="shared" si="21"/>
        <v>0</v>
      </c>
      <c r="F161" s="62">
        <f>'Прайс для расчета'!E146</f>
        <v>472.5</v>
      </c>
      <c r="G161" s="123">
        <f t="shared" si="22"/>
        <v>0</v>
      </c>
      <c r="I161" s="134">
        <f>'Прайс для расчета (М)'!E146</f>
        <v>236.25</v>
      </c>
      <c r="J161" s="133">
        <f t="shared" si="23"/>
        <v>0</v>
      </c>
    </row>
    <row r="162" spans="2:10" ht="15.6" x14ac:dyDescent="0.25">
      <c r="B162" s="122"/>
      <c r="C162" s="69" t="s">
        <v>364</v>
      </c>
      <c r="D162" s="61" t="s">
        <v>2</v>
      </c>
      <c r="E162" s="62">
        <f t="shared" si="21"/>
        <v>0</v>
      </c>
      <c r="F162" s="62">
        <f>'Прайс для расчета'!E147</f>
        <v>404.06100000000004</v>
      </c>
      <c r="G162" s="123">
        <f t="shared" si="22"/>
        <v>0</v>
      </c>
      <c r="I162" s="134">
        <f>'Прайс для расчета (М)'!E147</f>
        <v>202.03050000000002</v>
      </c>
      <c r="J162" s="133">
        <f t="shared" si="23"/>
        <v>0</v>
      </c>
    </row>
    <row r="163" spans="2:10" ht="15.6" x14ac:dyDescent="0.25">
      <c r="B163" s="122"/>
      <c r="C163" s="69" t="s">
        <v>365</v>
      </c>
      <c r="D163" s="61" t="s">
        <v>2</v>
      </c>
      <c r="E163" s="62">
        <f t="shared" si="21"/>
        <v>0</v>
      </c>
      <c r="F163" s="62">
        <f>'Прайс для расчета'!E148</f>
        <v>304.5</v>
      </c>
      <c r="G163" s="123">
        <f t="shared" si="22"/>
        <v>0</v>
      </c>
      <c r="I163" s="134">
        <f>'Прайс для расчета (М)'!E148</f>
        <v>152.25</v>
      </c>
      <c r="J163" s="133">
        <f t="shared" si="23"/>
        <v>0</v>
      </c>
    </row>
    <row r="164" spans="2:10" ht="15.6" x14ac:dyDescent="0.25">
      <c r="B164" s="122"/>
      <c r="C164" s="69" t="s">
        <v>366</v>
      </c>
      <c r="D164" s="61" t="s">
        <v>2</v>
      </c>
      <c r="E164" s="62">
        <f t="shared" si="21"/>
        <v>0</v>
      </c>
      <c r="F164" s="62">
        <f>'Прайс для расчета'!E149</f>
        <v>472.5</v>
      </c>
      <c r="G164" s="123">
        <f t="shared" si="22"/>
        <v>0</v>
      </c>
      <c r="I164" s="134">
        <f>'Прайс для расчета (М)'!E149</f>
        <v>236.25</v>
      </c>
      <c r="J164" s="133">
        <f t="shared" si="23"/>
        <v>0</v>
      </c>
    </row>
    <row r="165" spans="2:10" ht="15.6" x14ac:dyDescent="0.25">
      <c r="B165" s="122">
        <f>IF(SUM(B166:B208)&gt;0,1,0)</f>
        <v>0</v>
      </c>
      <c r="C165" s="60" t="s">
        <v>878</v>
      </c>
      <c r="D165" s="61"/>
      <c r="E165" s="62"/>
      <c r="F165" s="62"/>
      <c r="G165" s="123"/>
    </row>
    <row r="166" spans="2:10" ht="15.6" x14ac:dyDescent="0.25">
      <c r="B166" s="122"/>
      <c r="C166" s="69" t="s">
        <v>1020</v>
      </c>
      <c r="D166" s="61" t="s">
        <v>2</v>
      </c>
      <c r="E166" s="62" t="e">
        <f t="shared" ref="E166:E182" si="26">$A$6</f>
        <v>#REF!</v>
      </c>
      <c r="F166" s="62">
        <f>'Прайс для расчета'!E150</f>
        <v>124.95</v>
      </c>
      <c r="G166" s="123" t="e">
        <f t="shared" ref="G166:G208" si="27">F166*E166</f>
        <v>#REF!</v>
      </c>
      <c r="I166" s="134">
        <f>'Прайс для расчета (М)'!E150</f>
        <v>62.475000000000001</v>
      </c>
      <c r="J166" s="133" t="e">
        <f t="shared" ref="J166:J208" si="28">I166*E166</f>
        <v>#REF!</v>
      </c>
    </row>
    <row r="167" spans="2:10" ht="15.6" x14ac:dyDescent="0.25">
      <c r="B167" s="122"/>
      <c r="C167" s="69" t="s">
        <v>1107</v>
      </c>
      <c r="D167" s="61" t="s">
        <v>2</v>
      </c>
      <c r="E167" s="62" t="e">
        <f t="shared" si="26"/>
        <v>#REF!</v>
      </c>
      <c r="F167" s="62">
        <f>'Прайс для расчета'!E151</f>
        <v>892.5</v>
      </c>
      <c r="G167" s="123" t="e">
        <f t="shared" si="27"/>
        <v>#REF!</v>
      </c>
      <c r="I167" s="134">
        <f>'Прайс для расчета (М)'!E151</f>
        <v>446.25</v>
      </c>
      <c r="J167" s="133" t="e">
        <f t="shared" si="28"/>
        <v>#REF!</v>
      </c>
    </row>
    <row r="168" spans="2:10" ht="15.6" x14ac:dyDescent="0.25">
      <c r="B168" s="122"/>
      <c r="C168" s="69" t="s">
        <v>1108</v>
      </c>
      <c r="D168" s="61" t="s">
        <v>2</v>
      </c>
      <c r="E168" s="62" t="e">
        <f t="shared" si="26"/>
        <v>#REF!</v>
      </c>
      <c r="F168" s="62">
        <f>'Прайс для расчета'!E152</f>
        <v>1207.5</v>
      </c>
      <c r="G168" s="123" t="e">
        <f t="shared" si="27"/>
        <v>#REF!</v>
      </c>
      <c r="I168" s="134">
        <f>'Прайс для расчета (М)'!E152</f>
        <v>603.75</v>
      </c>
      <c r="J168" s="133" t="e">
        <f t="shared" si="28"/>
        <v>#REF!</v>
      </c>
    </row>
    <row r="169" spans="2:10" ht="15.75" customHeight="1" x14ac:dyDescent="0.25">
      <c r="B169" s="122"/>
      <c r="C169" s="69" t="s">
        <v>1109</v>
      </c>
      <c r="D169" s="61" t="s">
        <v>2</v>
      </c>
      <c r="E169" s="62" t="e">
        <f t="shared" si="26"/>
        <v>#REF!</v>
      </c>
      <c r="F169" s="62">
        <f>'Прайс для расчета'!E153</f>
        <v>624.75</v>
      </c>
      <c r="G169" s="123" t="e">
        <f t="shared" si="27"/>
        <v>#REF!</v>
      </c>
      <c r="I169" s="134">
        <f>'Прайс для расчета (М)'!E153</f>
        <v>312.375</v>
      </c>
      <c r="J169" s="133" t="e">
        <f t="shared" si="28"/>
        <v>#REF!</v>
      </c>
    </row>
    <row r="170" spans="2:10" ht="15.75" customHeight="1" x14ac:dyDescent="0.25">
      <c r="B170" s="122"/>
      <c r="C170" s="69" t="s">
        <v>1110</v>
      </c>
      <c r="D170" s="61" t="s">
        <v>2</v>
      </c>
      <c r="E170" s="62" t="e">
        <f t="shared" si="26"/>
        <v>#REF!</v>
      </c>
      <c r="F170" s="62">
        <f>'Прайс для расчета'!E154</f>
        <v>729.75</v>
      </c>
      <c r="G170" s="123" t="e">
        <f t="shared" si="27"/>
        <v>#REF!</v>
      </c>
      <c r="I170" s="134">
        <f>'Прайс для расчета (М)'!E154</f>
        <v>364.875</v>
      </c>
      <c r="J170" s="133" t="e">
        <f t="shared" si="28"/>
        <v>#REF!</v>
      </c>
    </row>
    <row r="171" spans="2:10" ht="15.6" x14ac:dyDescent="0.25">
      <c r="B171" s="122"/>
      <c r="C171" s="69" t="s">
        <v>1115</v>
      </c>
      <c r="D171" s="61" t="s">
        <v>2</v>
      </c>
      <c r="E171" s="62" t="e">
        <f t="shared" si="26"/>
        <v>#REF!</v>
      </c>
      <c r="F171" s="62">
        <f>'Прайс для расчета'!E155</f>
        <v>943.95</v>
      </c>
      <c r="G171" s="123" t="e">
        <f t="shared" si="27"/>
        <v>#REF!</v>
      </c>
      <c r="I171" s="134">
        <f>'Прайс для расчета (М)'!E155</f>
        <v>471.97500000000002</v>
      </c>
      <c r="J171" s="133" t="e">
        <f t="shared" si="28"/>
        <v>#REF!</v>
      </c>
    </row>
    <row r="172" spans="2:10" ht="15.6" x14ac:dyDescent="0.25">
      <c r="B172" s="122"/>
      <c r="C172" s="69" t="s">
        <v>1028</v>
      </c>
      <c r="D172" s="61" t="s">
        <v>2</v>
      </c>
      <c r="E172" s="62" t="e">
        <f t="shared" si="26"/>
        <v>#REF!</v>
      </c>
      <c r="F172" s="62">
        <f>'Прайс для расчета'!E156</f>
        <v>787.5</v>
      </c>
      <c r="G172" s="123" t="e">
        <f t="shared" si="27"/>
        <v>#REF!</v>
      </c>
      <c r="I172" s="134">
        <f>'Прайс для расчета (М)'!E156</f>
        <v>393.75</v>
      </c>
      <c r="J172" s="133" t="e">
        <f t="shared" si="28"/>
        <v>#REF!</v>
      </c>
    </row>
    <row r="173" spans="2:10" ht="15.6" x14ac:dyDescent="0.25">
      <c r="B173" s="122"/>
      <c r="C173" s="69" t="s">
        <v>1029</v>
      </c>
      <c r="D173" s="61" t="s">
        <v>3</v>
      </c>
      <c r="E173" s="62" t="e">
        <f t="shared" si="26"/>
        <v>#REF!</v>
      </c>
      <c r="F173" s="62">
        <f>'Прайс для расчета'!E157</f>
        <v>651</v>
      </c>
      <c r="G173" s="123" t="e">
        <f t="shared" si="27"/>
        <v>#REF!</v>
      </c>
      <c r="I173" s="134">
        <f>'Прайс для расчета (М)'!E157</f>
        <v>325.5</v>
      </c>
      <c r="J173" s="133" t="e">
        <f t="shared" si="28"/>
        <v>#REF!</v>
      </c>
    </row>
    <row r="174" spans="2:10" ht="15.6" x14ac:dyDescent="0.25">
      <c r="B174" s="122"/>
      <c r="C174" s="69" t="s">
        <v>1129</v>
      </c>
      <c r="D174" s="61" t="s">
        <v>2</v>
      </c>
      <c r="E174" s="62" t="e">
        <f t="shared" si="26"/>
        <v>#REF!</v>
      </c>
      <c r="F174" s="62">
        <f>'Прайс для расчета'!E158</f>
        <v>267.75</v>
      </c>
      <c r="G174" s="123" t="e">
        <f t="shared" si="27"/>
        <v>#REF!</v>
      </c>
      <c r="I174" s="134">
        <f>'Прайс для расчета (М)'!E158</f>
        <v>133.875</v>
      </c>
      <c r="J174" s="133" t="e">
        <f t="shared" si="28"/>
        <v>#REF!</v>
      </c>
    </row>
    <row r="175" spans="2:10" ht="15.6" x14ac:dyDescent="0.25">
      <c r="B175" s="122"/>
      <c r="C175" s="69" t="s">
        <v>1006</v>
      </c>
      <c r="D175" s="61" t="s">
        <v>2</v>
      </c>
      <c r="E175" s="62" t="e">
        <f t="shared" si="26"/>
        <v>#REF!</v>
      </c>
      <c r="F175" s="62">
        <f>'Прайс для расчета'!E159</f>
        <v>2992.5</v>
      </c>
      <c r="G175" s="123" t="e">
        <f t="shared" si="27"/>
        <v>#REF!</v>
      </c>
      <c r="I175" s="134">
        <f>'Прайс для расчета (М)'!E159</f>
        <v>1496.25</v>
      </c>
      <c r="J175" s="133" t="e">
        <f t="shared" si="28"/>
        <v>#REF!</v>
      </c>
    </row>
    <row r="176" spans="2:10" ht="15.6" x14ac:dyDescent="0.25">
      <c r="B176" s="122"/>
      <c r="C176" s="69" t="s">
        <v>1021</v>
      </c>
      <c r="D176" s="61" t="s">
        <v>2</v>
      </c>
      <c r="E176" s="62" t="e">
        <f t="shared" si="26"/>
        <v>#REF!</v>
      </c>
      <c r="F176" s="62">
        <f>'Прайс для расчета'!E160</f>
        <v>94.5</v>
      </c>
      <c r="G176" s="123" t="e">
        <f t="shared" si="27"/>
        <v>#REF!</v>
      </c>
      <c r="I176" s="134">
        <f>'Прайс для расчета (М)'!E160</f>
        <v>47.25</v>
      </c>
      <c r="J176" s="133" t="e">
        <f t="shared" si="28"/>
        <v>#REF!</v>
      </c>
    </row>
    <row r="177" spans="2:10" ht="15.6" x14ac:dyDescent="0.25">
      <c r="B177" s="122"/>
      <c r="C177" s="69" t="s">
        <v>1125</v>
      </c>
      <c r="D177" s="61" t="s">
        <v>2</v>
      </c>
      <c r="E177" s="62" t="e">
        <f t="shared" si="26"/>
        <v>#REF!</v>
      </c>
      <c r="F177" s="62">
        <f>'Прайс для расчета'!E161</f>
        <v>157.5</v>
      </c>
      <c r="G177" s="123" t="e">
        <f t="shared" si="27"/>
        <v>#REF!</v>
      </c>
      <c r="I177" s="134">
        <f>'Прайс для расчета (М)'!E161</f>
        <v>78.75</v>
      </c>
      <c r="J177" s="133" t="e">
        <f t="shared" si="28"/>
        <v>#REF!</v>
      </c>
    </row>
    <row r="178" spans="2:10" ht="15.6" x14ac:dyDescent="0.25">
      <c r="B178" s="122"/>
      <c r="C178" s="69" t="s">
        <v>1126</v>
      </c>
      <c r="D178" s="61" t="s">
        <v>2</v>
      </c>
      <c r="E178" s="62" t="e">
        <f t="shared" si="26"/>
        <v>#REF!</v>
      </c>
      <c r="F178" s="62">
        <f>'Прайс для расчета'!E162</f>
        <v>519.75</v>
      </c>
      <c r="G178" s="123" t="e">
        <f t="shared" si="27"/>
        <v>#REF!</v>
      </c>
      <c r="I178" s="134">
        <f>'Прайс для расчета (М)'!E162</f>
        <v>259.875</v>
      </c>
      <c r="J178" s="133" t="e">
        <f t="shared" si="28"/>
        <v>#REF!</v>
      </c>
    </row>
    <row r="179" spans="2:10" ht="15.6" x14ac:dyDescent="0.25">
      <c r="B179" s="122"/>
      <c r="C179" s="69" t="s">
        <v>1119</v>
      </c>
      <c r="D179" s="61" t="s">
        <v>2</v>
      </c>
      <c r="E179" s="62" t="e">
        <f t="shared" si="26"/>
        <v>#REF!</v>
      </c>
      <c r="F179" s="62">
        <f>'Прайс для расчета'!E163</f>
        <v>687.75</v>
      </c>
      <c r="G179" s="123" t="e">
        <f t="shared" si="27"/>
        <v>#REF!</v>
      </c>
      <c r="I179" s="134">
        <f>'Прайс для расчета (М)'!E163</f>
        <v>343.875</v>
      </c>
      <c r="J179" s="133" t="e">
        <f t="shared" si="28"/>
        <v>#REF!</v>
      </c>
    </row>
    <row r="180" spans="2:10" ht="15.6" x14ac:dyDescent="0.25">
      <c r="B180" s="122"/>
      <c r="C180" s="69" t="s">
        <v>1121</v>
      </c>
      <c r="D180" s="61" t="s">
        <v>2</v>
      </c>
      <c r="E180" s="62" t="e">
        <f t="shared" si="26"/>
        <v>#REF!</v>
      </c>
      <c r="F180" s="62">
        <f>'Прайс для расчета'!E164</f>
        <v>420</v>
      </c>
      <c r="G180" s="123" t="e">
        <f t="shared" si="27"/>
        <v>#REF!</v>
      </c>
      <c r="I180" s="134">
        <f>'Прайс для расчета (М)'!E164</f>
        <v>210</v>
      </c>
      <c r="J180" s="133" t="e">
        <f t="shared" si="28"/>
        <v>#REF!</v>
      </c>
    </row>
    <row r="181" spans="2:10" ht="15.6" x14ac:dyDescent="0.25">
      <c r="B181" s="122"/>
      <c r="C181" s="69" t="s">
        <v>1122</v>
      </c>
      <c r="D181" s="61" t="s">
        <v>2</v>
      </c>
      <c r="E181" s="62" t="e">
        <f t="shared" si="26"/>
        <v>#REF!</v>
      </c>
      <c r="F181" s="62">
        <f>'Прайс для расчета'!E165</f>
        <v>829.5</v>
      </c>
      <c r="G181" s="123" t="e">
        <f t="shared" si="27"/>
        <v>#REF!</v>
      </c>
      <c r="I181" s="134">
        <f>'Прайс для расчета (М)'!E165</f>
        <v>414.75</v>
      </c>
      <c r="J181" s="133" t="e">
        <f t="shared" si="28"/>
        <v>#REF!</v>
      </c>
    </row>
    <row r="182" spans="2:10" ht="15.6" x14ac:dyDescent="0.25">
      <c r="B182" s="122"/>
      <c r="C182" s="69" t="s">
        <v>1120</v>
      </c>
      <c r="D182" s="61" t="s">
        <v>2</v>
      </c>
      <c r="E182" s="62" t="e">
        <f t="shared" si="26"/>
        <v>#REF!</v>
      </c>
      <c r="F182" s="62">
        <f>'Прайс для расчета'!E166</f>
        <v>204.75</v>
      </c>
      <c r="G182" s="123" t="e">
        <f t="shared" si="27"/>
        <v>#REF!</v>
      </c>
      <c r="I182" s="134">
        <f>'Прайс для расчета (М)'!E166</f>
        <v>102.375</v>
      </c>
      <c r="J182" s="133" t="e">
        <f t="shared" si="28"/>
        <v>#REF!</v>
      </c>
    </row>
    <row r="183" spans="2:10" ht="15.6" x14ac:dyDescent="0.25">
      <c r="B183" s="122"/>
      <c r="C183" s="69" t="s">
        <v>1105</v>
      </c>
      <c r="D183" s="61" t="s">
        <v>3</v>
      </c>
      <c r="E183" s="62">
        <v>1</v>
      </c>
      <c r="F183" s="62">
        <f>'Прайс для расчета'!E167</f>
        <v>157.5</v>
      </c>
      <c r="G183" s="123">
        <f t="shared" si="27"/>
        <v>157.5</v>
      </c>
      <c r="I183" s="134">
        <f>'Прайс для расчета (М)'!E167</f>
        <v>78.75</v>
      </c>
      <c r="J183" s="133">
        <f t="shared" si="28"/>
        <v>78.75</v>
      </c>
    </row>
    <row r="184" spans="2:10" ht="15.6" x14ac:dyDescent="0.25">
      <c r="B184" s="122"/>
      <c r="C184" s="69" t="s">
        <v>1106</v>
      </c>
      <c r="D184" s="61" t="s">
        <v>3</v>
      </c>
      <c r="E184" s="62">
        <v>1</v>
      </c>
      <c r="F184" s="62">
        <f>'Прайс для расчета'!E168</f>
        <v>157.5</v>
      </c>
      <c r="G184" s="123">
        <f t="shared" si="27"/>
        <v>157.5</v>
      </c>
      <c r="I184" s="134">
        <f>'Прайс для расчета (М)'!E168</f>
        <v>78.75</v>
      </c>
      <c r="J184" s="133">
        <f t="shared" si="28"/>
        <v>78.75</v>
      </c>
    </row>
    <row r="185" spans="2:10" ht="15.6" x14ac:dyDescent="0.25">
      <c r="B185" s="122"/>
      <c r="C185" s="69" t="s">
        <v>1117</v>
      </c>
      <c r="D185" s="61" t="s">
        <v>2</v>
      </c>
      <c r="E185" s="62" t="e">
        <f t="shared" ref="E185:E191" si="29">$A$6</f>
        <v>#REF!</v>
      </c>
      <c r="F185" s="62">
        <f>'Прайс для расчета'!E169</f>
        <v>204.75</v>
      </c>
      <c r="G185" s="123" t="e">
        <f t="shared" si="27"/>
        <v>#REF!</v>
      </c>
      <c r="I185" s="134">
        <f>'Прайс для расчета (М)'!E169</f>
        <v>102.375</v>
      </c>
      <c r="J185" s="133" t="e">
        <f t="shared" si="28"/>
        <v>#REF!</v>
      </c>
    </row>
    <row r="186" spans="2:10" ht="15.6" x14ac:dyDescent="0.25">
      <c r="B186" s="122"/>
      <c r="C186" s="69" t="s">
        <v>1116</v>
      </c>
      <c r="D186" s="61" t="s">
        <v>2</v>
      </c>
      <c r="E186" s="62" t="e">
        <f t="shared" si="29"/>
        <v>#REF!</v>
      </c>
      <c r="F186" s="62">
        <f>'Прайс для расчета'!E170</f>
        <v>204.75</v>
      </c>
      <c r="G186" s="123" t="e">
        <f t="shared" si="27"/>
        <v>#REF!</v>
      </c>
      <c r="I186" s="134">
        <f>'Прайс для расчета (М)'!E170</f>
        <v>102.375</v>
      </c>
      <c r="J186" s="133" t="e">
        <f t="shared" si="28"/>
        <v>#REF!</v>
      </c>
    </row>
    <row r="187" spans="2:10" ht="15.6" x14ac:dyDescent="0.25">
      <c r="B187" s="122"/>
      <c r="C187" s="69" t="s">
        <v>376</v>
      </c>
      <c r="D187" s="61" t="s">
        <v>2</v>
      </c>
      <c r="E187" s="62" t="e">
        <f t="shared" si="29"/>
        <v>#REF!</v>
      </c>
      <c r="F187" s="62">
        <f>'Прайс для расчета'!E171</f>
        <v>1559.586</v>
      </c>
      <c r="G187" s="123" t="e">
        <f t="shared" si="27"/>
        <v>#REF!</v>
      </c>
      <c r="I187" s="134">
        <f>'Прайс для расчета (М)'!E171</f>
        <v>779.79300000000001</v>
      </c>
      <c r="J187" s="133" t="e">
        <f t="shared" si="28"/>
        <v>#REF!</v>
      </c>
    </row>
    <row r="188" spans="2:10" ht="15.6" x14ac:dyDescent="0.25">
      <c r="B188" s="122"/>
      <c r="C188" s="69" t="s">
        <v>377</v>
      </c>
      <c r="D188" s="61" t="s">
        <v>2</v>
      </c>
      <c r="E188" s="62" t="e">
        <f t="shared" si="29"/>
        <v>#REF!</v>
      </c>
      <c r="F188" s="62">
        <f>'Прайс для расчета'!E172</f>
        <v>1616.2440000000001</v>
      </c>
      <c r="G188" s="123" t="e">
        <f t="shared" si="27"/>
        <v>#REF!</v>
      </c>
      <c r="I188" s="134">
        <f>'Прайс для расчета (М)'!E172</f>
        <v>808.12200000000007</v>
      </c>
      <c r="J188" s="133" t="e">
        <f t="shared" si="28"/>
        <v>#REF!</v>
      </c>
    </row>
    <row r="189" spans="2:10" ht="15.6" x14ac:dyDescent="0.25">
      <c r="B189" s="122"/>
      <c r="C189" s="69" t="s">
        <v>378</v>
      </c>
      <c r="D189" s="61" t="s">
        <v>2</v>
      </c>
      <c r="E189" s="62" t="e">
        <f t="shared" si="29"/>
        <v>#REF!</v>
      </c>
      <c r="F189" s="62">
        <f>'Прайс для расчета'!E173</f>
        <v>1131.6690000000001</v>
      </c>
      <c r="G189" s="123" t="e">
        <f t="shared" si="27"/>
        <v>#REF!</v>
      </c>
      <c r="I189" s="134">
        <f>'Прайс для расчета (М)'!E173</f>
        <v>565.83450000000005</v>
      </c>
      <c r="J189" s="133" t="e">
        <f t="shared" si="28"/>
        <v>#REF!</v>
      </c>
    </row>
    <row r="190" spans="2:10" ht="15.6" x14ac:dyDescent="0.25">
      <c r="B190" s="122"/>
      <c r="C190" s="69" t="s">
        <v>379</v>
      </c>
      <c r="D190" s="61" t="s">
        <v>2</v>
      </c>
      <c r="E190" s="62" t="e">
        <f>$A$6</f>
        <v>#REF!</v>
      </c>
      <c r="F190" s="62">
        <f>'Прайс для расчета'!E174</f>
        <v>1191.309</v>
      </c>
      <c r="G190" s="123" t="e">
        <f t="shared" si="27"/>
        <v>#REF!</v>
      </c>
      <c r="I190" s="134">
        <f>'Прайс для расчета (М)'!E174</f>
        <v>595.65449999999998</v>
      </c>
      <c r="J190" s="133" t="e">
        <f t="shared" si="28"/>
        <v>#REF!</v>
      </c>
    </row>
    <row r="191" spans="2:10" ht="15.6" x14ac:dyDescent="0.25">
      <c r="B191" s="122"/>
      <c r="C191" s="69" t="s">
        <v>380</v>
      </c>
      <c r="D191" s="61" t="s">
        <v>2</v>
      </c>
      <c r="E191" s="62" t="e">
        <f t="shared" si="29"/>
        <v>#REF!</v>
      </c>
      <c r="F191" s="62">
        <f>'Прайс для расчета'!E175</f>
        <v>1265.8589999999999</v>
      </c>
      <c r="G191" s="123" t="e">
        <f t="shared" si="27"/>
        <v>#REF!</v>
      </c>
      <c r="I191" s="134">
        <f>'Прайс для расчета (М)'!E175</f>
        <v>632.92949999999996</v>
      </c>
      <c r="J191" s="133" t="e">
        <f t="shared" si="28"/>
        <v>#REF!</v>
      </c>
    </row>
    <row r="192" spans="2:10" ht="15.6" x14ac:dyDescent="0.25">
      <c r="B192" s="122"/>
      <c r="C192" s="69" t="s">
        <v>1044</v>
      </c>
      <c r="D192" s="61" t="s">
        <v>0</v>
      </c>
      <c r="E192" s="62">
        <v>1</v>
      </c>
      <c r="F192" s="62">
        <f>'Прайс для расчета'!E176</f>
        <v>1417.5</v>
      </c>
      <c r="G192" s="123">
        <f t="shared" si="27"/>
        <v>1417.5</v>
      </c>
      <c r="I192" s="134">
        <f>'Прайс для расчета (М)'!E176</f>
        <v>708.75</v>
      </c>
      <c r="J192" s="133">
        <f t="shared" si="28"/>
        <v>708.75</v>
      </c>
    </row>
    <row r="193" spans="2:10" ht="15.6" x14ac:dyDescent="0.25">
      <c r="B193" s="122"/>
      <c r="C193" s="69" t="s">
        <v>1047</v>
      </c>
      <c r="D193" s="61" t="s">
        <v>0</v>
      </c>
      <c r="E193" s="62">
        <v>1</v>
      </c>
      <c r="F193" s="62">
        <f>'Прайс для расчета'!E177</f>
        <v>1837.5</v>
      </c>
      <c r="G193" s="123">
        <f t="shared" si="27"/>
        <v>1837.5</v>
      </c>
      <c r="I193" s="134">
        <f>'Прайс для расчета (М)'!E177</f>
        <v>918.75</v>
      </c>
      <c r="J193" s="133">
        <f t="shared" si="28"/>
        <v>918.75</v>
      </c>
    </row>
    <row r="194" spans="2:10" ht="15.6" x14ac:dyDescent="0.25">
      <c r="B194" s="122"/>
      <c r="C194" s="69" t="s">
        <v>381</v>
      </c>
      <c r="D194" s="61" t="s">
        <v>3</v>
      </c>
      <c r="E194" s="62">
        <v>1</v>
      </c>
      <c r="F194" s="62">
        <f>'Прайс для расчета'!E178</f>
        <v>183.75</v>
      </c>
      <c r="G194" s="123">
        <f t="shared" si="27"/>
        <v>183.75</v>
      </c>
      <c r="I194" s="134">
        <f>'Прайс для расчета (М)'!E178</f>
        <v>91.875</v>
      </c>
      <c r="J194" s="133">
        <f t="shared" si="28"/>
        <v>91.875</v>
      </c>
    </row>
    <row r="195" spans="2:10" ht="15.6" x14ac:dyDescent="0.25">
      <c r="B195" s="122"/>
      <c r="C195" s="69" t="s">
        <v>382</v>
      </c>
      <c r="D195" s="61" t="s">
        <v>3</v>
      </c>
      <c r="E195" s="62">
        <v>1</v>
      </c>
      <c r="F195" s="62">
        <f>'Прайс для расчета'!E179</f>
        <v>367.5</v>
      </c>
      <c r="G195" s="123">
        <f t="shared" si="27"/>
        <v>367.5</v>
      </c>
      <c r="I195" s="134">
        <f>'Прайс для расчета (М)'!E179</f>
        <v>183.75</v>
      </c>
      <c r="J195" s="133">
        <f t="shared" si="28"/>
        <v>183.75</v>
      </c>
    </row>
    <row r="196" spans="2:10" ht="15.6" x14ac:dyDescent="0.25">
      <c r="B196" s="122"/>
      <c r="C196" s="69" t="s">
        <v>508</v>
      </c>
      <c r="D196" s="61" t="s">
        <v>2</v>
      </c>
      <c r="E196" s="62" t="e">
        <f t="shared" ref="E196:E201" si="30">$A$6</f>
        <v>#REF!</v>
      </c>
      <c r="F196" s="62">
        <f>'Прайс для расчета'!E180</f>
        <v>481.95000000000005</v>
      </c>
      <c r="G196" s="123" t="e">
        <f t="shared" si="27"/>
        <v>#REF!</v>
      </c>
      <c r="I196" s="134">
        <f>'Прайс для расчета (М)'!E180</f>
        <v>240.97500000000002</v>
      </c>
      <c r="J196" s="133" t="e">
        <f t="shared" si="28"/>
        <v>#REF!</v>
      </c>
    </row>
    <row r="197" spans="2:10" ht="15.6" x14ac:dyDescent="0.25">
      <c r="B197" s="122"/>
      <c r="C197" s="69" t="s">
        <v>383</v>
      </c>
      <c r="D197" s="61" t="s">
        <v>2</v>
      </c>
      <c r="E197" s="62" t="e">
        <f t="shared" si="30"/>
        <v>#REF!</v>
      </c>
      <c r="F197" s="62">
        <f>'Прайс для расчета'!E181</f>
        <v>1506.75</v>
      </c>
      <c r="G197" s="123" t="e">
        <f t="shared" si="27"/>
        <v>#REF!</v>
      </c>
      <c r="I197" s="134">
        <f>'Прайс для расчета (М)'!E181</f>
        <v>753.375</v>
      </c>
      <c r="J197" s="133" t="e">
        <f t="shared" si="28"/>
        <v>#REF!</v>
      </c>
    </row>
    <row r="198" spans="2:10" ht="15.6" x14ac:dyDescent="0.25">
      <c r="B198" s="122"/>
      <c r="C198" s="69" t="s">
        <v>384</v>
      </c>
      <c r="D198" s="61" t="s">
        <v>2</v>
      </c>
      <c r="E198" s="62" t="e">
        <f t="shared" si="30"/>
        <v>#REF!</v>
      </c>
      <c r="F198" s="62">
        <f>'Прайс для расчета'!E182</f>
        <v>1821.75</v>
      </c>
      <c r="G198" s="123" t="e">
        <f t="shared" si="27"/>
        <v>#REF!</v>
      </c>
      <c r="I198" s="134">
        <f>'Прайс для расчета (М)'!E182</f>
        <v>910.875</v>
      </c>
      <c r="J198" s="133" t="e">
        <f t="shared" si="28"/>
        <v>#REF!</v>
      </c>
    </row>
    <row r="199" spans="2:10" ht="15.6" x14ac:dyDescent="0.25">
      <c r="B199" s="122"/>
      <c r="C199" s="69" t="s">
        <v>385</v>
      </c>
      <c r="D199" s="61" t="s">
        <v>2</v>
      </c>
      <c r="E199" s="62" t="e">
        <f t="shared" si="30"/>
        <v>#REF!</v>
      </c>
      <c r="F199" s="62">
        <f>'Прайс для расчета'!E183</f>
        <v>1149.75</v>
      </c>
      <c r="G199" s="123" t="e">
        <f t="shared" si="27"/>
        <v>#REF!</v>
      </c>
      <c r="I199" s="134">
        <f>'Прайс для расчета (М)'!E183</f>
        <v>574.875</v>
      </c>
      <c r="J199" s="133" t="e">
        <f t="shared" si="28"/>
        <v>#REF!</v>
      </c>
    </row>
    <row r="200" spans="2:10" ht="15.6" x14ac:dyDescent="0.25">
      <c r="B200" s="122"/>
      <c r="C200" s="69" t="s">
        <v>509</v>
      </c>
      <c r="D200" s="61" t="s">
        <v>2</v>
      </c>
      <c r="E200" s="62" t="e">
        <f t="shared" si="30"/>
        <v>#REF!</v>
      </c>
      <c r="F200" s="62">
        <f>'Прайс для расчета'!E184</f>
        <v>1527.75</v>
      </c>
      <c r="G200" s="123" t="e">
        <f t="shared" si="27"/>
        <v>#REF!</v>
      </c>
      <c r="I200" s="134">
        <f>'Прайс для расчета (М)'!E184</f>
        <v>763.875</v>
      </c>
      <c r="J200" s="133" t="e">
        <f t="shared" si="28"/>
        <v>#REF!</v>
      </c>
    </row>
    <row r="201" spans="2:10" ht="15.6" x14ac:dyDescent="0.25">
      <c r="B201" s="122"/>
      <c r="C201" s="69" t="s">
        <v>510</v>
      </c>
      <c r="D201" s="61" t="s">
        <v>2</v>
      </c>
      <c r="E201" s="62" t="e">
        <f t="shared" si="30"/>
        <v>#REF!</v>
      </c>
      <c r="F201" s="62">
        <f>'Прайс для расчета'!E185</f>
        <v>1737.75</v>
      </c>
      <c r="G201" s="123" t="e">
        <f t="shared" si="27"/>
        <v>#REF!</v>
      </c>
      <c r="I201" s="134">
        <f>'Прайс для расчета (М)'!E185</f>
        <v>868.875</v>
      </c>
      <c r="J201" s="133" t="e">
        <f t="shared" si="28"/>
        <v>#REF!</v>
      </c>
    </row>
    <row r="202" spans="2:10" ht="15.6" x14ac:dyDescent="0.25">
      <c r="B202" s="122"/>
      <c r="C202" s="69" t="s">
        <v>43</v>
      </c>
      <c r="D202" s="61" t="s">
        <v>3</v>
      </c>
      <c r="E202" s="62" t="e">
        <f>ROUND(A6*1.25,0)</f>
        <v>#REF!</v>
      </c>
      <c r="F202" s="62">
        <f>'Прайс для расчета'!E186</f>
        <v>194.25</v>
      </c>
      <c r="G202" s="123" t="e">
        <f t="shared" si="27"/>
        <v>#REF!</v>
      </c>
      <c r="I202" s="134">
        <f>'Прайс для расчета (М)'!E186</f>
        <v>97.125</v>
      </c>
      <c r="J202" s="133" t="e">
        <f t="shared" si="28"/>
        <v>#REF!</v>
      </c>
    </row>
    <row r="203" spans="2:10" ht="15.6" x14ac:dyDescent="0.25">
      <c r="B203" s="122"/>
      <c r="C203" s="69" t="s">
        <v>386</v>
      </c>
      <c r="D203" s="61" t="s">
        <v>646</v>
      </c>
      <c r="E203" s="62" t="e">
        <f>$F$7</f>
        <v>#REF!</v>
      </c>
      <c r="F203" s="62">
        <f>'Прайс для расчета'!E187</f>
        <v>2089.5</v>
      </c>
      <c r="G203" s="123" t="e">
        <f t="shared" si="27"/>
        <v>#REF!</v>
      </c>
      <c r="I203" s="134">
        <f>'Прайс для расчета (М)'!E187</f>
        <v>1044.75</v>
      </c>
      <c r="J203" s="133" t="e">
        <f t="shared" si="28"/>
        <v>#REF!</v>
      </c>
    </row>
    <row r="204" spans="2:10" ht="15.6" x14ac:dyDescent="0.25">
      <c r="B204" s="122"/>
      <c r="C204" s="69" t="s">
        <v>387</v>
      </c>
      <c r="D204" s="61" t="s">
        <v>2</v>
      </c>
      <c r="E204" s="62" t="e">
        <f t="shared" ref="E204" si="31">$A$6</f>
        <v>#REF!</v>
      </c>
      <c r="F204" s="62">
        <f>'Прайс для расчета'!E188</f>
        <v>3097.5</v>
      </c>
      <c r="G204" s="123" t="e">
        <f t="shared" si="27"/>
        <v>#REF!</v>
      </c>
      <c r="I204" s="134">
        <f>'Прайс для расчета (М)'!E188</f>
        <v>1548.75</v>
      </c>
      <c r="J204" s="133" t="e">
        <f t="shared" si="28"/>
        <v>#REF!</v>
      </c>
    </row>
    <row r="205" spans="2:10" ht="15.6" x14ac:dyDescent="0.25">
      <c r="B205" s="122"/>
      <c r="C205" s="69" t="s">
        <v>388</v>
      </c>
      <c r="D205" s="61" t="s">
        <v>0</v>
      </c>
      <c r="E205" s="62">
        <v>1</v>
      </c>
      <c r="F205" s="62">
        <f>'Прайс для расчета'!E189</f>
        <v>2992.5</v>
      </c>
      <c r="G205" s="123">
        <f t="shared" si="27"/>
        <v>2992.5</v>
      </c>
      <c r="I205" s="134">
        <f>'Прайс для расчета (М)'!E189</f>
        <v>1496.25</v>
      </c>
      <c r="J205" s="133">
        <f t="shared" si="28"/>
        <v>1496.25</v>
      </c>
    </row>
    <row r="206" spans="2:10" ht="15.6" x14ac:dyDescent="0.25">
      <c r="B206" s="122"/>
      <c r="C206" s="69" t="s">
        <v>230</v>
      </c>
      <c r="D206" s="61" t="s">
        <v>2</v>
      </c>
      <c r="E206" s="62" t="e">
        <f>$A$6</f>
        <v>#REF!</v>
      </c>
      <c r="F206" s="62">
        <f>'Прайс для расчета'!E190</f>
        <v>404.06100000000004</v>
      </c>
      <c r="G206" s="123" t="e">
        <f t="shared" si="27"/>
        <v>#REF!</v>
      </c>
      <c r="I206" s="134">
        <f>'Прайс для расчета (М)'!E190</f>
        <v>202.03050000000002</v>
      </c>
      <c r="J206" s="133" t="e">
        <f t="shared" si="28"/>
        <v>#REF!</v>
      </c>
    </row>
    <row r="207" spans="2:10" ht="15.6" x14ac:dyDescent="0.25">
      <c r="B207" s="122"/>
      <c r="C207" s="69" t="s">
        <v>225</v>
      </c>
      <c r="D207" s="61" t="s">
        <v>2</v>
      </c>
      <c r="E207" s="62" t="e">
        <f>$A$6</f>
        <v>#REF!</v>
      </c>
      <c r="F207" s="62">
        <f>'Прайс для расчета'!E191</f>
        <v>282.45</v>
      </c>
      <c r="G207" s="123" t="e">
        <f t="shared" si="27"/>
        <v>#REF!</v>
      </c>
      <c r="I207" s="134">
        <f>'Прайс для расчета (М)'!E191</f>
        <v>141.22499999999999</v>
      </c>
      <c r="J207" s="133" t="e">
        <f t="shared" si="28"/>
        <v>#REF!</v>
      </c>
    </row>
    <row r="208" spans="2:10" ht="15.6" x14ac:dyDescent="0.25">
      <c r="B208" s="122"/>
      <c r="C208" s="69" t="s">
        <v>1026</v>
      </c>
      <c r="D208" s="61" t="s">
        <v>2</v>
      </c>
      <c r="E208" s="62" t="e">
        <f>$A$6</f>
        <v>#REF!</v>
      </c>
      <c r="F208" s="62">
        <f>'Прайс для расчета'!E192</f>
        <v>614.25</v>
      </c>
      <c r="G208" s="123" t="e">
        <f t="shared" si="27"/>
        <v>#REF!</v>
      </c>
      <c r="I208" s="134">
        <f>'Прайс для расчета (М)'!E192</f>
        <v>307.125</v>
      </c>
      <c r="J208" s="133" t="e">
        <f t="shared" si="28"/>
        <v>#REF!</v>
      </c>
    </row>
    <row r="209" spans="2:10" ht="15.6" x14ac:dyDescent="0.25">
      <c r="B209" s="122">
        <f>IF(SUM(B210:B218)&gt;0,1,0)</f>
        <v>0</v>
      </c>
      <c r="C209" s="60" t="s">
        <v>884</v>
      </c>
      <c r="D209" s="61"/>
      <c r="E209" s="62"/>
      <c r="F209" s="62"/>
      <c r="G209" s="123"/>
    </row>
    <row r="210" spans="2:10" ht="15.6" x14ac:dyDescent="0.25">
      <c r="B210" s="122"/>
      <c r="C210" s="69" t="s">
        <v>389</v>
      </c>
      <c r="D210" s="61" t="s">
        <v>3</v>
      </c>
      <c r="E210" s="62">
        <v>1</v>
      </c>
      <c r="F210" s="62">
        <f>'Прайс для расчета'!E193</f>
        <v>84</v>
      </c>
      <c r="G210" s="123">
        <f t="shared" ref="G210:G218" si="32">F210*E210</f>
        <v>84</v>
      </c>
      <c r="I210" s="134">
        <f>'Прайс для расчета (М)'!E193</f>
        <v>42</v>
      </c>
      <c r="J210" s="133">
        <f t="shared" ref="J210:J218" si="33">I210*E210</f>
        <v>42</v>
      </c>
    </row>
    <row r="211" spans="2:10" ht="15.6" x14ac:dyDescent="0.25">
      <c r="B211" s="122"/>
      <c r="C211" s="69" t="s">
        <v>390</v>
      </c>
      <c r="D211" s="61" t="s">
        <v>3</v>
      </c>
      <c r="E211" s="62">
        <f>E210</f>
        <v>1</v>
      </c>
      <c r="F211" s="62">
        <f>'Прайс для расчета'!E194</f>
        <v>787.5</v>
      </c>
      <c r="G211" s="123">
        <f t="shared" si="32"/>
        <v>787.5</v>
      </c>
      <c r="I211" s="134">
        <f>'Прайс для расчета (М)'!E194</f>
        <v>393.75</v>
      </c>
      <c r="J211" s="133">
        <f t="shared" si="33"/>
        <v>393.75</v>
      </c>
    </row>
    <row r="212" spans="2:10" ht="15.6" x14ac:dyDescent="0.25">
      <c r="B212" s="122"/>
      <c r="C212" s="69" t="s">
        <v>391</v>
      </c>
      <c r="D212" s="61" t="s">
        <v>3</v>
      </c>
      <c r="E212" s="62">
        <f>E210</f>
        <v>1</v>
      </c>
      <c r="F212" s="62">
        <f>'Прайс для расчета'!E195</f>
        <v>892.5</v>
      </c>
      <c r="G212" s="123">
        <f t="shared" si="32"/>
        <v>892.5</v>
      </c>
      <c r="I212" s="134">
        <f>'Прайс для расчета (М)'!E195</f>
        <v>446.25</v>
      </c>
      <c r="J212" s="133">
        <f t="shared" si="33"/>
        <v>446.25</v>
      </c>
    </row>
    <row r="213" spans="2:10" ht="15.6" x14ac:dyDescent="0.25">
      <c r="B213" s="122"/>
      <c r="C213" s="69" t="s">
        <v>392</v>
      </c>
      <c r="D213" s="61" t="s">
        <v>3</v>
      </c>
      <c r="E213" s="62">
        <f>E210</f>
        <v>1</v>
      </c>
      <c r="F213" s="62">
        <f>'Прайс для расчета'!E196</f>
        <v>997.5</v>
      </c>
      <c r="G213" s="123">
        <f t="shared" si="32"/>
        <v>997.5</v>
      </c>
      <c r="I213" s="134">
        <f>'Прайс для расчета (М)'!E196</f>
        <v>498.75</v>
      </c>
      <c r="J213" s="133">
        <f t="shared" si="33"/>
        <v>498.75</v>
      </c>
    </row>
    <row r="214" spans="2:10" ht="15.6" x14ac:dyDescent="0.25">
      <c r="B214" s="122"/>
      <c r="C214" s="69" t="s">
        <v>393</v>
      </c>
      <c r="D214" s="61" t="s">
        <v>3</v>
      </c>
      <c r="E214" s="62">
        <f>E210</f>
        <v>1</v>
      </c>
      <c r="F214" s="62">
        <f>'Прайс для расчета'!E197</f>
        <v>787.5</v>
      </c>
      <c r="G214" s="123">
        <f t="shared" si="32"/>
        <v>787.5</v>
      </c>
      <c r="I214" s="134">
        <f>'Прайс для расчета (М)'!E197</f>
        <v>393.75</v>
      </c>
      <c r="J214" s="133">
        <f t="shared" si="33"/>
        <v>393.75</v>
      </c>
    </row>
    <row r="215" spans="2:10" ht="15.6" x14ac:dyDescent="0.25">
      <c r="B215" s="122"/>
      <c r="C215" s="69" t="s">
        <v>52</v>
      </c>
      <c r="D215" s="61" t="s">
        <v>3</v>
      </c>
      <c r="E215" s="62">
        <f>E210</f>
        <v>1</v>
      </c>
      <c r="F215" s="62">
        <f>'Прайс для расчета'!E198</f>
        <v>204.75</v>
      </c>
      <c r="G215" s="123">
        <f t="shared" si="32"/>
        <v>204.75</v>
      </c>
      <c r="I215" s="134">
        <f>'Прайс для расчета (М)'!E198</f>
        <v>102.375</v>
      </c>
      <c r="J215" s="133">
        <f t="shared" si="33"/>
        <v>102.375</v>
      </c>
    </row>
    <row r="216" spans="2:10" ht="15.6" x14ac:dyDescent="0.25">
      <c r="B216" s="122"/>
      <c r="C216" s="69" t="s">
        <v>53</v>
      </c>
      <c r="D216" s="61" t="s">
        <v>3</v>
      </c>
      <c r="E216" s="62">
        <f>E210</f>
        <v>1</v>
      </c>
      <c r="F216" s="62">
        <f>'Прайс для расчета'!E199</f>
        <v>194.25</v>
      </c>
      <c r="G216" s="123">
        <f t="shared" si="32"/>
        <v>194.25</v>
      </c>
      <c r="I216" s="134">
        <f>'Прайс для расчета (М)'!E199</f>
        <v>97.125</v>
      </c>
      <c r="J216" s="133">
        <f t="shared" si="33"/>
        <v>97.125</v>
      </c>
    </row>
    <row r="217" spans="2:10" ht="15.6" x14ac:dyDescent="0.25">
      <c r="B217" s="122"/>
      <c r="C217" s="69" t="s">
        <v>394</v>
      </c>
      <c r="D217" s="61" t="s">
        <v>3</v>
      </c>
      <c r="E217" s="62">
        <f>E210</f>
        <v>1</v>
      </c>
      <c r="F217" s="62">
        <f>'Прайс для расчета'!E200</f>
        <v>866.25</v>
      </c>
      <c r="G217" s="123">
        <f t="shared" si="32"/>
        <v>866.25</v>
      </c>
      <c r="I217" s="134">
        <f>'Прайс для расчета (М)'!E200</f>
        <v>433.125</v>
      </c>
      <c r="J217" s="133">
        <f t="shared" si="33"/>
        <v>433.125</v>
      </c>
    </row>
    <row r="218" spans="2:10" ht="15.6" x14ac:dyDescent="0.25">
      <c r="B218" s="122"/>
      <c r="C218" s="69" t="s">
        <v>395</v>
      </c>
      <c r="D218" s="61" t="s">
        <v>3</v>
      </c>
      <c r="E218" s="62">
        <f>E210</f>
        <v>1</v>
      </c>
      <c r="F218" s="62">
        <f>'Прайс для расчета'!E201</f>
        <v>262.5</v>
      </c>
      <c r="G218" s="123">
        <f t="shared" si="32"/>
        <v>262.5</v>
      </c>
      <c r="I218" s="134">
        <f>'Прайс для расчета (М)'!E201</f>
        <v>131.25</v>
      </c>
      <c r="J218" s="133">
        <f t="shared" si="33"/>
        <v>131.25</v>
      </c>
    </row>
    <row r="219" spans="2:10" ht="15.6" x14ac:dyDescent="0.25">
      <c r="B219" s="122">
        <f>IF(SUM(B220:B247)&gt;0,1,0)</f>
        <v>0</v>
      </c>
      <c r="C219" s="60" t="s">
        <v>879</v>
      </c>
      <c r="D219" s="61"/>
      <c r="E219" s="62"/>
      <c r="F219" s="62"/>
      <c r="G219" s="123"/>
    </row>
    <row r="220" spans="2:10" ht="15.6" x14ac:dyDescent="0.25">
      <c r="B220" s="122"/>
      <c r="C220" s="69" t="s">
        <v>1022</v>
      </c>
      <c r="D220" s="61" t="s">
        <v>2</v>
      </c>
      <c r="E220" s="62">
        <f t="shared" ref="E220:E226" si="34">$A$4</f>
        <v>0</v>
      </c>
      <c r="F220" s="62">
        <f>'Прайс для расчета'!E202</f>
        <v>135.45000000000002</v>
      </c>
      <c r="G220" s="123">
        <f t="shared" ref="G220:G246" si="35">F220*E220</f>
        <v>0</v>
      </c>
      <c r="I220" s="134">
        <f>'Прайс для расчета (М)'!E202</f>
        <v>67.725000000000009</v>
      </c>
      <c r="J220" s="133">
        <f t="shared" ref="J220:J247" si="36">I220*E220</f>
        <v>0</v>
      </c>
    </row>
    <row r="221" spans="2:10" ht="15.6" x14ac:dyDescent="0.25">
      <c r="B221" s="122"/>
      <c r="C221" s="69" t="s">
        <v>1105</v>
      </c>
      <c r="D221" s="61" t="s">
        <v>3</v>
      </c>
      <c r="E221" s="62">
        <f t="shared" si="34"/>
        <v>0</v>
      </c>
      <c r="F221" s="62">
        <f>'Прайс для расчета'!E203</f>
        <v>210</v>
      </c>
      <c r="G221" s="123">
        <f t="shared" ref="G221" si="37">F221*E221</f>
        <v>0</v>
      </c>
      <c r="I221" s="134">
        <f>'Прайс для расчета (М)'!E203</f>
        <v>105</v>
      </c>
      <c r="J221" s="133">
        <f t="shared" si="36"/>
        <v>0</v>
      </c>
    </row>
    <row r="222" spans="2:10" ht="15.6" x14ac:dyDescent="0.25">
      <c r="B222" s="122"/>
      <c r="C222" s="69" t="s">
        <v>1032</v>
      </c>
      <c r="D222" s="61" t="s">
        <v>2</v>
      </c>
      <c r="E222" s="62">
        <f t="shared" si="34"/>
        <v>0</v>
      </c>
      <c r="F222" s="62">
        <f>'Прайс для расчета'!E204</f>
        <v>892.5</v>
      </c>
      <c r="G222" s="123">
        <f t="shared" si="35"/>
        <v>0</v>
      </c>
      <c r="I222" s="134">
        <f>'Прайс для расчета (М)'!E204</f>
        <v>446.25</v>
      </c>
      <c r="J222" s="133">
        <f t="shared" si="36"/>
        <v>0</v>
      </c>
    </row>
    <row r="223" spans="2:10" ht="15.6" x14ac:dyDescent="0.25">
      <c r="B223" s="122"/>
      <c r="C223" s="69" t="s">
        <v>1130</v>
      </c>
      <c r="D223" s="61" t="s">
        <v>2</v>
      </c>
      <c r="E223" s="62">
        <f t="shared" si="34"/>
        <v>0</v>
      </c>
      <c r="F223" s="62">
        <f>'Прайс для расчета'!E205</f>
        <v>1102.5</v>
      </c>
      <c r="G223" s="123">
        <f t="shared" si="35"/>
        <v>0</v>
      </c>
      <c r="I223" s="134">
        <f>'Прайс для расчета (М)'!E205</f>
        <v>551.25</v>
      </c>
      <c r="J223" s="133">
        <f t="shared" si="36"/>
        <v>0</v>
      </c>
    </row>
    <row r="224" spans="2:10" ht="15.6" x14ac:dyDescent="0.25">
      <c r="B224" s="122"/>
      <c r="C224" s="69" t="s">
        <v>1131</v>
      </c>
      <c r="D224" s="61" t="s">
        <v>2</v>
      </c>
      <c r="E224" s="62">
        <f t="shared" si="34"/>
        <v>0</v>
      </c>
      <c r="F224" s="62">
        <f>'Прайс для расчета'!E206</f>
        <v>892.5</v>
      </c>
      <c r="G224" s="123">
        <f t="shared" si="35"/>
        <v>0</v>
      </c>
      <c r="I224" s="134">
        <f>'Прайс для расчета (М)'!E206</f>
        <v>446.25</v>
      </c>
      <c r="J224" s="133">
        <f t="shared" si="36"/>
        <v>0</v>
      </c>
    </row>
    <row r="225" spans="2:10" ht="15.6" x14ac:dyDescent="0.25">
      <c r="B225" s="122"/>
      <c r="C225" s="69" t="s">
        <v>1106</v>
      </c>
      <c r="D225" s="61" t="s">
        <v>3</v>
      </c>
      <c r="E225" s="62">
        <f t="shared" si="34"/>
        <v>0</v>
      </c>
      <c r="F225" s="62">
        <f>'Прайс для расчета'!E207</f>
        <v>210</v>
      </c>
      <c r="G225" s="123">
        <f t="shared" si="35"/>
        <v>0</v>
      </c>
      <c r="I225" s="134">
        <f>'Прайс для расчета (М)'!E207</f>
        <v>105</v>
      </c>
      <c r="J225" s="133">
        <f t="shared" si="36"/>
        <v>0</v>
      </c>
    </row>
    <row r="226" spans="2:10" ht="15.6" x14ac:dyDescent="0.25">
      <c r="B226" s="122"/>
      <c r="C226" s="69" t="s">
        <v>1008</v>
      </c>
      <c r="D226" s="61" t="s">
        <v>2</v>
      </c>
      <c r="E226" s="62">
        <f t="shared" si="34"/>
        <v>0</v>
      </c>
      <c r="F226" s="62">
        <f>'Прайс для расчета'!E208</f>
        <v>3097.5</v>
      </c>
      <c r="G226" s="123">
        <f t="shared" si="35"/>
        <v>0</v>
      </c>
      <c r="I226" s="134">
        <f>'Прайс для расчета (М)'!E208</f>
        <v>1548.75</v>
      </c>
      <c r="J226" s="133">
        <f t="shared" si="36"/>
        <v>0</v>
      </c>
    </row>
    <row r="227" spans="2:10" ht="15.6" x14ac:dyDescent="0.25">
      <c r="B227" s="122"/>
      <c r="C227" s="69" t="s">
        <v>400</v>
      </c>
      <c r="D227" s="61" t="s">
        <v>3</v>
      </c>
      <c r="E227" s="62">
        <f>E79</f>
        <v>0</v>
      </c>
      <c r="F227" s="62">
        <f>'Прайс для расчета'!E209</f>
        <v>240.05099999999999</v>
      </c>
      <c r="G227" s="123">
        <f t="shared" si="35"/>
        <v>0</v>
      </c>
      <c r="I227" s="134">
        <f>'Прайс для расчета (М)'!E209</f>
        <v>120.02549999999999</v>
      </c>
      <c r="J227" s="133">
        <f t="shared" si="36"/>
        <v>0</v>
      </c>
    </row>
    <row r="228" spans="2:10" ht="15.6" x14ac:dyDescent="0.25">
      <c r="B228" s="122"/>
      <c r="C228" s="69" t="s">
        <v>401</v>
      </c>
      <c r="D228" s="61" t="s">
        <v>3</v>
      </c>
      <c r="E228" s="62">
        <f>ROUND(A4*1.25,0)</f>
        <v>0</v>
      </c>
      <c r="F228" s="62">
        <f>'Прайс для расчета'!E210</f>
        <v>164.01</v>
      </c>
      <c r="G228" s="123">
        <f t="shared" si="35"/>
        <v>0</v>
      </c>
      <c r="I228" s="134">
        <f>'Прайс для расчета (М)'!E210</f>
        <v>82.004999999999995</v>
      </c>
      <c r="J228" s="133">
        <f t="shared" si="36"/>
        <v>0</v>
      </c>
    </row>
    <row r="229" spans="2:10" ht="15.6" x14ac:dyDescent="0.25">
      <c r="B229" s="122"/>
      <c r="C229" s="69" t="s">
        <v>675</v>
      </c>
      <c r="D229" s="61" t="s">
        <v>2</v>
      </c>
      <c r="E229" s="62">
        <f t="shared" ref="E229:E238" si="38">$A$4</f>
        <v>0</v>
      </c>
      <c r="F229" s="62">
        <f>'Прайс для расчета'!E211</f>
        <v>477.12</v>
      </c>
      <c r="G229" s="123">
        <f t="shared" si="35"/>
        <v>0</v>
      </c>
      <c r="I229" s="134">
        <f>'Прайс для расчета (М)'!E211</f>
        <v>238.56</v>
      </c>
      <c r="J229" s="133">
        <f t="shared" si="36"/>
        <v>0</v>
      </c>
    </row>
    <row r="230" spans="2:10" ht="15.6" x14ac:dyDescent="0.25">
      <c r="B230" s="122"/>
      <c r="C230" s="69" t="s">
        <v>1023</v>
      </c>
      <c r="D230" s="61" t="s">
        <v>2</v>
      </c>
      <c r="E230" s="62">
        <f t="shared" si="38"/>
        <v>0</v>
      </c>
      <c r="F230" s="62">
        <f>'Прайс для расчета'!E212</f>
        <v>124.95</v>
      </c>
      <c r="G230" s="123">
        <f t="shared" si="35"/>
        <v>0</v>
      </c>
      <c r="I230" s="134">
        <f>'Прайс для расчета (М)'!E212</f>
        <v>62.475000000000001</v>
      </c>
      <c r="J230" s="133">
        <f t="shared" si="36"/>
        <v>0</v>
      </c>
    </row>
    <row r="231" spans="2:10" ht="15.6" x14ac:dyDescent="0.25">
      <c r="B231" s="122"/>
      <c r="C231" s="69" t="s">
        <v>1132</v>
      </c>
      <c r="D231" s="61" t="s">
        <v>2</v>
      </c>
      <c r="E231" s="62">
        <f t="shared" si="38"/>
        <v>0</v>
      </c>
      <c r="F231" s="62">
        <f>'Прайс для расчета'!E213</f>
        <v>199.5</v>
      </c>
      <c r="G231" s="123">
        <f t="shared" ref="G231" si="39">F231*E231</f>
        <v>0</v>
      </c>
      <c r="I231" s="134">
        <f>'Прайс для расчета (М)'!E213</f>
        <v>99.75</v>
      </c>
      <c r="J231" s="133">
        <f t="shared" si="36"/>
        <v>0</v>
      </c>
    </row>
    <row r="232" spans="2:10" ht="15.6" x14ac:dyDescent="0.25">
      <c r="B232" s="122"/>
      <c r="C232" s="69" t="s">
        <v>676</v>
      </c>
      <c r="D232" s="61" t="s">
        <v>2</v>
      </c>
      <c r="E232" s="62">
        <f t="shared" si="38"/>
        <v>0</v>
      </c>
      <c r="F232" s="62">
        <f>'Прайс для расчета'!E214</f>
        <v>299.25</v>
      </c>
      <c r="G232" s="123">
        <f t="shared" si="35"/>
        <v>0</v>
      </c>
      <c r="I232" s="134">
        <f>'Прайс для расчета (М)'!E214</f>
        <v>149.625</v>
      </c>
      <c r="J232" s="133">
        <f t="shared" si="36"/>
        <v>0</v>
      </c>
    </row>
    <row r="233" spans="2:10" ht="15.6" x14ac:dyDescent="0.25">
      <c r="B233" s="122"/>
      <c r="C233" s="69" t="s">
        <v>403</v>
      </c>
      <c r="D233" s="61" t="s">
        <v>2</v>
      </c>
      <c r="E233" s="62">
        <f t="shared" si="38"/>
        <v>0</v>
      </c>
      <c r="F233" s="62">
        <f>'Прайс для расчета'!E215</f>
        <v>236.25</v>
      </c>
      <c r="G233" s="123">
        <f t="shared" si="35"/>
        <v>0</v>
      </c>
      <c r="I233" s="134">
        <f>'Прайс для расчета (М)'!E215</f>
        <v>118.125</v>
      </c>
      <c r="J233" s="133">
        <f t="shared" si="36"/>
        <v>0</v>
      </c>
    </row>
    <row r="234" spans="2:10" ht="15.6" x14ac:dyDescent="0.25">
      <c r="B234" s="122"/>
      <c r="C234" s="69" t="s">
        <v>1035</v>
      </c>
      <c r="D234" s="61" t="s">
        <v>2</v>
      </c>
      <c r="E234" s="62">
        <f t="shared" si="38"/>
        <v>0</v>
      </c>
      <c r="F234" s="62">
        <f>'Прайс для расчета'!E216</f>
        <v>624.75</v>
      </c>
      <c r="G234" s="123">
        <f t="shared" si="35"/>
        <v>0</v>
      </c>
      <c r="I234" s="134">
        <f>'Прайс для расчета (М)'!E216</f>
        <v>312.375</v>
      </c>
      <c r="J234" s="133">
        <f t="shared" si="36"/>
        <v>0</v>
      </c>
    </row>
    <row r="235" spans="2:10" ht="15.6" x14ac:dyDescent="0.25">
      <c r="B235" s="122"/>
      <c r="C235" s="69" t="s">
        <v>1138</v>
      </c>
      <c r="D235" s="61" t="s">
        <v>2</v>
      </c>
      <c r="E235" s="62">
        <f t="shared" si="38"/>
        <v>0</v>
      </c>
      <c r="F235" s="62">
        <f>'Прайс для расчета'!E217</f>
        <v>787.5</v>
      </c>
      <c r="G235" s="123">
        <f t="shared" si="35"/>
        <v>0</v>
      </c>
      <c r="I235" s="134">
        <f>'Прайс для расчета (М)'!E217</f>
        <v>393.75</v>
      </c>
      <c r="J235" s="133">
        <f t="shared" si="36"/>
        <v>0</v>
      </c>
    </row>
    <row r="236" spans="2:10" ht="15.6" x14ac:dyDescent="0.25">
      <c r="B236" s="122"/>
      <c r="C236" s="69" t="s">
        <v>1137</v>
      </c>
      <c r="D236" s="61" t="s">
        <v>2</v>
      </c>
      <c r="E236" s="62">
        <f t="shared" si="38"/>
        <v>0</v>
      </c>
      <c r="F236" s="62">
        <f>'Прайс для расчета'!E218</f>
        <v>1207.5</v>
      </c>
      <c r="G236" s="123">
        <f t="shared" si="35"/>
        <v>0</v>
      </c>
      <c r="I236" s="134">
        <f>'Прайс для расчета (М)'!E218</f>
        <v>603.75</v>
      </c>
      <c r="J236" s="133">
        <f t="shared" si="36"/>
        <v>0</v>
      </c>
    </row>
    <row r="237" spans="2:10" ht="15.6" x14ac:dyDescent="0.25">
      <c r="B237" s="122"/>
      <c r="C237" s="69" t="s">
        <v>1139</v>
      </c>
      <c r="D237" s="61" t="s">
        <v>2</v>
      </c>
      <c r="E237" s="62">
        <f t="shared" si="38"/>
        <v>0</v>
      </c>
      <c r="F237" s="62">
        <f>'Прайс для расчета'!E219</f>
        <v>262.5</v>
      </c>
      <c r="G237" s="123">
        <f t="shared" si="35"/>
        <v>0</v>
      </c>
      <c r="I237" s="134">
        <f>'Прайс для расчета (М)'!E219</f>
        <v>131.25</v>
      </c>
      <c r="J237" s="133">
        <f t="shared" si="36"/>
        <v>0</v>
      </c>
    </row>
    <row r="238" spans="2:10" ht="15.6" x14ac:dyDescent="0.25">
      <c r="B238" s="122"/>
      <c r="C238" s="69" t="s">
        <v>1142</v>
      </c>
      <c r="D238" s="61" t="s">
        <v>2</v>
      </c>
      <c r="E238" s="62">
        <f t="shared" si="38"/>
        <v>0</v>
      </c>
      <c r="F238" s="62">
        <f>'Прайс для расчета'!E220</f>
        <v>997.5</v>
      </c>
      <c r="G238" s="123">
        <f t="shared" si="35"/>
        <v>0</v>
      </c>
      <c r="I238" s="134">
        <f>'Прайс для расчета (М)'!E220</f>
        <v>498.75</v>
      </c>
      <c r="J238" s="133">
        <f t="shared" si="36"/>
        <v>0</v>
      </c>
    </row>
    <row r="239" spans="2:10" ht="15.6" x14ac:dyDescent="0.25">
      <c r="B239" s="122"/>
      <c r="C239" s="69" t="s">
        <v>4</v>
      </c>
      <c r="D239" s="61" t="s">
        <v>3</v>
      </c>
      <c r="E239" s="62">
        <v>1</v>
      </c>
      <c r="F239" s="62">
        <f>'Прайс для расчета'!E221</f>
        <v>735</v>
      </c>
      <c r="G239" s="123">
        <f t="shared" si="35"/>
        <v>735</v>
      </c>
      <c r="I239" s="134">
        <f>'Прайс для расчета (М)'!E221</f>
        <v>367.5</v>
      </c>
      <c r="J239" s="133">
        <f t="shared" si="36"/>
        <v>367.5</v>
      </c>
    </row>
    <row r="240" spans="2:10" ht="15.6" x14ac:dyDescent="0.25">
      <c r="B240" s="122"/>
      <c r="C240" s="69" t="s">
        <v>1001</v>
      </c>
      <c r="D240" s="61" t="s">
        <v>2</v>
      </c>
      <c r="E240" s="62">
        <f>$A$4</f>
        <v>0</v>
      </c>
      <c r="F240" s="62">
        <f>'Прайс для расчета'!E222</f>
        <v>105</v>
      </c>
      <c r="G240" s="123">
        <f t="shared" si="35"/>
        <v>0</v>
      </c>
      <c r="I240" s="134">
        <f>'Прайс для расчета (М)'!E222</f>
        <v>52.5</v>
      </c>
      <c r="J240" s="133">
        <f t="shared" si="36"/>
        <v>0</v>
      </c>
    </row>
    <row r="241" spans="2:10" ht="15.6" x14ac:dyDescent="0.25">
      <c r="B241" s="122"/>
      <c r="C241" s="69" t="s">
        <v>153</v>
      </c>
      <c r="D241" s="61" t="s">
        <v>2</v>
      </c>
      <c r="E241" s="62">
        <f>$A$4</f>
        <v>0</v>
      </c>
      <c r="F241" s="62">
        <f>'Прайс для расчета'!E223</f>
        <v>292.95</v>
      </c>
      <c r="G241" s="123">
        <f t="shared" si="35"/>
        <v>0</v>
      </c>
      <c r="I241" s="134">
        <f>'Прайс для расчета (М)'!E223</f>
        <v>146.47499999999999</v>
      </c>
      <c r="J241" s="133">
        <f t="shared" si="36"/>
        <v>0</v>
      </c>
    </row>
    <row r="242" spans="2:10" ht="15.6" x14ac:dyDescent="0.25">
      <c r="B242" s="122"/>
      <c r="C242" s="69" t="s">
        <v>1027</v>
      </c>
      <c r="D242" s="61" t="s">
        <v>2</v>
      </c>
      <c r="E242" s="62">
        <f>$A$4</f>
        <v>0</v>
      </c>
      <c r="F242" s="62">
        <f>'Прайс для расчета'!E224</f>
        <v>719.25</v>
      </c>
      <c r="G242" s="123">
        <f t="shared" si="35"/>
        <v>0</v>
      </c>
      <c r="I242" s="134">
        <f>'Прайс для расчета (М)'!E224</f>
        <v>359.625</v>
      </c>
      <c r="J242" s="133">
        <f t="shared" si="36"/>
        <v>0</v>
      </c>
    </row>
    <row r="243" spans="2:10" ht="15.6" x14ac:dyDescent="0.25">
      <c r="B243" s="122"/>
      <c r="C243" s="69" t="s">
        <v>982</v>
      </c>
      <c r="D243" s="61" t="s">
        <v>3</v>
      </c>
      <c r="E243" s="62">
        <v>1</v>
      </c>
      <c r="F243" s="62">
        <f>'Прайс для расчета'!E225</f>
        <v>2299.5</v>
      </c>
      <c r="G243" s="123">
        <f t="shared" si="35"/>
        <v>2299.5</v>
      </c>
      <c r="I243" s="134">
        <f>'Прайс для расчета (М)'!E225</f>
        <v>1149.75</v>
      </c>
      <c r="J243" s="133">
        <f t="shared" si="36"/>
        <v>1149.75</v>
      </c>
    </row>
    <row r="244" spans="2:10" ht="15.6" x14ac:dyDescent="0.25">
      <c r="B244" s="122"/>
      <c r="C244" s="69" t="s">
        <v>1050</v>
      </c>
      <c r="D244" s="61" t="s">
        <v>2</v>
      </c>
      <c r="E244" s="62">
        <f>$A$4</f>
        <v>0</v>
      </c>
      <c r="F244" s="62">
        <f>'Прайс для расчета'!E226</f>
        <v>1942.5</v>
      </c>
      <c r="G244" s="123">
        <f t="shared" si="35"/>
        <v>0</v>
      </c>
      <c r="I244" s="134">
        <f>'Прайс для расчета (М)'!E226</f>
        <v>971.25</v>
      </c>
      <c r="J244" s="133">
        <f t="shared" si="36"/>
        <v>0</v>
      </c>
    </row>
    <row r="245" spans="2:10" ht="15.6" x14ac:dyDescent="0.25">
      <c r="B245" s="122"/>
      <c r="C245" s="69" t="s">
        <v>1049</v>
      </c>
      <c r="D245" s="61" t="s">
        <v>2</v>
      </c>
      <c r="E245" s="62">
        <f>$A$4</f>
        <v>0</v>
      </c>
      <c r="F245" s="62">
        <f>'Прайс для расчета'!E227</f>
        <v>2047.5</v>
      </c>
      <c r="G245" s="123">
        <f t="shared" si="35"/>
        <v>0</v>
      </c>
      <c r="I245" s="134">
        <f>'Прайс для расчета (М)'!E227</f>
        <v>1023.75</v>
      </c>
      <c r="J245" s="133">
        <f t="shared" si="36"/>
        <v>0</v>
      </c>
    </row>
    <row r="246" spans="2:10" ht="15.6" x14ac:dyDescent="0.25">
      <c r="B246" s="122"/>
      <c r="C246" s="69" t="s">
        <v>1051</v>
      </c>
      <c r="D246" s="61" t="s">
        <v>3</v>
      </c>
      <c r="E246" s="62">
        <v>1</v>
      </c>
      <c r="F246" s="62">
        <f>'Прайс для расчета'!E228</f>
        <v>2467.5</v>
      </c>
      <c r="G246" s="123">
        <f t="shared" si="35"/>
        <v>2467.5</v>
      </c>
      <c r="I246" s="134">
        <f>'Прайс для расчета (М)'!E228</f>
        <v>1233.75</v>
      </c>
      <c r="J246" s="133">
        <f t="shared" si="36"/>
        <v>1233.75</v>
      </c>
    </row>
    <row r="247" spans="2:10" ht="15.6" x14ac:dyDescent="0.25">
      <c r="B247" s="122"/>
      <c r="C247" s="69" t="s">
        <v>888</v>
      </c>
      <c r="D247" s="61" t="s">
        <v>3</v>
      </c>
      <c r="E247" s="62">
        <v>1</v>
      </c>
      <c r="F247" s="62">
        <f>'Прайс для расчета'!E229</f>
        <v>2677.5</v>
      </c>
      <c r="G247" s="123">
        <f t="shared" ref="G247" si="40">F247*E247</f>
        <v>2677.5</v>
      </c>
      <c r="I247" s="134">
        <f>'Прайс для расчета (М)'!E229</f>
        <v>1338.75</v>
      </c>
      <c r="J247" s="133">
        <f t="shared" si="36"/>
        <v>1338.75</v>
      </c>
    </row>
    <row r="248" spans="2:10" ht="20.100000000000001" customHeight="1" x14ac:dyDescent="0.25">
      <c r="B248" s="140">
        <f>IF(SUM(B139:B247)&gt;0,1,0)</f>
        <v>0</v>
      </c>
      <c r="C248" s="245" t="s">
        <v>514</v>
      </c>
      <c r="D248" s="245"/>
      <c r="E248" s="245"/>
      <c r="F248" s="245"/>
      <c r="G248" s="150">
        <f>SUMIF(B140:B247,1,G140:G247)</f>
        <v>0</v>
      </c>
      <c r="J248" s="133">
        <f>SUMIF(B140:B247,1,J140:J247)</f>
        <v>0</v>
      </c>
    </row>
    <row r="249" spans="2:10" ht="15.6" x14ac:dyDescent="0.25">
      <c r="B249" s="147">
        <f>IF(SUM(B250:B361)&gt;0,1,0)</f>
        <v>0</v>
      </c>
      <c r="C249" s="148" t="s">
        <v>648</v>
      </c>
      <c r="D249" s="149" t="s">
        <v>179</v>
      </c>
      <c r="E249" s="149" t="s">
        <v>180</v>
      </c>
      <c r="F249" s="149" t="s">
        <v>1</v>
      </c>
      <c r="G249" s="149" t="s">
        <v>181</v>
      </c>
      <c r="I249" s="132" t="s">
        <v>1</v>
      </c>
      <c r="J249" s="133" t="s">
        <v>181</v>
      </c>
    </row>
    <row r="250" spans="2:10" ht="15.6" x14ac:dyDescent="0.25">
      <c r="B250" s="122">
        <f>IF(SUM(B251:B286)&gt;0,1,0)</f>
        <v>0</v>
      </c>
      <c r="C250" s="60" t="s">
        <v>877</v>
      </c>
      <c r="D250" s="61"/>
      <c r="E250" s="62"/>
      <c r="F250" s="62"/>
      <c r="G250" s="123"/>
    </row>
    <row r="251" spans="2:10" ht="15.6" x14ac:dyDescent="0.3">
      <c r="B251" s="122"/>
      <c r="C251" s="78" t="s">
        <v>933</v>
      </c>
      <c r="D251" s="74" t="s">
        <v>2</v>
      </c>
      <c r="E251" s="62">
        <f>$A$4</f>
        <v>0</v>
      </c>
      <c r="F251" s="62">
        <f>'Прайс для расчета'!E230</f>
        <v>2518.9500000000003</v>
      </c>
      <c r="G251" s="123">
        <f t="shared" ref="G251:G286" si="41">F251*E251</f>
        <v>0</v>
      </c>
      <c r="I251" s="134">
        <f>'Прайс для расчета (М)'!E230</f>
        <v>1259.4750000000001</v>
      </c>
      <c r="J251" s="133">
        <f t="shared" ref="J251:J286" si="42">I251*E251</f>
        <v>0</v>
      </c>
    </row>
    <row r="252" spans="2:10" ht="15.6" x14ac:dyDescent="0.3">
      <c r="B252" s="122"/>
      <c r="C252" s="78" t="s">
        <v>233</v>
      </c>
      <c r="D252" s="74" t="s">
        <v>3</v>
      </c>
      <c r="E252" s="62">
        <f t="shared" ref="E252:E260" si="43">$A$4</f>
        <v>0</v>
      </c>
      <c r="F252" s="62">
        <f>'Прайс для расчета'!E231</f>
        <v>509.25</v>
      </c>
      <c r="G252" s="123">
        <f t="shared" si="41"/>
        <v>0</v>
      </c>
      <c r="I252" s="134">
        <f>'Прайс для расчета (М)'!E231</f>
        <v>254.625</v>
      </c>
      <c r="J252" s="133">
        <f t="shared" si="42"/>
        <v>0</v>
      </c>
    </row>
    <row r="253" spans="2:10" ht="15.6" x14ac:dyDescent="0.3">
      <c r="B253" s="122"/>
      <c r="C253" s="78" t="s">
        <v>409</v>
      </c>
      <c r="D253" s="74" t="s">
        <v>2</v>
      </c>
      <c r="E253" s="62">
        <f t="shared" si="43"/>
        <v>0</v>
      </c>
      <c r="F253" s="62">
        <f>'Прайс для расчета'!E232</f>
        <v>2718.4500000000003</v>
      </c>
      <c r="G253" s="123">
        <f t="shared" si="41"/>
        <v>0</v>
      </c>
      <c r="I253" s="134">
        <f>'Прайс для расчета (М)'!E232</f>
        <v>1359.2250000000001</v>
      </c>
      <c r="J253" s="133">
        <f t="shared" si="42"/>
        <v>0</v>
      </c>
    </row>
    <row r="254" spans="2:10" ht="15.6" x14ac:dyDescent="0.3">
      <c r="B254" s="122"/>
      <c r="C254" s="78" t="s">
        <v>1059</v>
      </c>
      <c r="D254" s="74" t="s">
        <v>2</v>
      </c>
      <c r="E254" s="62">
        <f t="shared" si="43"/>
        <v>0</v>
      </c>
      <c r="F254" s="62">
        <f>'Прайс для расчета'!E233</f>
        <v>1260</v>
      </c>
      <c r="G254" s="123">
        <f t="shared" si="41"/>
        <v>0</v>
      </c>
      <c r="I254" s="134">
        <f>'Прайс для расчета (М)'!E233</f>
        <v>630</v>
      </c>
      <c r="J254" s="133">
        <f t="shared" si="42"/>
        <v>0</v>
      </c>
    </row>
    <row r="255" spans="2:10" ht="15.6" x14ac:dyDescent="0.3">
      <c r="B255" s="122"/>
      <c r="C255" s="78" t="s">
        <v>411</v>
      </c>
      <c r="D255" s="74" t="s">
        <v>2</v>
      </c>
      <c r="E255" s="62">
        <f t="shared" si="43"/>
        <v>0</v>
      </c>
      <c r="F255" s="62">
        <f>'Прайс для расчета'!E234</f>
        <v>3033.4500000000003</v>
      </c>
      <c r="G255" s="123">
        <f t="shared" si="41"/>
        <v>0</v>
      </c>
      <c r="I255" s="134">
        <f>'Прайс для расчета (М)'!E234</f>
        <v>1516.7250000000001</v>
      </c>
      <c r="J255" s="133">
        <f t="shared" si="42"/>
        <v>0</v>
      </c>
    </row>
    <row r="256" spans="2:10" ht="15.6" x14ac:dyDescent="0.3">
      <c r="B256" s="122"/>
      <c r="C256" s="78" t="s">
        <v>1062</v>
      </c>
      <c r="D256" s="74" t="s">
        <v>3</v>
      </c>
      <c r="E256" s="62">
        <f t="shared" si="43"/>
        <v>0</v>
      </c>
      <c r="F256" s="62">
        <f>'Прайс для расчета'!E235</f>
        <v>971.25</v>
      </c>
      <c r="G256" s="123">
        <f t="shared" si="41"/>
        <v>0</v>
      </c>
      <c r="I256" s="134">
        <f>'Прайс для расчета (М)'!E235</f>
        <v>485.625</v>
      </c>
      <c r="J256" s="133">
        <f t="shared" si="42"/>
        <v>0</v>
      </c>
    </row>
    <row r="257" spans="2:10" ht="15.6" x14ac:dyDescent="0.3">
      <c r="B257" s="122"/>
      <c r="C257" s="78" t="s">
        <v>923</v>
      </c>
      <c r="D257" s="74" t="s">
        <v>2</v>
      </c>
      <c r="E257" s="62">
        <f t="shared" si="43"/>
        <v>0</v>
      </c>
      <c r="F257" s="62">
        <f>'Прайс для расчета'!E236</f>
        <v>3412.5</v>
      </c>
      <c r="G257" s="123">
        <f t="shared" si="41"/>
        <v>0</v>
      </c>
      <c r="I257" s="134">
        <f>'Прайс для расчета (М)'!E236</f>
        <v>1706.25</v>
      </c>
      <c r="J257" s="133">
        <f t="shared" si="42"/>
        <v>0</v>
      </c>
    </row>
    <row r="258" spans="2:10" ht="15.6" x14ac:dyDescent="0.3">
      <c r="B258" s="122"/>
      <c r="C258" s="78" t="s">
        <v>988</v>
      </c>
      <c r="D258" s="74" t="s">
        <v>2</v>
      </c>
      <c r="E258" s="62">
        <f t="shared" si="43"/>
        <v>0</v>
      </c>
      <c r="F258" s="62">
        <f>'Прайс для расчета'!E237</f>
        <v>2938.9500000000003</v>
      </c>
      <c r="G258" s="123">
        <f t="shared" si="41"/>
        <v>0</v>
      </c>
      <c r="I258" s="134">
        <f>'Прайс для расчета (М)'!E237</f>
        <v>1469.4750000000001</v>
      </c>
      <c r="J258" s="133">
        <f t="shared" si="42"/>
        <v>0</v>
      </c>
    </row>
    <row r="259" spans="2:10" ht="15.6" x14ac:dyDescent="0.3">
      <c r="B259" s="122"/>
      <c r="C259" s="78" t="s">
        <v>922</v>
      </c>
      <c r="D259" s="74" t="s">
        <v>2</v>
      </c>
      <c r="E259" s="62">
        <f t="shared" si="43"/>
        <v>0</v>
      </c>
      <c r="F259" s="62">
        <f>'Прайс для расчета'!E238</f>
        <v>3097.5</v>
      </c>
      <c r="G259" s="123">
        <f t="shared" ref="G259:G260" si="44">F259*E259</f>
        <v>0</v>
      </c>
      <c r="I259" s="134">
        <f>'Прайс для расчета (М)'!E238</f>
        <v>1548.75</v>
      </c>
      <c r="J259" s="133">
        <f t="shared" si="42"/>
        <v>0</v>
      </c>
    </row>
    <row r="260" spans="2:10" ht="15.6" x14ac:dyDescent="0.3">
      <c r="B260" s="122"/>
      <c r="C260" s="78" t="s">
        <v>989</v>
      </c>
      <c r="D260" s="74" t="s">
        <v>2</v>
      </c>
      <c r="E260" s="62">
        <f t="shared" si="43"/>
        <v>0</v>
      </c>
      <c r="F260" s="62">
        <f>'Прайс для расчета'!E239</f>
        <v>3717</v>
      </c>
      <c r="G260" s="123">
        <f t="shared" si="44"/>
        <v>0</v>
      </c>
      <c r="I260" s="134">
        <f>'Прайс для расчета (М)'!E239</f>
        <v>1858.5</v>
      </c>
      <c r="J260" s="133">
        <f t="shared" si="42"/>
        <v>0</v>
      </c>
    </row>
    <row r="261" spans="2:10" ht="15.6" x14ac:dyDescent="0.3">
      <c r="B261" s="122"/>
      <c r="C261" s="78" t="s">
        <v>936</v>
      </c>
      <c r="D261" s="74" t="s">
        <v>2</v>
      </c>
      <c r="E261" s="62">
        <f t="shared" ref="E261:E267" si="45">$A$4</f>
        <v>0</v>
      </c>
      <c r="F261" s="62">
        <f>'Прайс для расчета'!E240</f>
        <v>6237</v>
      </c>
      <c r="G261" s="123">
        <f t="shared" si="41"/>
        <v>0</v>
      </c>
      <c r="I261" s="134">
        <f>'Прайс для расчета (М)'!E240</f>
        <v>3118.5</v>
      </c>
      <c r="J261" s="133">
        <f t="shared" si="42"/>
        <v>0</v>
      </c>
    </row>
    <row r="262" spans="2:10" ht="15.6" x14ac:dyDescent="0.3">
      <c r="B262" s="122"/>
      <c r="C262" s="78" t="s">
        <v>1065</v>
      </c>
      <c r="D262" s="74" t="s">
        <v>2</v>
      </c>
      <c r="E262" s="62">
        <f t="shared" si="45"/>
        <v>0</v>
      </c>
      <c r="F262" s="62">
        <f>'Прайс для расчета'!E241</f>
        <v>3622.5</v>
      </c>
      <c r="G262" s="123">
        <f t="shared" si="41"/>
        <v>0</v>
      </c>
      <c r="I262" s="134">
        <f>'Прайс для расчета (М)'!E241</f>
        <v>1811.25</v>
      </c>
      <c r="J262" s="133">
        <f t="shared" si="42"/>
        <v>0</v>
      </c>
    </row>
    <row r="263" spans="2:10" ht="15.6" x14ac:dyDescent="0.3">
      <c r="B263" s="122"/>
      <c r="C263" s="78" t="s">
        <v>1066</v>
      </c>
      <c r="D263" s="74" t="s">
        <v>2</v>
      </c>
      <c r="E263" s="62">
        <f t="shared" si="45"/>
        <v>0</v>
      </c>
      <c r="F263" s="62">
        <f>'Прайс для расчета'!E242</f>
        <v>5197.5</v>
      </c>
      <c r="G263" s="123">
        <f t="shared" si="41"/>
        <v>0</v>
      </c>
      <c r="I263" s="134">
        <f>'Прайс для расчета (М)'!E242</f>
        <v>2598.75</v>
      </c>
      <c r="J263" s="133">
        <f t="shared" si="42"/>
        <v>0</v>
      </c>
    </row>
    <row r="264" spans="2:10" ht="15.6" x14ac:dyDescent="0.3">
      <c r="B264" s="122"/>
      <c r="C264" s="78" t="s">
        <v>1067</v>
      </c>
      <c r="D264" s="74" t="s">
        <v>2</v>
      </c>
      <c r="E264" s="62">
        <f t="shared" si="45"/>
        <v>0</v>
      </c>
      <c r="F264" s="62">
        <f>'Прайс для расчета'!E243</f>
        <v>3097.5</v>
      </c>
      <c r="G264" s="123">
        <f t="shared" si="41"/>
        <v>0</v>
      </c>
      <c r="I264" s="134">
        <f>'Прайс для расчета (М)'!E243</f>
        <v>1548.75</v>
      </c>
      <c r="J264" s="133">
        <f t="shared" si="42"/>
        <v>0</v>
      </c>
    </row>
    <row r="265" spans="2:10" ht="15.6" x14ac:dyDescent="0.3">
      <c r="B265" s="122"/>
      <c r="C265" s="78" t="s">
        <v>412</v>
      </c>
      <c r="D265" s="74" t="s">
        <v>2</v>
      </c>
      <c r="E265" s="62">
        <f t="shared" si="45"/>
        <v>0</v>
      </c>
      <c r="F265" s="62">
        <f>'Прайс для расчета'!E244</f>
        <v>404.25</v>
      </c>
      <c r="G265" s="123">
        <f t="shared" si="41"/>
        <v>0</v>
      </c>
      <c r="I265" s="134">
        <f>'Прайс для расчета (М)'!E244</f>
        <v>202.125</v>
      </c>
      <c r="J265" s="133">
        <f t="shared" si="42"/>
        <v>0</v>
      </c>
    </row>
    <row r="266" spans="2:10" ht="15.6" x14ac:dyDescent="0.3">
      <c r="B266" s="122"/>
      <c r="C266" s="78" t="s">
        <v>937</v>
      </c>
      <c r="D266" s="74" t="s">
        <v>2</v>
      </c>
      <c r="E266" s="62">
        <f t="shared" si="45"/>
        <v>0</v>
      </c>
      <c r="F266" s="62">
        <f>'Прайс для расчета'!E245</f>
        <v>1244.25</v>
      </c>
      <c r="G266" s="123">
        <f t="shared" si="41"/>
        <v>0</v>
      </c>
      <c r="I266" s="134">
        <f>'Прайс для расчета (М)'!E245</f>
        <v>622.125</v>
      </c>
      <c r="J266" s="133">
        <f t="shared" si="42"/>
        <v>0</v>
      </c>
    </row>
    <row r="267" spans="2:10" ht="15.6" x14ac:dyDescent="0.3">
      <c r="B267" s="122"/>
      <c r="C267" s="78" t="s">
        <v>938</v>
      </c>
      <c r="D267" s="74" t="s">
        <v>2</v>
      </c>
      <c r="E267" s="62">
        <f t="shared" si="45"/>
        <v>0</v>
      </c>
      <c r="F267" s="62">
        <f>'Прайс для расчета'!E246</f>
        <v>929.25</v>
      </c>
      <c r="G267" s="123">
        <f t="shared" si="41"/>
        <v>0</v>
      </c>
      <c r="I267" s="134">
        <f>'Прайс для расчета (М)'!E246</f>
        <v>464.625</v>
      </c>
      <c r="J267" s="133">
        <f t="shared" si="42"/>
        <v>0</v>
      </c>
    </row>
    <row r="268" spans="2:10" ht="15.6" x14ac:dyDescent="0.3">
      <c r="B268" s="122"/>
      <c r="C268" s="78" t="s">
        <v>677</v>
      </c>
      <c r="D268" s="74" t="s">
        <v>646</v>
      </c>
      <c r="E268" s="62">
        <f>ROUND(E262/2,0)</f>
        <v>0</v>
      </c>
      <c r="F268" s="62">
        <f>'Прайс для расчета'!E247</f>
        <v>572.25</v>
      </c>
      <c r="G268" s="123">
        <f t="shared" si="41"/>
        <v>0</v>
      </c>
      <c r="I268" s="134">
        <f>'Прайс для расчета (М)'!E247</f>
        <v>286.125</v>
      </c>
      <c r="J268" s="133">
        <f t="shared" si="42"/>
        <v>0</v>
      </c>
    </row>
    <row r="269" spans="2:10" ht="15.6" x14ac:dyDescent="0.3">
      <c r="B269" s="122"/>
      <c r="C269" s="78" t="s">
        <v>413</v>
      </c>
      <c r="D269" s="74" t="s">
        <v>646</v>
      </c>
      <c r="E269" s="62">
        <f>$A$2</f>
        <v>0</v>
      </c>
      <c r="F269" s="62">
        <f>'Прайс для расчета'!E248</f>
        <v>1023.75</v>
      </c>
      <c r="G269" s="123">
        <f t="shared" si="41"/>
        <v>0</v>
      </c>
      <c r="I269" s="134">
        <f>'Прайс для расчета (М)'!E248</f>
        <v>511.875</v>
      </c>
      <c r="J269" s="133">
        <f t="shared" si="42"/>
        <v>0</v>
      </c>
    </row>
    <row r="270" spans="2:10" ht="15.6" x14ac:dyDescent="0.25">
      <c r="B270" s="122"/>
      <c r="C270" s="69" t="s">
        <v>414</v>
      </c>
      <c r="D270" s="61" t="s">
        <v>2</v>
      </c>
      <c r="E270" s="62">
        <f t="shared" ref="E270:E280" si="46">$A$4</f>
        <v>0</v>
      </c>
      <c r="F270" s="62">
        <f>'Прайс для расчета'!E249</f>
        <v>715.68</v>
      </c>
      <c r="G270" s="123">
        <f t="shared" si="41"/>
        <v>0</v>
      </c>
      <c r="I270" s="134">
        <f>'Прайс для расчета (М)'!E249</f>
        <v>357.84</v>
      </c>
      <c r="J270" s="133">
        <f t="shared" si="42"/>
        <v>0</v>
      </c>
    </row>
    <row r="271" spans="2:10" ht="15.6" x14ac:dyDescent="0.25">
      <c r="B271" s="122"/>
      <c r="C271" s="69" t="s">
        <v>145</v>
      </c>
      <c r="D271" s="61" t="s">
        <v>2</v>
      </c>
      <c r="E271" s="62">
        <f t="shared" si="46"/>
        <v>0</v>
      </c>
      <c r="F271" s="62">
        <f>'Прайс для расчета'!E250</f>
        <v>819</v>
      </c>
      <c r="G271" s="123">
        <f t="shared" si="41"/>
        <v>0</v>
      </c>
      <c r="I271" s="134">
        <f>'Прайс для расчета (М)'!E250</f>
        <v>409.5</v>
      </c>
      <c r="J271" s="133">
        <f t="shared" si="42"/>
        <v>0</v>
      </c>
    </row>
    <row r="272" spans="2:10" ht="15.6" x14ac:dyDescent="0.25">
      <c r="B272" s="122"/>
      <c r="C272" s="69" t="s">
        <v>1072</v>
      </c>
      <c r="D272" s="61" t="s">
        <v>2</v>
      </c>
      <c r="E272" s="62">
        <f t="shared" si="46"/>
        <v>0</v>
      </c>
      <c r="F272" s="62">
        <f>'Прайс для расчета'!E251</f>
        <v>876.75</v>
      </c>
      <c r="G272" s="123">
        <f t="shared" ref="G272" si="47">F272*E272</f>
        <v>0</v>
      </c>
      <c r="I272" s="134">
        <f>'Прайс для расчета (М)'!E251</f>
        <v>438.375</v>
      </c>
      <c r="J272" s="133">
        <f t="shared" si="42"/>
        <v>0</v>
      </c>
    </row>
    <row r="273" spans="2:10" ht="15.6" x14ac:dyDescent="0.25">
      <c r="B273" s="122"/>
      <c r="C273" s="69" t="s">
        <v>1073</v>
      </c>
      <c r="D273" s="61" t="s">
        <v>2</v>
      </c>
      <c r="E273" s="62">
        <f t="shared" si="46"/>
        <v>0</v>
      </c>
      <c r="F273" s="62">
        <f>'Прайс для расчета'!E252</f>
        <v>1097.25</v>
      </c>
      <c r="G273" s="123">
        <f t="shared" ref="G273" si="48">F273*E273</f>
        <v>0</v>
      </c>
      <c r="I273" s="134">
        <f>'Прайс для расчета (М)'!E252</f>
        <v>548.625</v>
      </c>
      <c r="J273" s="133">
        <f t="shared" si="42"/>
        <v>0</v>
      </c>
    </row>
    <row r="274" spans="2:10" ht="15.6" x14ac:dyDescent="0.25">
      <c r="B274" s="122"/>
      <c r="C274" s="69" t="s">
        <v>893</v>
      </c>
      <c r="D274" s="61" t="s">
        <v>2</v>
      </c>
      <c r="E274" s="62">
        <f t="shared" si="46"/>
        <v>0</v>
      </c>
      <c r="F274" s="62">
        <f>'Прайс для расчета'!E253</f>
        <v>299.25</v>
      </c>
      <c r="G274" s="123">
        <f t="shared" si="41"/>
        <v>0</v>
      </c>
      <c r="I274" s="134">
        <f>'Прайс для расчета (М)'!E253</f>
        <v>149.625</v>
      </c>
      <c r="J274" s="133">
        <f t="shared" si="42"/>
        <v>0</v>
      </c>
    </row>
    <row r="275" spans="2:10" ht="15.6" x14ac:dyDescent="0.25">
      <c r="B275" s="122"/>
      <c r="C275" s="69" t="s">
        <v>415</v>
      </c>
      <c r="D275" s="61" t="s">
        <v>2</v>
      </c>
      <c r="E275" s="62">
        <f t="shared" si="46"/>
        <v>0</v>
      </c>
      <c r="F275" s="62">
        <f>'Прайс для расчета'!E254</f>
        <v>1044.75</v>
      </c>
      <c r="G275" s="123">
        <f t="shared" si="41"/>
        <v>0</v>
      </c>
      <c r="I275" s="134">
        <f>'Прайс для расчета (М)'!E254</f>
        <v>522.375</v>
      </c>
      <c r="J275" s="133">
        <f t="shared" si="42"/>
        <v>0</v>
      </c>
    </row>
    <row r="276" spans="2:10" ht="15.6" x14ac:dyDescent="0.25">
      <c r="B276" s="122"/>
      <c r="C276" s="69" t="s">
        <v>519</v>
      </c>
      <c r="D276" s="61" t="s">
        <v>2</v>
      </c>
      <c r="E276" s="62">
        <f t="shared" si="46"/>
        <v>0</v>
      </c>
      <c r="F276" s="62">
        <f>'Прайс для расчета'!E255</f>
        <v>1401.75</v>
      </c>
      <c r="G276" s="123">
        <f t="shared" si="41"/>
        <v>0</v>
      </c>
      <c r="I276" s="134">
        <f>'Прайс для расчета (М)'!E255</f>
        <v>700.875</v>
      </c>
      <c r="J276" s="133">
        <f t="shared" si="42"/>
        <v>0</v>
      </c>
    </row>
    <row r="277" spans="2:10" ht="15.6" x14ac:dyDescent="0.25">
      <c r="B277" s="122"/>
      <c r="C277" s="69" t="s">
        <v>891</v>
      </c>
      <c r="D277" s="61" t="s">
        <v>2</v>
      </c>
      <c r="E277" s="62">
        <f t="shared" si="46"/>
        <v>0</v>
      </c>
      <c r="F277" s="62">
        <f>'Прайс для расчета'!E256</f>
        <v>2982</v>
      </c>
      <c r="G277" s="123">
        <f t="shared" ref="G277" si="49">F277*E277</f>
        <v>0</v>
      </c>
      <c r="I277" s="134">
        <f>'Прайс для расчета (М)'!E256</f>
        <v>1491</v>
      </c>
      <c r="J277" s="133">
        <f t="shared" si="42"/>
        <v>0</v>
      </c>
    </row>
    <row r="278" spans="2:10" ht="15.6" x14ac:dyDescent="0.25">
      <c r="B278" s="122"/>
      <c r="C278" s="69" t="s">
        <v>416</v>
      </c>
      <c r="D278" s="61" t="s">
        <v>2</v>
      </c>
      <c r="E278" s="62">
        <f t="shared" si="46"/>
        <v>0</v>
      </c>
      <c r="F278" s="62">
        <f>'Прайс для расчета'!E257</f>
        <v>1155</v>
      </c>
      <c r="G278" s="123">
        <f t="shared" si="41"/>
        <v>0</v>
      </c>
      <c r="I278" s="134">
        <f>'Прайс для расчета (М)'!E257</f>
        <v>577.5</v>
      </c>
      <c r="J278" s="133">
        <f t="shared" si="42"/>
        <v>0</v>
      </c>
    </row>
    <row r="279" spans="2:10" ht="15.6" x14ac:dyDescent="0.25">
      <c r="B279" s="122"/>
      <c r="C279" s="69" t="s">
        <v>149</v>
      </c>
      <c r="D279" s="61" t="s">
        <v>2</v>
      </c>
      <c r="E279" s="62">
        <f t="shared" si="46"/>
        <v>0</v>
      </c>
      <c r="F279" s="62">
        <f>'Прайс для расчета'!E258</f>
        <v>441</v>
      </c>
      <c r="G279" s="123">
        <f t="shared" si="41"/>
        <v>0</v>
      </c>
      <c r="I279" s="134">
        <f>'Прайс для расчета (М)'!E258</f>
        <v>220.5</v>
      </c>
      <c r="J279" s="133">
        <f t="shared" si="42"/>
        <v>0</v>
      </c>
    </row>
    <row r="280" spans="2:10" ht="15.6" x14ac:dyDescent="0.25">
      <c r="B280" s="122"/>
      <c r="C280" s="69" t="s">
        <v>150</v>
      </c>
      <c r="D280" s="61" t="s">
        <v>2</v>
      </c>
      <c r="E280" s="62">
        <f t="shared" si="46"/>
        <v>0</v>
      </c>
      <c r="F280" s="62">
        <f>'Прайс для расчета'!E259</f>
        <v>514.5</v>
      </c>
      <c r="G280" s="123">
        <f t="shared" si="41"/>
        <v>0</v>
      </c>
      <c r="I280" s="134">
        <f>'Прайс для расчета (М)'!E259</f>
        <v>257.25</v>
      </c>
      <c r="J280" s="133">
        <f t="shared" si="42"/>
        <v>0</v>
      </c>
    </row>
    <row r="281" spans="2:10" ht="15.6" x14ac:dyDescent="0.25">
      <c r="B281" s="122"/>
      <c r="C281" s="69" t="s">
        <v>417</v>
      </c>
      <c r="D281" s="61" t="s">
        <v>3</v>
      </c>
      <c r="E281" s="62">
        <f>$A$2</f>
        <v>0</v>
      </c>
      <c r="F281" s="62">
        <f>'Прайс для расчета'!E260</f>
        <v>224.70000000000002</v>
      </c>
      <c r="G281" s="123">
        <f t="shared" si="41"/>
        <v>0</v>
      </c>
      <c r="I281" s="134">
        <f>'Прайс для расчета (М)'!E260</f>
        <v>112.35000000000001</v>
      </c>
      <c r="J281" s="133">
        <f t="shared" si="42"/>
        <v>0</v>
      </c>
    </row>
    <row r="282" spans="2:10" ht="15.6" x14ac:dyDescent="0.25">
      <c r="B282" s="122"/>
      <c r="C282" s="69" t="s">
        <v>250</v>
      </c>
      <c r="D282" s="61" t="s">
        <v>3</v>
      </c>
      <c r="E282" s="62">
        <f>$A$2</f>
        <v>0</v>
      </c>
      <c r="F282" s="62">
        <f>'Прайс для расчета'!E261</f>
        <v>651</v>
      </c>
      <c r="G282" s="123">
        <f t="shared" si="41"/>
        <v>0</v>
      </c>
      <c r="I282" s="134">
        <f>'Прайс для расчета (М)'!E261</f>
        <v>325.5</v>
      </c>
      <c r="J282" s="133">
        <f t="shared" si="42"/>
        <v>0</v>
      </c>
    </row>
    <row r="283" spans="2:10" ht="15.6" x14ac:dyDescent="0.25">
      <c r="B283" s="122"/>
      <c r="C283" s="69" t="s">
        <v>890</v>
      </c>
      <c r="D283" s="61" t="s">
        <v>3</v>
      </c>
      <c r="E283" s="62">
        <f t="shared" ref="E283:E285" si="50">$A$2</f>
        <v>0</v>
      </c>
      <c r="F283" s="62">
        <f>'Прайс для расчета'!E262</f>
        <v>834.75</v>
      </c>
      <c r="G283" s="123">
        <f t="shared" si="41"/>
        <v>0</v>
      </c>
      <c r="I283" s="134">
        <f>'Прайс для расчета (М)'!E262</f>
        <v>417.375</v>
      </c>
      <c r="J283" s="133">
        <f t="shared" si="42"/>
        <v>0</v>
      </c>
    </row>
    <row r="284" spans="2:10" ht="15.6" x14ac:dyDescent="0.25">
      <c r="B284" s="122"/>
      <c r="C284" s="69" t="s">
        <v>418</v>
      </c>
      <c r="D284" s="61" t="s">
        <v>0</v>
      </c>
      <c r="E284" s="62">
        <f t="shared" si="50"/>
        <v>0</v>
      </c>
      <c r="F284" s="62">
        <f>'Прайс для расчета'!E263</f>
        <v>787.5</v>
      </c>
      <c r="G284" s="123">
        <f t="shared" si="41"/>
        <v>0</v>
      </c>
      <c r="I284" s="134">
        <f>'Прайс для расчета (М)'!E263</f>
        <v>393.75</v>
      </c>
      <c r="J284" s="133">
        <f t="shared" si="42"/>
        <v>0</v>
      </c>
    </row>
    <row r="285" spans="2:10" ht="15.6" x14ac:dyDescent="0.25">
      <c r="B285" s="122"/>
      <c r="C285" s="69" t="s">
        <v>137</v>
      </c>
      <c r="D285" s="61" t="s">
        <v>0</v>
      </c>
      <c r="E285" s="62">
        <f t="shared" si="50"/>
        <v>0</v>
      </c>
      <c r="F285" s="62">
        <f>'Прайс для расчета'!E264</f>
        <v>2551.5</v>
      </c>
      <c r="G285" s="123">
        <f t="shared" si="41"/>
        <v>0</v>
      </c>
      <c r="I285" s="134">
        <f>'Прайс для расчета (М)'!E264</f>
        <v>1275.75</v>
      </c>
      <c r="J285" s="133">
        <f t="shared" si="42"/>
        <v>0</v>
      </c>
    </row>
    <row r="286" spans="2:10" ht="15.6" x14ac:dyDescent="0.25">
      <c r="B286" s="122"/>
      <c r="C286" s="69" t="s">
        <v>520</v>
      </c>
      <c r="D286" s="61" t="s">
        <v>3</v>
      </c>
      <c r="E286" s="62">
        <f>$A$2</f>
        <v>0</v>
      </c>
      <c r="F286" s="62">
        <f>'Прайс для расчета'!E265</f>
        <v>152.25</v>
      </c>
      <c r="G286" s="123">
        <f t="shared" si="41"/>
        <v>0</v>
      </c>
      <c r="I286" s="134">
        <f>'Прайс для расчета (М)'!E265</f>
        <v>76.125</v>
      </c>
      <c r="J286" s="133">
        <f t="shared" si="42"/>
        <v>0</v>
      </c>
    </row>
    <row r="287" spans="2:10" ht="15.6" x14ac:dyDescent="0.25">
      <c r="B287" s="122">
        <f>IF(SUM(B288:B311)&gt;0,1,0)</f>
        <v>0</v>
      </c>
      <c r="C287" s="60" t="s">
        <v>878</v>
      </c>
      <c r="D287" s="61"/>
      <c r="E287" s="62"/>
      <c r="F287" s="62"/>
      <c r="G287" s="123"/>
    </row>
    <row r="288" spans="2:10" ht="15.6" x14ac:dyDescent="0.25">
      <c r="B288" s="122"/>
      <c r="C288" s="69" t="s">
        <v>522</v>
      </c>
      <c r="D288" s="61" t="s">
        <v>2</v>
      </c>
      <c r="E288" s="62" t="e">
        <f>$A$6</f>
        <v>#REF!</v>
      </c>
      <c r="F288" s="62">
        <f>'Прайс для расчета'!E276</f>
        <v>4384.8</v>
      </c>
      <c r="G288" s="123" t="e">
        <f t="shared" ref="G288:G311" si="51">F288*E288</f>
        <v>#REF!</v>
      </c>
      <c r="I288" s="134">
        <f>'Прайс для расчета (М)'!E276</f>
        <v>2192.4</v>
      </c>
      <c r="J288" s="133" t="e">
        <f t="shared" ref="J288:J311" si="52">I288*E288</f>
        <v>#REF!</v>
      </c>
    </row>
    <row r="289" spans="2:10" ht="15.6" x14ac:dyDescent="0.25">
      <c r="B289" s="122"/>
      <c r="C289" s="69" t="s">
        <v>270</v>
      </c>
      <c r="D289" s="61" t="s">
        <v>2</v>
      </c>
      <c r="E289" s="62" t="e">
        <f t="shared" ref="E289:E305" si="53">$A$6</f>
        <v>#REF!</v>
      </c>
      <c r="F289" s="62">
        <f>'Прайс для расчета'!E287</f>
        <v>2220.75</v>
      </c>
      <c r="G289" s="123" t="e">
        <f t="shared" si="51"/>
        <v>#REF!</v>
      </c>
      <c r="I289" s="134">
        <f>'Прайс для расчета (М)'!E287</f>
        <v>1110.375</v>
      </c>
      <c r="J289" s="133" t="e">
        <f t="shared" si="52"/>
        <v>#REF!</v>
      </c>
    </row>
    <row r="290" spans="2:10" ht="15.6" x14ac:dyDescent="0.25">
      <c r="B290" s="122"/>
      <c r="C290" s="69" t="s">
        <v>524</v>
      </c>
      <c r="D290" s="61" t="s">
        <v>2</v>
      </c>
      <c r="E290" s="62" t="e">
        <f t="shared" si="53"/>
        <v>#REF!</v>
      </c>
      <c r="F290" s="62">
        <f>'Прайс для расчета'!E288</f>
        <v>2577.75</v>
      </c>
      <c r="G290" s="123" t="e">
        <f t="shared" si="51"/>
        <v>#REF!</v>
      </c>
      <c r="I290" s="134">
        <f>'Прайс для расчета (М)'!E288</f>
        <v>1288.875</v>
      </c>
      <c r="J290" s="133" t="e">
        <f t="shared" si="52"/>
        <v>#REF!</v>
      </c>
    </row>
    <row r="291" spans="2:10" ht="15.6" x14ac:dyDescent="0.25">
      <c r="B291" s="122"/>
      <c r="C291" s="69" t="s">
        <v>525</v>
      </c>
      <c r="D291" s="61" t="s">
        <v>2</v>
      </c>
      <c r="E291" s="62" t="e">
        <f t="shared" si="53"/>
        <v>#REF!</v>
      </c>
      <c r="F291" s="62">
        <f>'Прайс для расчета'!E289</f>
        <v>1291.5</v>
      </c>
      <c r="G291" s="123" t="e">
        <f t="shared" si="51"/>
        <v>#REF!</v>
      </c>
      <c r="I291" s="134">
        <f>'Прайс для расчета (М)'!E289</f>
        <v>645.75</v>
      </c>
      <c r="J291" s="133" t="e">
        <f t="shared" si="52"/>
        <v>#REF!</v>
      </c>
    </row>
    <row r="292" spans="2:10" ht="15.6" x14ac:dyDescent="0.25">
      <c r="B292" s="122"/>
      <c r="C292" s="69" t="s">
        <v>526</v>
      </c>
      <c r="D292" s="61" t="s">
        <v>2</v>
      </c>
      <c r="E292" s="62" t="e">
        <f t="shared" si="53"/>
        <v>#REF!</v>
      </c>
      <c r="F292" s="62">
        <f>'Прайс для расчета'!E290</f>
        <v>1186.5</v>
      </c>
      <c r="G292" s="123" t="e">
        <f t="shared" si="51"/>
        <v>#REF!</v>
      </c>
      <c r="I292" s="134">
        <f>'Прайс для расчета (М)'!E290</f>
        <v>593.25</v>
      </c>
      <c r="J292" s="133" t="e">
        <f t="shared" si="52"/>
        <v>#REF!</v>
      </c>
    </row>
    <row r="293" spans="2:10" ht="15.6" x14ac:dyDescent="0.25">
      <c r="B293" s="122"/>
      <c r="C293" s="69" t="s">
        <v>271</v>
      </c>
      <c r="D293" s="61" t="s">
        <v>3</v>
      </c>
      <c r="E293" s="62" t="e">
        <f t="shared" si="53"/>
        <v>#REF!</v>
      </c>
      <c r="F293" s="62">
        <f>'Прайс для расчета'!E291</f>
        <v>761.25</v>
      </c>
      <c r="G293" s="123" t="e">
        <f t="shared" si="51"/>
        <v>#REF!</v>
      </c>
      <c r="I293" s="134">
        <f>'Прайс для расчета (М)'!E291</f>
        <v>380.625</v>
      </c>
      <c r="J293" s="133" t="e">
        <f t="shared" si="52"/>
        <v>#REF!</v>
      </c>
    </row>
    <row r="294" spans="2:10" ht="15.6" x14ac:dyDescent="0.25">
      <c r="B294" s="122"/>
      <c r="C294" s="69" t="s">
        <v>962</v>
      </c>
      <c r="D294" s="61" t="s">
        <v>3</v>
      </c>
      <c r="E294" s="62" t="e">
        <f t="shared" si="53"/>
        <v>#REF!</v>
      </c>
      <c r="F294" s="62">
        <f>'Прайс для расчета'!E292</f>
        <v>519.75</v>
      </c>
      <c r="G294" s="123" t="e">
        <f t="shared" ref="G294:G295" si="54">F294*E294</f>
        <v>#REF!</v>
      </c>
      <c r="I294" s="134">
        <f>'Прайс для расчета (М)'!E292</f>
        <v>259.875</v>
      </c>
      <c r="J294" s="133" t="e">
        <f t="shared" si="52"/>
        <v>#REF!</v>
      </c>
    </row>
    <row r="295" spans="2:10" ht="15.6" x14ac:dyDescent="0.25">
      <c r="B295" s="122"/>
      <c r="C295" s="69" t="s">
        <v>963</v>
      </c>
      <c r="D295" s="61" t="s">
        <v>3</v>
      </c>
      <c r="E295" s="62" t="e">
        <f t="shared" si="53"/>
        <v>#REF!</v>
      </c>
      <c r="F295" s="62">
        <f>'Прайс для расчета'!E293</f>
        <v>824.25</v>
      </c>
      <c r="G295" s="123" t="e">
        <f t="shared" si="54"/>
        <v>#REF!</v>
      </c>
      <c r="I295" s="134">
        <f>'Прайс для расчета (М)'!E293</f>
        <v>412.125</v>
      </c>
      <c r="J295" s="133" t="e">
        <f t="shared" si="52"/>
        <v>#REF!</v>
      </c>
    </row>
    <row r="296" spans="2:10" ht="15.6" x14ac:dyDescent="0.25">
      <c r="B296" s="122"/>
      <c r="C296" s="69" t="s">
        <v>527</v>
      </c>
      <c r="D296" s="61" t="s">
        <v>2</v>
      </c>
      <c r="E296" s="62" t="e">
        <f t="shared" si="53"/>
        <v>#REF!</v>
      </c>
      <c r="F296" s="62">
        <f>'Прайс для расчета'!E294</f>
        <v>1732.5</v>
      </c>
      <c r="G296" s="123" t="e">
        <f t="shared" si="51"/>
        <v>#REF!</v>
      </c>
      <c r="I296" s="134">
        <f>'Прайс для расчета (М)'!E294</f>
        <v>866.25</v>
      </c>
      <c r="J296" s="133" t="e">
        <f t="shared" si="52"/>
        <v>#REF!</v>
      </c>
    </row>
    <row r="297" spans="2:10" ht="15.6" x14ac:dyDescent="0.25">
      <c r="B297" s="122"/>
      <c r="C297" s="69" t="s">
        <v>678</v>
      </c>
      <c r="D297" s="61" t="s">
        <v>2</v>
      </c>
      <c r="E297" s="62" t="e">
        <f t="shared" si="53"/>
        <v>#REF!</v>
      </c>
      <c r="F297" s="62">
        <f>'Прайс для расчета'!E296</f>
        <v>3097.5</v>
      </c>
      <c r="G297" s="123" t="e">
        <f t="shared" si="51"/>
        <v>#REF!</v>
      </c>
      <c r="I297" s="134">
        <f>'Прайс для расчета (М)'!E296</f>
        <v>1548.75</v>
      </c>
      <c r="J297" s="133" t="e">
        <f t="shared" si="52"/>
        <v>#REF!</v>
      </c>
    </row>
    <row r="298" spans="2:10" ht="15.6" x14ac:dyDescent="0.25">
      <c r="B298" s="122"/>
      <c r="C298" s="69" t="s">
        <v>680</v>
      </c>
      <c r="D298" s="61" t="s">
        <v>2</v>
      </c>
      <c r="E298" s="62" t="e">
        <f t="shared" si="53"/>
        <v>#REF!</v>
      </c>
      <c r="F298" s="62">
        <f>'Прайс для расчета'!E310</f>
        <v>5040</v>
      </c>
      <c r="G298" s="123" t="e">
        <f t="shared" si="51"/>
        <v>#REF!</v>
      </c>
      <c r="I298" s="134">
        <f>'Прайс для расчета (М)'!E310</f>
        <v>2520</v>
      </c>
      <c r="J298" s="133" t="e">
        <f t="shared" si="52"/>
        <v>#REF!</v>
      </c>
    </row>
    <row r="299" spans="2:10" ht="15.6" x14ac:dyDescent="0.25">
      <c r="B299" s="122"/>
      <c r="C299" s="69" t="s">
        <v>679</v>
      </c>
      <c r="D299" s="61" t="s">
        <v>2</v>
      </c>
      <c r="E299" s="62" t="e">
        <f t="shared" si="53"/>
        <v>#REF!</v>
      </c>
      <c r="F299" s="62">
        <f>'Прайс для расчета'!E297</f>
        <v>1044.75</v>
      </c>
      <c r="G299" s="123" t="e">
        <f t="shared" si="51"/>
        <v>#REF!</v>
      </c>
      <c r="I299" s="134">
        <f>'Прайс для расчета (М)'!E297</f>
        <v>522.375</v>
      </c>
      <c r="J299" s="133" t="e">
        <f t="shared" si="52"/>
        <v>#REF!</v>
      </c>
    </row>
    <row r="300" spans="2:10" ht="15.6" x14ac:dyDescent="0.25">
      <c r="B300" s="122"/>
      <c r="C300" s="69" t="s">
        <v>895</v>
      </c>
      <c r="D300" s="61" t="s">
        <v>2</v>
      </c>
      <c r="E300" s="62" t="e">
        <f t="shared" si="53"/>
        <v>#REF!</v>
      </c>
      <c r="F300" s="62">
        <f>'Прайс для расчета'!E298</f>
        <v>593.25</v>
      </c>
      <c r="G300" s="123" t="e">
        <f t="shared" si="51"/>
        <v>#REF!</v>
      </c>
      <c r="I300" s="134">
        <f>'Прайс для расчета (М)'!E298</f>
        <v>296.625</v>
      </c>
      <c r="J300" s="133" t="e">
        <f t="shared" si="52"/>
        <v>#REF!</v>
      </c>
    </row>
    <row r="301" spans="2:10" ht="15.6" x14ac:dyDescent="0.25">
      <c r="B301" s="122"/>
      <c r="C301" s="69" t="s">
        <v>947</v>
      </c>
      <c r="D301" s="61" t="s">
        <v>2</v>
      </c>
      <c r="E301" s="62" t="e">
        <f t="shared" si="53"/>
        <v>#REF!</v>
      </c>
      <c r="F301" s="62">
        <f>'Прайс для расчета'!E299</f>
        <v>635.25</v>
      </c>
      <c r="G301" s="123" t="e">
        <f t="shared" si="51"/>
        <v>#REF!</v>
      </c>
      <c r="I301" s="134">
        <f>'Прайс для расчета (М)'!E299</f>
        <v>317.625</v>
      </c>
      <c r="J301" s="133" t="e">
        <f t="shared" si="52"/>
        <v>#REF!</v>
      </c>
    </row>
    <row r="302" spans="2:10" ht="31.2" x14ac:dyDescent="0.25">
      <c r="B302" s="122"/>
      <c r="C302" s="69" t="s">
        <v>1074</v>
      </c>
      <c r="D302" s="86" t="s">
        <v>2</v>
      </c>
      <c r="E302" s="62" t="e">
        <f t="shared" si="53"/>
        <v>#REF!</v>
      </c>
      <c r="F302" s="62">
        <f>'Прайс для расчета'!E300</f>
        <v>1181.25</v>
      </c>
      <c r="G302" s="123" t="e">
        <f t="shared" si="51"/>
        <v>#REF!</v>
      </c>
      <c r="I302" s="134">
        <f>'Прайс для расчета (М)'!E300</f>
        <v>590.625</v>
      </c>
      <c r="J302" s="133" t="e">
        <f t="shared" si="52"/>
        <v>#REF!</v>
      </c>
    </row>
    <row r="303" spans="2:10" ht="15.6" x14ac:dyDescent="0.25">
      <c r="B303" s="122"/>
      <c r="C303" s="69" t="s">
        <v>896</v>
      </c>
      <c r="D303" s="61" t="s">
        <v>2</v>
      </c>
      <c r="E303" s="62" t="e">
        <f t="shared" si="53"/>
        <v>#REF!</v>
      </c>
      <c r="F303" s="62">
        <f>'Прайс для расчета'!E301</f>
        <v>635.25</v>
      </c>
      <c r="G303" s="123" t="e">
        <f t="shared" si="51"/>
        <v>#REF!</v>
      </c>
      <c r="I303" s="134">
        <f>'Прайс для расчета (М)'!E301</f>
        <v>317.625</v>
      </c>
      <c r="J303" s="133" t="e">
        <f t="shared" si="52"/>
        <v>#REF!</v>
      </c>
    </row>
    <row r="304" spans="2:10" ht="15.6" x14ac:dyDescent="0.25">
      <c r="B304" s="122"/>
      <c r="C304" s="69" t="s">
        <v>897</v>
      </c>
      <c r="D304" s="61" t="s">
        <v>2</v>
      </c>
      <c r="E304" s="62" t="e">
        <f t="shared" si="53"/>
        <v>#REF!</v>
      </c>
      <c r="F304" s="62">
        <f>'Прайс для расчета'!E302</f>
        <v>498.75</v>
      </c>
      <c r="G304" s="123" t="e">
        <f t="shared" si="51"/>
        <v>#REF!</v>
      </c>
      <c r="I304" s="134">
        <f>'Прайс для расчета (М)'!E302</f>
        <v>249.375</v>
      </c>
      <c r="J304" s="133" t="e">
        <f t="shared" si="52"/>
        <v>#REF!</v>
      </c>
    </row>
    <row r="305" spans="2:10" ht="15.6" x14ac:dyDescent="0.25">
      <c r="B305" s="122"/>
      <c r="C305" s="69" t="s">
        <v>898</v>
      </c>
      <c r="D305" s="61" t="s">
        <v>3</v>
      </c>
      <c r="E305" s="62" t="e">
        <f t="shared" si="53"/>
        <v>#REF!</v>
      </c>
      <c r="F305" s="62">
        <f>'Прайс для расчета'!E303</f>
        <v>183.75</v>
      </c>
      <c r="G305" s="123" t="e">
        <f t="shared" si="51"/>
        <v>#REF!</v>
      </c>
      <c r="I305" s="134">
        <f>'Прайс для расчета (М)'!E303</f>
        <v>91.875</v>
      </c>
      <c r="J305" s="133" t="e">
        <f t="shared" si="52"/>
        <v>#REF!</v>
      </c>
    </row>
    <row r="306" spans="2:10" ht="15.6" x14ac:dyDescent="0.25">
      <c r="B306" s="122"/>
      <c r="C306" s="69" t="s">
        <v>899</v>
      </c>
      <c r="D306" s="61" t="s">
        <v>2</v>
      </c>
      <c r="E306" s="62" t="e">
        <f>$A$6</f>
        <v>#REF!</v>
      </c>
      <c r="F306" s="62">
        <f>'Прайс для расчета'!E304</f>
        <v>1181.25</v>
      </c>
      <c r="G306" s="123" t="e">
        <f t="shared" si="51"/>
        <v>#REF!</v>
      </c>
      <c r="I306" s="134">
        <f>'Прайс для расчета (М)'!E304</f>
        <v>590.625</v>
      </c>
      <c r="J306" s="133" t="e">
        <f t="shared" si="52"/>
        <v>#REF!</v>
      </c>
    </row>
    <row r="307" spans="2:10" ht="15.6" x14ac:dyDescent="0.25">
      <c r="B307" s="122"/>
      <c r="C307" s="69" t="s">
        <v>427</v>
      </c>
      <c r="D307" s="61" t="s">
        <v>2</v>
      </c>
      <c r="E307" s="62" t="e">
        <f>$A$6</f>
        <v>#REF!</v>
      </c>
      <c r="F307" s="62">
        <f>'Прайс для расчета'!E305</f>
        <v>1055.25</v>
      </c>
      <c r="G307" s="123" t="e">
        <f t="shared" si="51"/>
        <v>#REF!</v>
      </c>
      <c r="I307" s="134">
        <f>'Прайс для расчета (М)'!E305</f>
        <v>527.625</v>
      </c>
      <c r="J307" s="133" t="e">
        <f t="shared" si="52"/>
        <v>#REF!</v>
      </c>
    </row>
    <row r="308" spans="2:10" ht="15.6" x14ac:dyDescent="0.25">
      <c r="B308" s="122"/>
      <c r="C308" s="69" t="s">
        <v>528</v>
      </c>
      <c r="D308" s="61" t="s">
        <v>2</v>
      </c>
      <c r="E308" s="62" t="e">
        <f t="shared" ref="E308:E309" si="55">$A$6</f>
        <v>#REF!</v>
      </c>
      <c r="F308" s="62">
        <f>'Прайс для расчета'!E306</f>
        <v>3990</v>
      </c>
      <c r="G308" s="123" t="e">
        <f t="shared" si="51"/>
        <v>#REF!</v>
      </c>
      <c r="I308" s="134">
        <f>'Прайс для расчета (М)'!E306</f>
        <v>1995</v>
      </c>
      <c r="J308" s="133" t="e">
        <f t="shared" si="52"/>
        <v>#REF!</v>
      </c>
    </row>
    <row r="309" spans="2:10" ht="15.6" x14ac:dyDescent="0.25">
      <c r="B309" s="122"/>
      <c r="C309" s="69" t="s">
        <v>429</v>
      </c>
      <c r="D309" s="61" t="s">
        <v>2</v>
      </c>
      <c r="E309" s="62" t="e">
        <f t="shared" si="55"/>
        <v>#REF!</v>
      </c>
      <c r="F309" s="62">
        <f>'Прайс для расчета'!E307</f>
        <v>472.5</v>
      </c>
      <c r="G309" s="123" t="e">
        <f t="shared" si="51"/>
        <v>#REF!</v>
      </c>
      <c r="I309" s="134">
        <f>'Прайс для расчета (М)'!E307</f>
        <v>236.25</v>
      </c>
      <c r="J309" s="133" t="e">
        <f t="shared" si="52"/>
        <v>#REF!</v>
      </c>
    </row>
    <row r="310" spans="2:10" ht="15.6" x14ac:dyDescent="0.25">
      <c r="B310" s="122"/>
      <c r="C310" s="69" t="s">
        <v>529</v>
      </c>
      <c r="D310" s="61" t="s">
        <v>2</v>
      </c>
      <c r="E310" s="62" t="e">
        <f>$A$6</f>
        <v>#REF!</v>
      </c>
      <c r="F310" s="62">
        <f>'Прайс для расчета'!E308</f>
        <v>787.5</v>
      </c>
      <c r="G310" s="123" t="e">
        <f t="shared" si="51"/>
        <v>#REF!</v>
      </c>
      <c r="I310" s="134">
        <f>'Прайс для расчета (М)'!E308</f>
        <v>393.75</v>
      </c>
      <c r="J310" s="133" t="e">
        <f t="shared" si="52"/>
        <v>#REF!</v>
      </c>
    </row>
    <row r="311" spans="2:10" ht="15.6" x14ac:dyDescent="0.25">
      <c r="B311" s="122"/>
      <c r="C311" s="69" t="s">
        <v>430</v>
      </c>
      <c r="D311" s="61" t="s">
        <v>2</v>
      </c>
      <c r="E311" s="62" t="e">
        <f>$A$6</f>
        <v>#REF!</v>
      </c>
      <c r="F311" s="62">
        <f>'Прайс для расчета'!E309</f>
        <v>420</v>
      </c>
      <c r="G311" s="123" t="e">
        <f t="shared" si="51"/>
        <v>#REF!</v>
      </c>
      <c r="I311" s="134">
        <f>'Прайс для расчета (М)'!E309</f>
        <v>210</v>
      </c>
      <c r="J311" s="133" t="e">
        <f t="shared" si="52"/>
        <v>#REF!</v>
      </c>
    </row>
    <row r="312" spans="2:10" ht="15.6" x14ac:dyDescent="0.25">
      <c r="B312" s="122">
        <f>IF(SUM(B313:B319)&gt;0,1,0)</f>
        <v>0</v>
      </c>
      <c r="C312" s="60" t="s">
        <v>884</v>
      </c>
      <c r="D312" s="61"/>
      <c r="E312" s="62"/>
      <c r="F312" s="62"/>
      <c r="G312" s="123"/>
    </row>
    <row r="313" spans="2:10" ht="15.6" x14ac:dyDescent="0.25">
      <c r="B313" s="122"/>
      <c r="C313" s="69" t="s">
        <v>431</v>
      </c>
      <c r="D313" s="61" t="s">
        <v>3</v>
      </c>
      <c r="E313" s="62">
        <f>E210</f>
        <v>1</v>
      </c>
      <c r="F313" s="62">
        <f>'Прайс для расчета'!E311</f>
        <v>315</v>
      </c>
      <c r="G313" s="123">
        <f t="shared" ref="G313:G319" si="56">F313*E313</f>
        <v>315</v>
      </c>
      <c r="I313" s="134">
        <f>'Прайс для расчета (М)'!E311</f>
        <v>157.5</v>
      </c>
      <c r="J313" s="133">
        <f t="shared" ref="J313:J319" si="57">I313*E313</f>
        <v>157.5</v>
      </c>
    </row>
    <row r="314" spans="2:10" ht="15.6" x14ac:dyDescent="0.25">
      <c r="B314" s="122"/>
      <c r="C314" s="69" t="s">
        <v>432</v>
      </c>
      <c r="D314" s="61" t="s">
        <v>3</v>
      </c>
      <c r="E314" s="62">
        <f>E210</f>
        <v>1</v>
      </c>
      <c r="F314" s="62">
        <f>'Прайс для расчета'!E312</f>
        <v>367.5</v>
      </c>
      <c r="G314" s="123">
        <f t="shared" si="56"/>
        <v>367.5</v>
      </c>
      <c r="I314" s="134">
        <f>'Прайс для расчета (М)'!E312</f>
        <v>183.75</v>
      </c>
      <c r="J314" s="133">
        <f t="shared" si="57"/>
        <v>183.75</v>
      </c>
    </row>
    <row r="315" spans="2:10" ht="15.6" x14ac:dyDescent="0.25">
      <c r="B315" s="122"/>
      <c r="C315" s="69" t="s">
        <v>115</v>
      </c>
      <c r="D315" s="61" t="s">
        <v>3</v>
      </c>
      <c r="E315" s="62">
        <f>E210</f>
        <v>1</v>
      </c>
      <c r="F315" s="62">
        <f>'Прайс для расчета'!E313</f>
        <v>194.25</v>
      </c>
      <c r="G315" s="123">
        <f t="shared" si="56"/>
        <v>194.25</v>
      </c>
      <c r="I315" s="134">
        <f>'Прайс для расчета (М)'!E313</f>
        <v>97.125</v>
      </c>
      <c r="J315" s="133">
        <f t="shared" si="57"/>
        <v>97.125</v>
      </c>
    </row>
    <row r="316" spans="2:10" ht="15.6" x14ac:dyDescent="0.25">
      <c r="B316" s="122"/>
      <c r="C316" s="69" t="s">
        <v>433</v>
      </c>
      <c r="D316" s="61" t="s">
        <v>3</v>
      </c>
      <c r="E316" s="62">
        <f>E210</f>
        <v>1</v>
      </c>
      <c r="F316" s="62">
        <f>'Прайс для расчета'!E314</f>
        <v>735</v>
      </c>
      <c r="G316" s="123">
        <f t="shared" si="56"/>
        <v>735</v>
      </c>
      <c r="I316" s="134">
        <f>'Прайс для расчета (М)'!E314</f>
        <v>367.5</v>
      </c>
      <c r="J316" s="133">
        <f t="shared" si="57"/>
        <v>367.5</v>
      </c>
    </row>
    <row r="317" spans="2:10" ht="15.6" x14ac:dyDescent="0.25">
      <c r="B317" s="122"/>
      <c r="C317" s="69" t="s">
        <v>434</v>
      </c>
      <c r="D317" s="61" t="s">
        <v>3</v>
      </c>
      <c r="E317" s="62">
        <f>E210</f>
        <v>1</v>
      </c>
      <c r="F317" s="62">
        <f>'Прайс для расчета'!E315</f>
        <v>1349.25</v>
      </c>
      <c r="G317" s="123">
        <f t="shared" si="56"/>
        <v>1349.25</v>
      </c>
      <c r="I317" s="134">
        <f>'Прайс для расчета (М)'!E315</f>
        <v>674.625</v>
      </c>
      <c r="J317" s="133">
        <f t="shared" si="57"/>
        <v>674.625</v>
      </c>
    </row>
    <row r="318" spans="2:10" ht="15.6" x14ac:dyDescent="0.25">
      <c r="B318" s="122"/>
      <c r="C318" s="69" t="s">
        <v>1075</v>
      </c>
      <c r="D318" s="61" t="s">
        <v>3</v>
      </c>
      <c r="E318" s="62">
        <f>E210</f>
        <v>1</v>
      </c>
      <c r="F318" s="62">
        <f>'Прайс для расчета'!E316</f>
        <v>0</v>
      </c>
      <c r="G318" s="123">
        <f t="shared" si="56"/>
        <v>0</v>
      </c>
      <c r="I318" s="134">
        <f>'Прайс для расчета (М)'!E316</f>
        <v>0</v>
      </c>
      <c r="J318" s="133">
        <f t="shared" si="57"/>
        <v>0</v>
      </c>
    </row>
    <row r="319" spans="2:10" ht="15.6" x14ac:dyDescent="0.25">
      <c r="B319" s="122"/>
      <c r="C319" s="69" t="s">
        <v>435</v>
      </c>
      <c r="D319" s="61" t="s">
        <v>3</v>
      </c>
      <c r="E319" s="62">
        <f>E318</f>
        <v>1</v>
      </c>
      <c r="F319" s="62">
        <f>'Прайс для расчета'!E317</f>
        <v>1464.75</v>
      </c>
      <c r="G319" s="123">
        <f t="shared" si="56"/>
        <v>1464.75</v>
      </c>
      <c r="I319" s="134">
        <f>'Прайс для расчета (М)'!E317</f>
        <v>732.375</v>
      </c>
      <c r="J319" s="133">
        <f t="shared" si="57"/>
        <v>732.375</v>
      </c>
    </row>
    <row r="320" spans="2:10" ht="15.6" x14ac:dyDescent="0.25">
      <c r="B320" s="122">
        <f>IF(SUM(B321:B333)&gt;0,1,0)</f>
        <v>0</v>
      </c>
      <c r="C320" s="60" t="s">
        <v>879</v>
      </c>
      <c r="D320" s="61"/>
      <c r="E320" s="62"/>
      <c r="F320" s="62"/>
      <c r="G320" s="123"/>
    </row>
    <row r="321" spans="2:10" ht="15.6" x14ac:dyDescent="0.25">
      <c r="B321" s="122"/>
      <c r="C321" s="69" t="s">
        <v>436</v>
      </c>
      <c r="D321" s="61" t="s">
        <v>2</v>
      </c>
      <c r="E321" s="62">
        <f>$A$4</f>
        <v>0</v>
      </c>
      <c r="F321" s="62">
        <f>'Прайс для расчета'!E318</f>
        <v>577.5</v>
      </c>
      <c r="G321" s="123">
        <f t="shared" ref="G321:G333" si="58">F321*E321</f>
        <v>0</v>
      </c>
      <c r="I321" s="134">
        <f>'Прайс для расчета (М)'!E318</f>
        <v>288.75</v>
      </c>
      <c r="J321" s="133">
        <f t="shared" ref="J321:J333" si="59">I321*E321</f>
        <v>0</v>
      </c>
    </row>
    <row r="322" spans="2:10" ht="15.6" x14ac:dyDescent="0.25">
      <c r="B322" s="122"/>
      <c r="C322" s="69" t="s">
        <v>437</v>
      </c>
      <c r="D322" s="61" t="s">
        <v>2</v>
      </c>
      <c r="E322" s="62">
        <f>$A$4</f>
        <v>0</v>
      </c>
      <c r="F322" s="62">
        <f>'Прайс для расчета'!E319</f>
        <v>1396.5</v>
      </c>
      <c r="G322" s="123">
        <f t="shared" si="58"/>
        <v>0</v>
      </c>
      <c r="I322" s="134">
        <f>'Прайс для расчета (М)'!E319</f>
        <v>698.25</v>
      </c>
      <c r="J322" s="133">
        <f t="shared" si="59"/>
        <v>0</v>
      </c>
    </row>
    <row r="323" spans="2:10" ht="15.6" x14ac:dyDescent="0.25">
      <c r="B323" s="122"/>
      <c r="C323" s="69" t="s">
        <v>438</v>
      </c>
      <c r="D323" s="61" t="s">
        <v>2</v>
      </c>
      <c r="E323" s="62">
        <f>$A$4</f>
        <v>0</v>
      </c>
      <c r="F323" s="62">
        <f>'Прайс для расчета'!E320</f>
        <v>1291.5</v>
      </c>
      <c r="G323" s="123">
        <f t="shared" si="58"/>
        <v>0</v>
      </c>
      <c r="I323" s="134">
        <f>'Прайс для расчета (М)'!E320</f>
        <v>645.75</v>
      </c>
      <c r="J323" s="133">
        <f t="shared" si="59"/>
        <v>0</v>
      </c>
    </row>
    <row r="324" spans="2:10" ht="15.6" x14ac:dyDescent="0.25">
      <c r="B324" s="122"/>
      <c r="C324" s="69" t="s">
        <v>439</v>
      </c>
      <c r="D324" s="61" t="s">
        <v>2</v>
      </c>
      <c r="E324" s="62">
        <f>$A$4</f>
        <v>0</v>
      </c>
      <c r="F324" s="62">
        <f>'Прайс для расчета'!E321</f>
        <v>1386</v>
      </c>
      <c r="G324" s="123">
        <f t="shared" si="58"/>
        <v>0</v>
      </c>
      <c r="I324" s="134">
        <f>'Прайс для расчета (М)'!E321</f>
        <v>693</v>
      </c>
      <c r="J324" s="133">
        <f t="shared" si="59"/>
        <v>0</v>
      </c>
    </row>
    <row r="325" spans="2:10" ht="15.6" x14ac:dyDescent="0.25">
      <c r="B325" s="122"/>
      <c r="C325" s="69" t="s">
        <v>440</v>
      </c>
      <c r="D325" s="61" t="s">
        <v>2</v>
      </c>
      <c r="E325" s="62">
        <f>$A$4</f>
        <v>0</v>
      </c>
      <c r="F325" s="62">
        <f>'Прайс для расчета'!E322</f>
        <v>1281</v>
      </c>
      <c r="G325" s="123">
        <f t="shared" si="58"/>
        <v>0</v>
      </c>
      <c r="I325" s="134">
        <f>'Прайс для расчета (М)'!E322</f>
        <v>640.5</v>
      </c>
      <c r="J325" s="133">
        <f t="shared" si="59"/>
        <v>0</v>
      </c>
    </row>
    <row r="326" spans="2:10" ht="15.6" x14ac:dyDescent="0.25">
      <c r="B326" s="122"/>
      <c r="C326" s="69" t="s">
        <v>441</v>
      </c>
      <c r="D326" s="61" t="s">
        <v>645</v>
      </c>
      <c r="E326" s="62">
        <f>$A$2</f>
        <v>0</v>
      </c>
      <c r="F326" s="62">
        <f>'Прайс для расчета'!E323</f>
        <v>330.75</v>
      </c>
      <c r="G326" s="123">
        <f t="shared" si="58"/>
        <v>0</v>
      </c>
      <c r="I326" s="134">
        <f>'Прайс для расчета (М)'!E323</f>
        <v>165.375</v>
      </c>
      <c r="J326" s="133">
        <f t="shared" si="59"/>
        <v>0</v>
      </c>
    </row>
    <row r="327" spans="2:10" ht="15.6" x14ac:dyDescent="0.25">
      <c r="B327" s="122"/>
      <c r="C327" s="69" t="s">
        <v>531</v>
      </c>
      <c r="D327" s="61" t="s">
        <v>645</v>
      </c>
      <c r="E327" s="62">
        <f>$A$2</f>
        <v>0</v>
      </c>
      <c r="F327" s="62">
        <f>'Прайс для расчета'!E324</f>
        <v>866.25</v>
      </c>
      <c r="G327" s="123">
        <f t="shared" si="58"/>
        <v>0</v>
      </c>
      <c r="I327" s="134">
        <f>'Прайс для расчета (М)'!E324</f>
        <v>433.125</v>
      </c>
      <c r="J327" s="133">
        <f t="shared" si="59"/>
        <v>0</v>
      </c>
    </row>
    <row r="328" spans="2:10" ht="15.6" x14ac:dyDescent="0.25">
      <c r="B328" s="122"/>
      <c r="C328" s="69" t="s">
        <v>532</v>
      </c>
      <c r="D328" s="61" t="s">
        <v>645</v>
      </c>
      <c r="E328" s="62">
        <f>$A$2</f>
        <v>0</v>
      </c>
      <c r="F328" s="62">
        <f>'Прайс для расчета'!E325</f>
        <v>1097.376</v>
      </c>
      <c r="G328" s="123">
        <f t="shared" si="58"/>
        <v>0</v>
      </c>
      <c r="I328" s="134">
        <f>'Прайс для расчета (М)'!E325</f>
        <v>548.68799999999999</v>
      </c>
      <c r="J328" s="133">
        <f t="shared" si="59"/>
        <v>0</v>
      </c>
    </row>
    <row r="329" spans="2:10" ht="15.6" x14ac:dyDescent="0.25">
      <c r="B329" s="122"/>
      <c r="C329" s="69" t="s">
        <v>533</v>
      </c>
      <c r="D329" s="61" t="s">
        <v>645</v>
      </c>
      <c r="E329" s="62">
        <f>$A$2</f>
        <v>0</v>
      </c>
      <c r="F329" s="62">
        <f>'Прайс для расчета'!E326</f>
        <v>852.6</v>
      </c>
      <c r="G329" s="123">
        <f t="shared" si="58"/>
        <v>0</v>
      </c>
      <c r="I329" s="134">
        <f>'Прайс для расчета (М)'!E326</f>
        <v>426.3</v>
      </c>
      <c r="J329" s="133">
        <f t="shared" si="59"/>
        <v>0</v>
      </c>
    </row>
    <row r="330" spans="2:10" ht="15.6" x14ac:dyDescent="0.25">
      <c r="B330" s="122"/>
      <c r="C330" s="69" t="s">
        <v>442</v>
      </c>
      <c r="D330" s="61" t="s">
        <v>645</v>
      </c>
      <c r="E330" s="62">
        <f>$A$2</f>
        <v>0</v>
      </c>
      <c r="F330" s="62">
        <f>'Прайс для расчета'!E327</f>
        <v>225.75</v>
      </c>
      <c r="G330" s="123">
        <f t="shared" si="58"/>
        <v>0</v>
      </c>
      <c r="I330" s="134">
        <f>'Прайс для расчета (М)'!E327</f>
        <v>112.875</v>
      </c>
      <c r="J330" s="133">
        <f t="shared" si="59"/>
        <v>0</v>
      </c>
    </row>
    <row r="331" spans="2:10" ht="15.6" x14ac:dyDescent="0.25">
      <c r="B331" s="122"/>
      <c r="C331" s="69" t="s">
        <v>443</v>
      </c>
      <c r="D331" s="61" t="s">
        <v>2</v>
      </c>
      <c r="E331" s="62">
        <f>$A$4</f>
        <v>0</v>
      </c>
      <c r="F331" s="62">
        <f>'Прайс для расчета'!E328</f>
        <v>462</v>
      </c>
      <c r="G331" s="123">
        <f t="shared" si="58"/>
        <v>0</v>
      </c>
      <c r="I331" s="134">
        <f>'Прайс для расчета (М)'!E328</f>
        <v>231</v>
      </c>
      <c r="J331" s="133">
        <f t="shared" si="59"/>
        <v>0</v>
      </c>
    </row>
    <row r="332" spans="2:10" ht="15.6" x14ac:dyDescent="0.25">
      <c r="B332" s="122"/>
      <c r="C332" s="69" t="s">
        <v>534</v>
      </c>
      <c r="D332" s="61" t="s">
        <v>2</v>
      </c>
      <c r="E332" s="62">
        <f>$A$4</f>
        <v>0</v>
      </c>
      <c r="F332" s="62">
        <f>'Прайс для расчета'!E329</f>
        <v>1060.5</v>
      </c>
      <c r="G332" s="123">
        <f t="shared" si="58"/>
        <v>0</v>
      </c>
      <c r="I332" s="134">
        <f>'Прайс для расчета (М)'!E329</f>
        <v>530.25</v>
      </c>
      <c r="J332" s="133">
        <f t="shared" si="59"/>
        <v>0</v>
      </c>
    </row>
    <row r="333" spans="2:10" ht="15.6" x14ac:dyDescent="0.25">
      <c r="B333" s="122"/>
      <c r="C333" s="69" t="s">
        <v>444</v>
      </c>
      <c r="D333" s="61" t="s">
        <v>2</v>
      </c>
      <c r="E333" s="62">
        <f>$A$4</f>
        <v>0</v>
      </c>
      <c r="F333" s="62">
        <f>'Прайс для расчета'!E330</f>
        <v>735</v>
      </c>
      <c r="G333" s="123">
        <f t="shared" si="58"/>
        <v>0</v>
      </c>
      <c r="I333" s="134">
        <f>'Прайс для расчета (М)'!E330</f>
        <v>367.5</v>
      </c>
      <c r="J333" s="133">
        <f t="shared" si="59"/>
        <v>0</v>
      </c>
    </row>
    <row r="334" spans="2:10" ht="15.6" x14ac:dyDescent="0.25">
      <c r="B334" s="122">
        <f>IF(SUM(B335:B353)&gt;0,1,0)</f>
        <v>0</v>
      </c>
      <c r="C334" s="60" t="s">
        <v>880</v>
      </c>
      <c r="D334" s="61"/>
      <c r="E334" s="62"/>
      <c r="F334" s="62"/>
      <c r="G334" s="123"/>
    </row>
    <row r="335" spans="2:10" ht="15.6" x14ac:dyDescent="0.25">
      <c r="B335" s="122"/>
      <c r="C335" s="69" t="s">
        <v>118</v>
      </c>
      <c r="D335" s="61" t="s">
        <v>0</v>
      </c>
      <c r="E335" s="62">
        <v>1</v>
      </c>
      <c r="F335" s="62">
        <f>'Прайс для расчета'!E331</f>
        <v>525</v>
      </c>
      <c r="G335" s="123">
        <f t="shared" ref="G335:G361" si="60">F335*E335</f>
        <v>525</v>
      </c>
      <c r="I335" s="134">
        <f>'Прайс для расчета (М)'!E331</f>
        <v>262.5</v>
      </c>
      <c r="J335" s="133">
        <f t="shared" ref="J335:J353" si="61">I335*E335</f>
        <v>262.5</v>
      </c>
    </row>
    <row r="336" spans="2:10" ht="15.6" x14ac:dyDescent="0.25">
      <c r="B336" s="122"/>
      <c r="C336" s="69" t="s">
        <v>119</v>
      </c>
      <c r="D336" s="61" t="s">
        <v>0</v>
      </c>
      <c r="E336" s="62">
        <v>1</v>
      </c>
      <c r="F336" s="62">
        <f>'Прайс для расчета'!E332</f>
        <v>945</v>
      </c>
      <c r="G336" s="123">
        <f t="shared" si="60"/>
        <v>945</v>
      </c>
      <c r="I336" s="134">
        <f>'Прайс для расчета (М)'!E332</f>
        <v>472.5</v>
      </c>
      <c r="J336" s="133">
        <f t="shared" si="61"/>
        <v>472.5</v>
      </c>
    </row>
    <row r="337" spans="2:10" ht="15.6" x14ac:dyDescent="0.25">
      <c r="B337" s="122"/>
      <c r="C337" s="69" t="s">
        <v>120</v>
      </c>
      <c r="D337" s="61" t="s">
        <v>0</v>
      </c>
      <c r="E337" s="62">
        <v>1</v>
      </c>
      <c r="F337" s="62">
        <f>'Прайс для расчета'!E333</f>
        <v>1575</v>
      </c>
      <c r="G337" s="123">
        <f t="shared" si="60"/>
        <v>1575</v>
      </c>
      <c r="I337" s="134">
        <f>'Прайс для расчета (М)'!E333</f>
        <v>787.5</v>
      </c>
      <c r="J337" s="133">
        <f t="shared" si="61"/>
        <v>787.5</v>
      </c>
    </row>
    <row r="338" spans="2:10" ht="15.6" x14ac:dyDescent="0.25">
      <c r="B338" s="122"/>
      <c r="C338" s="69" t="s">
        <v>121</v>
      </c>
      <c r="D338" s="61" t="s">
        <v>0</v>
      </c>
      <c r="E338" s="62">
        <v>1</v>
      </c>
      <c r="F338" s="62">
        <f>'Прайс для расчета'!E334</f>
        <v>840</v>
      </c>
      <c r="G338" s="123">
        <f t="shared" si="60"/>
        <v>840</v>
      </c>
      <c r="I338" s="134">
        <f>'Прайс для расчета (М)'!E334</f>
        <v>420</v>
      </c>
      <c r="J338" s="133">
        <f t="shared" si="61"/>
        <v>420</v>
      </c>
    </row>
    <row r="339" spans="2:10" ht="15.6" x14ac:dyDescent="0.25">
      <c r="B339" s="122"/>
      <c r="C339" s="69" t="s">
        <v>122</v>
      </c>
      <c r="D339" s="61" t="s">
        <v>3</v>
      </c>
      <c r="E339" s="62">
        <v>1</v>
      </c>
      <c r="F339" s="62">
        <f>'Прайс для расчета'!E335</f>
        <v>273</v>
      </c>
      <c r="G339" s="123">
        <f t="shared" si="60"/>
        <v>273</v>
      </c>
      <c r="I339" s="134">
        <f>'Прайс для расчета (М)'!E335</f>
        <v>136.5</v>
      </c>
      <c r="J339" s="133">
        <f t="shared" si="61"/>
        <v>136.5</v>
      </c>
    </row>
    <row r="340" spans="2:10" ht="15.6" x14ac:dyDescent="0.25">
      <c r="B340" s="122"/>
      <c r="C340" s="69" t="s">
        <v>123</v>
      </c>
      <c r="D340" s="61" t="s">
        <v>2</v>
      </c>
      <c r="E340" s="62">
        <v>1</v>
      </c>
      <c r="F340" s="62">
        <f>'Прайс для расчета'!E336</f>
        <v>1890</v>
      </c>
      <c r="G340" s="123">
        <f t="shared" si="60"/>
        <v>1890</v>
      </c>
      <c r="I340" s="134">
        <f>'Прайс для расчета (М)'!E336</f>
        <v>945</v>
      </c>
      <c r="J340" s="133">
        <f t="shared" si="61"/>
        <v>945</v>
      </c>
    </row>
    <row r="341" spans="2:10" ht="15.6" x14ac:dyDescent="0.25">
      <c r="B341" s="122"/>
      <c r="C341" s="69" t="s">
        <v>124</v>
      </c>
      <c r="D341" s="61" t="s">
        <v>3</v>
      </c>
      <c r="E341" s="62">
        <v>1</v>
      </c>
      <c r="F341" s="62">
        <f>'Прайс для расчета'!E337</f>
        <v>346.5</v>
      </c>
      <c r="G341" s="123">
        <f t="shared" si="60"/>
        <v>346.5</v>
      </c>
      <c r="I341" s="134">
        <f>'Прайс для расчета (М)'!E337</f>
        <v>173.25</v>
      </c>
      <c r="J341" s="133">
        <f t="shared" si="61"/>
        <v>173.25</v>
      </c>
    </row>
    <row r="342" spans="2:10" ht="15.6" x14ac:dyDescent="0.25">
      <c r="B342" s="122"/>
      <c r="C342" s="69" t="s">
        <v>681</v>
      </c>
      <c r="D342" s="61" t="s">
        <v>0</v>
      </c>
      <c r="E342" s="62">
        <v>1</v>
      </c>
      <c r="F342" s="62">
        <f>'Прайс для расчета'!E338</f>
        <v>4179</v>
      </c>
      <c r="G342" s="123">
        <f t="shared" si="60"/>
        <v>4179</v>
      </c>
      <c r="I342" s="134">
        <f>'Прайс для расчета (М)'!E338</f>
        <v>2089.5</v>
      </c>
      <c r="J342" s="133">
        <f t="shared" si="61"/>
        <v>2089.5</v>
      </c>
    </row>
    <row r="343" spans="2:10" ht="15.6" x14ac:dyDescent="0.25">
      <c r="B343" s="122"/>
      <c r="C343" s="69" t="s">
        <v>228</v>
      </c>
      <c r="D343" s="61" t="s">
        <v>0</v>
      </c>
      <c r="E343" s="62">
        <v>1</v>
      </c>
      <c r="F343" s="62">
        <f>'Прайс для расчета'!E339</f>
        <v>3255</v>
      </c>
      <c r="G343" s="123">
        <f t="shared" si="60"/>
        <v>3255</v>
      </c>
      <c r="I343" s="134">
        <f>'Прайс для расчета (М)'!E339</f>
        <v>1627.5</v>
      </c>
      <c r="J343" s="133">
        <f t="shared" si="61"/>
        <v>1627.5</v>
      </c>
    </row>
    <row r="344" spans="2:10" ht="15.6" x14ac:dyDescent="0.25">
      <c r="B344" s="122"/>
      <c r="C344" s="69" t="s">
        <v>132</v>
      </c>
      <c r="D344" s="61" t="s">
        <v>0</v>
      </c>
      <c r="E344" s="62">
        <v>1</v>
      </c>
      <c r="F344" s="62">
        <f>'Прайс для расчета'!E340</f>
        <v>1176</v>
      </c>
      <c r="G344" s="123">
        <f t="shared" si="60"/>
        <v>1176</v>
      </c>
      <c r="I344" s="134">
        <f>'Прайс для расчета (М)'!E340</f>
        <v>588</v>
      </c>
      <c r="J344" s="133">
        <f t="shared" si="61"/>
        <v>588</v>
      </c>
    </row>
    <row r="345" spans="2:10" ht="15.6" x14ac:dyDescent="0.25">
      <c r="B345" s="122"/>
      <c r="C345" s="69" t="s">
        <v>125</v>
      </c>
      <c r="D345" s="61" t="s">
        <v>0</v>
      </c>
      <c r="E345" s="62">
        <v>1</v>
      </c>
      <c r="F345" s="62">
        <f>'Прайс для расчета'!E341</f>
        <v>367.5</v>
      </c>
      <c r="G345" s="123">
        <f t="shared" si="60"/>
        <v>367.5</v>
      </c>
      <c r="I345" s="134">
        <f>'Прайс для расчета (М)'!E341</f>
        <v>183.75</v>
      </c>
      <c r="J345" s="133">
        <f t="shared" si="61"/>
        <v>183.75</v>
      </c>
    </row>
    <row r="346" spans="2:10" ht="15.6" x14ac:dyDescent="0.25">
      <c r="B346" s="122"/>
      <c r="C346" s="69" t="s">
        <v>126</v>
      </c>
      <c r="D346" s="61" t="s">
        <v>3</v>
      </c>
      <c r="E346" s="62">
        <v>1</v>
      </c>
      <c r="F346" s="62">
        <f>'Прайс для расчета'!E342</f>
        <v>199.5</v>
      </c>
      <c r="G346" s="123">
        <f t="shared" si="60"/>
        <v>199.5</v>
      </c>
      <c r="I346" s="134">
        <f>'Прайс для расчета (М)'!E342</f>
        <v>99.75</v>
      </c>
      <c r="J346" s="133">
        <f t="shared" si="61"/>
        <v>99.75</v>
      </c>
    </row>
    <row r="347" spans="2:10" ht="15.6" x14ac:dyDescent="0.25">
      <c r="B347" s="122"/>
      <c r="C347" s="69" t="s">
        <v>127</v>
      </c>
      <c r="D347" s="61" t="s">
        <v>2</v>
      </c>
      <c r="E347" s="62">
        <v>1</v>
      </c>
      <c r="F347" s="62">
        <f>'Прайс для расчета'!E343</f>
        <v>1995</v>
      </c>
      <c r="G347" s="123">
        <f t="shared" si="60"/>
        <v>1995</v>
      </c>
      <c r="I347" s="134">
        <f>'Прайс для расчета (М)'!E343</f>
        <v>997.5</v>
      </c>
      <c r="J347" s="133">
        <f t="shared" si="61"/>
        <v>997.5</v>
      </c>
    </row>
    <row r="348" spans="2:10" ht="15.6" x14ac:dyDescent="0.25">
      <c r="B348" s="122"/>
      <c r="C348" s="69" t="s">
        <v>535</v>
      </c>
      <c r="D348" s="61" t="s">
        <v>2</v>
      </c>
      <c r="E348" s="62">
        <v>1</v>
      </c>
      <c r="F348" s="62">
        <f>'Прайс для расчета'!E344</f>
        <v>840</v>
      </c>
      <c r="G348" s="123">
        <f t="shared" si="60"/>
        <v>840</v>
      </c>
      <c r="I348" s="134">
        <f>'Прайс для расчета (М)'!E344</f>
        <v>420</v>
      </c>
      <c r="J348" s="133">
        <f t="shared" si="61"/>
        <v>420</v>
      </c>
    </row>
    <row r="349" spans="2:10" ht="15.6" x14ac:dyDescent="0.25">
      <c r="B349" s="122"/>
      <c r="C349" s="69" t="s">
        <v>536</v>
      </c>
      <c r="D349" s="61" t="s">
        <v>0</v>
      </c>
      <c r="E349" s="62">
        <v>1</v>
      </c>
      <c r="F349" s="62">
        <f>'Прайс для расчета'!E345</f>
        <v>3097.5</v>
      </c>
      <c r="G349" s="123">
        <f t="shared" si="60"/>
        <v>3097.5</v>
      </c>
      <c r="I349" s="134">
        <f>'Прайс для расчета (М)'!E345</f>
        <v>1548.75</v>
      </c>
      <c r="J349" s="133">
        <f t="shared" si="61"/>
        <v>1548.75</v>
      </c>
    </row>
    <row r="350" spans="2:10" ht="15.6" x14ac:dyDescent="0.25">
      <c r="B350" s="122"/>
      <c r="C350" s="69" t="s">
        <v>128</v>
      </c>
      <c r="D350" s="61" t="s">
        <v>2</v>
      </c>
      <c r="E350" s="62">
        <v>1</v>
      </c>
      <c r="F350" s="62">
        <f>'Прайс для расчета'!E346</f>
        <v>1029</v>
      </c>
      <c r="G350" s="123">
        <f t="shared" si="60"/>
        <v>1029</v>
      </c>
      <c r="I350" s="134">
        <f>'Прайс для расчета (М)'!E346</f>
        <v>514.5</v>
      </c>
      <c r="J350" s="133">
        <f t="shared" si="61"/>
        <v>514.5</v>
      </c>
    </row>
    <row r="351" spans="2:10" ht="15.6" x14ac:dyDescent="0.25">
      <c r="B351" s="122"/>
      <c r="C351" s="69" t="s">
        <v>129</v>
      </c>
      <c r="D351" s="61" t="s">
        <v>3</v>
      </c>
      <c r="E351" s="62">
        <v>1</v>
      </c>
      <c r="F351" s="62">
        <f>'Прайс для расчета'!E347</f>
        <v>1627.5</v>
      </c>
      <c r="G351" s="123">
        <f t="shared" si="60"/>
        <v>1627.5</v>
      </c>
      <c r="I351" s="134">
        <f>'Прайс для расчета (М)'!E347</f>
        <v>813.75</v>
      </c>
      <c r="J351" s="133">
        <f t="shared" si="61"/>
        <v>813.75</v>
      </c>
    </row>
    <row r="352" spans="2:10" ht="15.6" x14ac:dyDescent="0.25">
      <c r="B352" s="122"/>
      <c r="C352" s="69" t="s">
        <v>130</v>
      </c>
      <c r="D352" s="61" t="s">
        <v>3</v>
      </c>
      <c r="E352" s="62">
        <v>1</v>
      </c>
      <c r="F352" s="62">
        <f>'Прайс для расчета'!E348</f>
        <v>1627.5</v>
      </c>
      <c r="G352" s="123">
        <f t="shared" si="60"/>
        <v>1627.5</v>
      </c>
      <c r="I352" s="134">
        <f>'Прайс для расчета (М)'!E348</f>
        <v>813.75</v>
      </c>
      <c r="J352" s="133">
        <f t="shared" si="61"/>
        <v>813.75</v>
      </c>
    </row>
    <row r="353" spans="2:10" ht="15.6" x14ac:dyDescent="0.25">
      <c r="B353" s="122"/>
      <c r="C353" s="69" t="s">
        <v>131</v>
      </c>
      <c r="D353" s="61" t="s">
        <v>3</v>
      </c>
      <c r="E353" s="62">
        <v>1</v>
      </c>
      <c r="F353" s="62">
        <f>'Прайс для расчета'!E349</f>
        <v>420</v>
      </c>
      <c r="G353" s="123">
        <f t="shared" si="60"/>
        <v>420</v>
      </c>
      <c r="I353" s="134">
        <f>'Прайс для расчета (М)'!E349</f>
        <v>210</v>
      </c>
      <c r="J353" s="133">
        <f t="shared" si="61"/>
        <v>210</v>
      </c>
    </row>
    <row r="354" spans="2:10" ht="15.6" x14ac:dyDescent="0.25">
      <c r="B354" s="122">
        <f>IF(SUM(B355:B361)&gt;0,1,0)</f>
        <v>0</v>
      </c>
      <c r="C354" s="60" t="s">
        <v>881</v>
      </c>
      <c r="D354" s="61"/>
      <c r="E354" s="62"/>
      <c r="F354" s="62"/>
      <c r="G354" s="123"/>
    </row>
    <row r="355" spans="2:10" ht="15.6" x14ac:dyDescent="0.25">
      <c r="B355" s="122"/>
      <c r="C355" s="69" t="s">
        <v>445</v>
      </c>
      <c r="D355" s="61" t="s">
        <v>3</v>
      </c>
      <c r="E355" s="62">
        <f>E7</f>
        <v>0</v>
      </c>
      <c r="F355" s="62">
        <f>'Прайс для расчета'!E351</f>
        <v>404.25</v>
      </c>
      <c r="G355" s="123">
        <f t="shared" si="60"/>
        <v>0</v>
      </c>
      <c r="I355" s="134">
        <f>'Прайс для расчета (М)'!E351</f>
        <v>202.125</v>
      </c>
      <c r="J355" s="133">
        <f t="shared" ref="J355:J361" si="62">I355*E355</f>
        <v>0</v>
      </c>
    </row>
    <row r="356" spans="2:10" ht="15.6" x14ac:dyDescent="0.25">
      <c r="B356" s="122"/>
      <c r="C356" s="69" t="s">
        <v>8</v>
      </c>
      <c r="D356" s="61" t="s">
        <v>2</v>
      </c>
      <c r="E356" s="62">
        <v>1</v>
      </c>
      <c r="F356" s="62">
        <f>'Прайс для расчета'!E352</f>
        <v>3858.7080000000001</v>
      </c>
      <c r="G356" s="123">
        <f t="shared" si="60"/>
        <v>3858.7080000000001</v>
      </c>
      <c r="I356" s="134">
        <f>'Прайс для расчета (М)'!E352</f>
        <v>1929.354</v>
      </c>
      <c r="J356" s="133">
        <f t="shared" si="62"/>
        <v>1929.354</v>
      </c>
    </row>
    <row r="357" spans="2:10" ht="15.6" x14ac:dyDescent="0.25">
      <c r="B357" s="122"/>
      <c r="C357" s="69" t="s">
        <v>446</v>
      </c>
      <c r="D357" s="61" t="s">
        <v>0</v>
      </c>
      <c r="E357" s="62">
        <v>1</v>
      </c>
      <c r="F357" s="62">
        <f>'Прайс для расчета'!E353</f>
        <v>1044.75</v>
      </c>
      <c r="G357" s="123">
        <f t="shared" si="60"/>
        <v>1044.75</v>
      </c>
      <c r="I357" s="134">
        <f>'Прайс для расчета (М)'!E353</f>
        <v>522.375</v>
      </c>
      <c r="J357" s="133">
        <f t="shared" si="62"/>
        <v>522.375</v>
      </c>
    </row>
    <row r="358" spans="2:10" ht="15.6" x14ac:dyDescent="0.25">
      <c r="B358" s="122"/>
      <c r="C358" s="69" t="s">
        <v>447</v>
      </c>
      <c r="D358" s="61" t="s">
        <v>0</v>
      </c>
      <c r="E358" s="62">
        <v>1</v>
      </c>
      <c r="F358" s="62">
        <f>'Прайс для расчета'!E354</f>
        <v>1522.5</v>
      </c>
      <c r="G358" s="123">
        <f t="shared" si="60"/>
        <v>1522.5</v>
      </c>
      <c r="I358" s="134">
        <f>'Прайс для расчета (М)'!E354</f>
        <v>761.25</v>
      </c>
      <c r="J358" s="133">
        <f t="shared" si="62"/>
        <v>761.25</v>
      </c>
    </row>
    <row r="359" spans="2:10" ht="15.6" x14ac:dyDescent="0.25">
      <c r="B359" s="122"/>
      <c r="C359" s="69" t="s">
        <v>448</v>
      </c>
      <c r="D359" s="61" t="s">
        <v>0</v>
      </c>
      <c r="E359" s="62">
        <v>1</v>
      </c>
      <c r="F359" s="62">
        <f>'Прайс для расчета'!E355</f>
        <v>1522.5</v>
      </c>
      <c r="G359" s="123">
        <f t="shared" si="60"/>
        <v>1522.5</v>
      </c>
      <c r="I359" s="134">
        <f>'Прайс для расчета (М)'!E355</f>
        <v>761.25</v>
      </c>
      <c r="J359" s="133">
        <f t="shared" si="62"/>
        <v>761.25</v>
      </c>
    </row>
    <row r="360" spans="2:10" ht="15.6" x14ac:dyDescent="0.25">
      <c r="B360" s="122"/>
      <c r="C360" s="69" t="s">
        <v>538</v>
      </c>
      <c r="D360" s="61" t="s">
        <v>0</v>
      </c>
      <c r="E360" s="62">
        <v>1</v>
      </c>
      <c r="F360" s="62">
        <f>'Прайс для расчета'!E356</f>
        <v>577.5</v>
      </c>
      <c r="G360" s="123">
        <f t="shared" si="60"/>
        <v>577.5</v>
      </c>
      <c r="I360" s="134">
        <f>'Прайс для расчета (М)'!E356</f>
        <v>288.75</v>
      </c>
      <c r="J360" s="133">
        <f t="shared" si="62"/>
        <v>288.75</v>
      </c>
    </row>
    <row r="361" spans="2:10" ht="15.6" x14ac:dyDescent="0.25">
      <c r="B361" s="122"/>
      <c r="C361" s="69" t="s">
        <v>539</v>
      </c>
      <c r="D361" s="61" t="s">
        <v>0</v>
      </c>
      <c r="E361" s="62">
        <v>1</v>
      </c>
      <c r="F361" s="62">
        <f>'Прайс для расчета'!E357</f>
        <v>210</v>
      </c>
      <c r="G361" s="123">
        <f t="shared" si="60"/>
        <v>210</v>
      </c>
      <c r="I361" s="134">
        <f>'Прайс для расчета (М)'!E357</f>
        <v>105</v>
      </c>
      <c r="J361" s="133">
        <f t="shared" si="62"/>
        <v>105</v>
      </c>
    </row>
    <row r="362" spans="2:10" ht="20.100000000000001" customHeight="1" x14ac:dyDescent="0.25">
      <c r="B362" s="140">
        <f>IF(SUM(B250:B361)&gt;0,1,0)</f>
        <v>0</v>
      </c>
      <c r="C362" s="245" t="s">
        <v>540</v>
      </c>
      <c r="D362" s="245"/>
      <c r="E362" s="245"/>
      <c r="F362" s="245"/>
      <c r="G362" s="150">
        <f>SUMIF(B251:B361,1,G251:G361)</f>
        <v>0</v>
      </c>
      <c r="J362" s="133">
        <f>SUMIF(B251:B361,1,J251:J361)</f>
        <v>0</v>
      </c>
    </row>
    <row r="363" spans="2:10" ht="15.6" x14ac:dyDescent="0.25">
      <c r="B363" s="147">
        <f>IF(SUM(B364:B371)&gt;0,1,0)</f>
        <v>0</v>
      </c>
      <c r="C363" s="148" t="s">
        <v>686</v>
      </c>
      <c r="D363" s="149" t="s">
        <v>179</v>
      </c>
      <c r="E363" s="149" t="s">
        <v>180</v>
      </c>
      <c r="F363" s="149" t="s">
        <v>1</v>
      </c>
      <c r="G363" s="149" t="s">
        <v>181</v>
      </c>
      <c r="I363" s="132" t="s">
        <v>1</v>
      </c>
      <c r="J363" s="133" t="s">
        <v>181</v>
      </c>
    </row>
    <row r="364" spans="2:10" ht="15.6" x14ac:dyDescent="0.25">
      <c r="B364" s="122"/>
      <c r="C364" s="69" t="s">
        <v>114</v>
      </c>
      <c r="D364" s="61" t="s">
        <v>0</v>
      </c>
      <c r="E364" s="62">
        <v>1</v>
      </c>
      <c r="F364" s="62">
        <f>'Прайс для расчета'!E404</f>
        <v>1995</v>
      </c>
      <c r="G364" s="123">
        <f>F364*E364</f>
        <v>1995</v>
      </c>
      <c r="I364" s="134">
        <f>'Прайс для расчета (М)'!E404</f>
        <v>997.5</v>
      </c>
      <c r="J364" s="133">
        <f t="shared" ref="J364:J371" si="63">I364*E364</f>
        <v>997.5</v>
      </c>
    </row>
    <row r="365" spans="2:10" ht="15.6" x14ac:dyDescent="0.25">
      <c r="B365" s="122"/>
      <c r="C365" s="69" t="s">
        <v>952</v>
      </c>
      <c r="D365" s="61" t="s">
        <v>0</v>
      </c>
      <c r="E365" s="62">
        <v>1</v>
      </c>
      <c r="F365" s="62">
        <f>'Прайс для расчета'!E405</f>
        <v>7350</v>
      </c>
      <c r="G365" s="123">
        <f t="shared" ref="G365:G371" si="64">F365*E365</f>
        <v>7350</v>
      </c>
      <c r="I365" s="134">
        <f>'Прайс для расчета (М)'!E405</f>
        <v>3675</v>
      </c>
      <c r="J365" s="133">
        <f t="shared" si="63"/>
        <v>3675</v>
      </c>
    </row>
    <row r="366" spans="2:10" ht="15.6" x14ac:dyDescent="0.25">
      <c r="B366" s="122"/>
      <c r="C366" s="69" t="s">
        <v>1084</v>
      </c>
      <c r="D366" s="61" t="s">
        <v>0</v>
      </c>
      <c r="E366" s="62">
        <v>1</v>
      </c>
      <c r="F366" s="62">
        <f>'Прайс для расчета'!E406</f>
        <v>4725</v>
      </c>
      <c r="G366" s="123">
        <f t="shared" si="64"/>
        <v>4725</v>
      </c>
      <c r="I366" s="134">
        <f>'Прайс для расчета (М)'!E406</f>
        <v>2362.5</v>
      </c>
      <c r="J366" s="133">
        <f t="shared" si="63"/>
        <v>2362.5</v>
      </c>
    </row>
    <row r="367" spans="2:10" ht="15.6" x14ac:dyDescent="0.25">
      <c r="B367" s="122"/>
      <c r="C367" s="69" t="s">
        <v>954</v>
      </c>
      <c r="D367" s="61" t="s">
        <v>0</v>
      </c>
      <c r="E367" s="62">
        <v>1</v>
      </c>
      <c r="F367" s="62">
        <f>'Прайс для расчета'!E407</f>
        <v>8200.5</v>
      </c>
      <c r="G367" s="123">
        <f t="shared" si="64"/>
        <v>8200.5</v>
      </c>
      <c r="I367" s="134">
        <f>'Прайс для расчета (М)'!E407</f>
        <v>4100.25</v>
      </c>
      <c r="J367" s="133">
        <f t="shared" si="63"/>
        <v>4100.25</v>
      </c>
    </row>
    <row r="368" spans="2:10" ht="15.6" x14ac:dyDescent="0.25">
      <c r="B368" s="122"/>
      <c r="C368" s="69" t="s">
        <v>544</v>
      </c>
      <c r="D368" s="61" t="s">
        <v>0</v>
      </c>
      <c r="E368" s="62">
        <v>1</v>
      </c>
      <c r="F368" s="62">
        <f>'Прайс для расчета'!E408</f>
        <v>1200.2549999999999</v>
      </c>
      <c r="G368" s="123">
        <f t="shared" si="64"/>
        <v>1200.2549999999999</v>
      </c>
      <c r="I368" s="134">
        <f>'Прайс для расчета (М)'!E408</f>
        <v>600.12749999999994</v>
      </c>
      <c r="J368" s="133">
        <f t="shared" si="63"/>
        <v>600.12749999999994</v>
      </c>
    </row>
    <row r="369" spans="2:10" ht="15.6" x14ac:dyDescent="0.25">
      <c r="B369" s="122"/>
      <c r="C369" s="69" t="s">
        <v>136</v>
      </c>
      <c r="D369" s="61" t="s">
        <v>0</v>
      </c>
      <c r="E369" s="62">
        <v>1</v>
      </c>
      <c r="F369" s="62">
        <f>'Прайс для расчета'!E409</f>
        <v>344.42099999999999</v>
      </c>
      <c r="G369" s="123">
        <f t="shared" si="64"/>
        <v>344.42099999999999</v>
      </c>
      <c r="I369" s="134">
        <f>'Прайс для расчета (М)'!E409</f>
        <v>172.2105</v>
      </c>
      <c r="J369" s="133">
        <f t="shared" si="63"/>
        <v>172.2105</v>
      </c>
    </row>
    <row r="370" spans="2:10" ht="15.6" x14ac:dyDescent="0.25">
      <c r="B370" s="122"/>
      <c r="C370" s="69" t="s">
        <v>449</v>
      </c>
      <c r="D370" s="61" t="s">
        <v>3</v>
      </c>
      <c r="E370" s="62">
        <v>1</v>
      </c>
      <c r="F370" s="62">
        <f>'Прайс для расчета'!E410</f>
        <v>240.05099999999999</v>
      </c>
      <c r="G370" s="123">
        <f t="shared" si="64"/>
        <v>240.05099999999999</v>
      </c>
      <c r="I370" s="134">
        <f>'Прайс для расчета (М)'!E410</f>
        <v>120.02549999999999</v>
      </c>
      <c r="J370" s="133">
        <f t="shared" si="63"/>
        <v>120.02549999999999</v>
      </c>
    </row>
    <row r="371" spans="2:10" ht="15.6" x14ac:dyDescent="0.25">
      <c r="B371" s="122"/>
      <c r="C371" s="69" t="s">
        <v>450</v>
      </c>
      <c r="D371" s="61" t="s">
        <v>3</v>
      </c>
      <c r="E371" s="62">
        <v>1</v>
      </c>
      <c r="F371" s="62">
        <f>'Прайс для расчета'!E411</f>
        <v>326.529</v>
      </c>
      <c r="G371" s="123">
        <f t="shared" si="64"/>
        <v>326.529</v>
      </c>
      <c r="I371" s="134">
        <f>'Прайс для расчета (М)'!E411</f>
        <v>163.2645</v>
      </c>
      <c r="J371" s="133">
        <f t="shared" si="63"/>
        <v>163.2645</v>
      </c>
    </row>
    <row r="372" spans="2:10" ht="20.100000000000001" customHeight="1" x14ac:dyDescent="0.25">
      <c r="B372" s="140">
        <f>IF(SUM(B364:B371)&gt;0,1,0)</f>
        <v>0</v>
      </c>
      <c r="C372" s="245" t="s">
        <v>545</v>
      </c>
      <c r="D372" s="245"/>
      <c r="E372" s="245"/>
      <c r="F372" s="245"/>
      <c r="G372" s="150">
        <f>SUMIF(B364:B371,1,G364:G371)</f>
        <v>0</v>
      </c>
      <c r="J372" s="133">
        <f>SUMIF(B364:B371,1,J364:J371)</f>
        <v>0</v>
      </c>
    </row>
    <row r="373" spans="2:10" ht="15.6" x14ac:dyDescent="0.25">
      <c r="B373" s="147">
        <f>IF(SUM(B374:B381)&gt;0,1,0)</f>
        <v>0</v>
      </c>
      <c r="C373" s="148" t="s">
        <v>687</v>
      </c>
      <c r="D373" s="149" t="s">
        <v>179</v>
      </c>
      <c r="E373" s="149" t="s">
        <v>180</v>
      </c>
      <c r="F373" s="149" t="s">
        <v>1</v>
      </c>
      <c r="G373" s="149" t="s">
        <v>181</v>
      </c>
      <c r="I373" s="132" t="s">
        <v>1</v>
      </c>
      <c r="J373" s="133" t="s">
        <v>181</v>
      </c>
    </row>
    <row r="374" spans="2:10" ht="15.75" customHeight="1" x14ac:dyDescent="0.25">
      <c r="B374" s="122"/>
      <c r="C374" s="69" t="s">
        <v>1078</v>
      </c>
      <c r="D374" s="61" t="s">
        <v>2</v>
      </c>
      <c r="E374" s="62">
        <v>1</v>
      </c>
      <c r="F374" s="62">
        <f>'Прайс для расчета'!E412</f>
        <v>110.25</v>
      </c>
      <c r="G374" s="123">
        <f t="shared" ref="G374:G381" si="65">F374*E374</f>
        <v>110.25</v>
      </c>
      <c r="I374" s="134">
        <f>'Прайс для расчета (М)'!E412</f>
        <v>55.125</v>
      </c>
      <c r="J374" s="133">
        <f t="shared" ref="J374:J381" si="66">I374*E374</f>
        <v>55.125</v>
      </c>
    </row>
    <row r="375" spans="2:10" ht="15.6" x14ac:dyDescent="0.25">
      <c r="B375" s="122"/>
      <c r="C375" s="69" t="s">
        <v>688</v>
      </c>
      <c r="D375" s="61" t="s">
        <v>0</v>
      </c>
      <c r="E375" s="62">
        <v>1</v>
      </c>
      <c r="F375" s="62">
        <f>'Прайс для расчета'!E413</f>
        <v>1714.65</v>
      </c>
      <c r="G375" s="123">
        <f t="shared" si="65"/>
        <v>1714.65</v>
      </c>
      <c r="I375" s="134">
        <f>'Прайс для расчета (М)'!E413</f>
        <v>857.32500000000005</v>
      </c>
      <c r="J375" s="133">
        <f t="shared" si="66"/>
        <v>857.32500000000005</v>
      </c>
    </row>
    <row r="376" spans="2:10" ht="15.6" x14ac:dyDescent="0.25">
      <c r="B376" s="122"/>
      <c r="C376" s="69" t="s">
        <v>452</v>
      </c>
      <c r="D376" s="61" t="s">
        <v>0</v>
      </c>
      <c r="E376" s="62">
        <v>1</v>
      </c>
      <c r="F376" s="62">
        <f>'Прайс для расчета'!E414</f>
        <v>2571.9749999999999</v>
      </c>
      <c r="G376" s="123">
        <f t="shared" si="65"/>
        <v>2571.9749999999999</v>
      </c>
      <c r="I376" s="134">
        <f>'Прайс для расчета (М)'!E414</f>
        <v>1285.9875</v>
      </c>
      <c r="J376" s="133">
        <f t="shared" si="66"/>
        <v>1285.9875</v>
      </c>
    </row>
    <row r="377" spans="2:10" ht="15.6" x14ac:dyDescent="0.25">
      <c r="B377" s="122"/>
      <c r="C377" s="69" t="s">
        <v>453</v>
      </c>
      <c r="D377" s="61" t="s">
        <v>0</v>
      </c>
      <c r="E377" s="62">
        <v>1</v>
      </c>
      <c r="F377" s="62">
        <f>'Прайс для расчета'!E415</f>
        <v>857.32500000000005</v>
      </c>
      <c r="G377" s="123">
        <f t="shared" si="65"/>
        <v>857.32500000000005</v>
      </c>
      <c r="I377" s="134">
        <f>'Прайс для расчета (М)'!E415</f>
        <v>428.66250000000002</v>
      </c>
      <c r="J377" s="133">
        <f t="shared" si="66"/>
        <v>428.66250000000002</v>
      </c>
    </row>
    <row r="378" spans="2:10" ht="15.6" x14ac:dyDescent="0.25">
      <c r="B378" s="122"/>
      <c r="C378" s="69" t="s">
        <v>454</v>
      </c>
      <c r="D378" s="61" t="s">
        <v>885</v>
      </c>
      <c r="E378" s="62">
        <v>1</v>
      </c>
      <c r="F378" s="62">
        <f>'Прайс для расчета'!E416</f>
        <v>1470</v>
      </c>
      <c r="G378" s="123">
        <f t="shared" si="65"/>
        <v>1470</v>
      </c>
      <c r="I378" s="134">
        <f>'Прайс для расчета (М)'!E416</f>
        <v>735</v>
      </c>
      <c r="J378" s="133">
        <f t="shared" si="66"/>
        <v>735</v>
      </c>
    </row>
    <row r="379" spans="2:10" ht="15.6" x14ac:dyDescent="0.25">
      <c r="B379" s="122"/>
      <c r="C379" s="69" t="s">
        <v>455</v>
      </c>
      <c r="D379" s="61" t="s">
        <v>886</v>
      </c>
      <c r="E379" s="62">
        <v>1</v>
      </c>
      <c r="F379" s="62">
        <f>'Прайс для расчета'!E417</f>
        <v>315</v>
      </c>
      <c r="G379" s="123">
        <f t="shared" si="65"/>
        <v>315</v>
      </c>
      <c r="I379" s="134">
        <f>'Прайс для расчета (М)'!E417</f>
        <v>157.5</v>
      </c>
      <c r="J379" s="133">
        <f t="shared" si="66"/>
        <v>157.5</v>
      </c>
    </row>
    <row r="380" spans="2:10" ht="15.6" x14ac:dyDescent="0.25">
      <c r="B380" s="122"/>
      <c r="C380" s="69" t="s">
        <v>456</v>
      </c>
      <c r="D380" s="61" t="s">
        <v>886</v>
      </c>
      <c r="E380" s="62">
        <v>1</v>
      </c>
      <c r="F380" s="62">
        <f>'Прайс для расчета'!E418</f>
        <v>1575</v>
      </c>
      <c r="G380" s="123">
        <f t="shared" si="65"/>
        <v>1575</v>
      </c>
      <c r="I380" s="134">
        <f>'Прайс для расчета (М)'!E418</f>
        <v>787.5</v>
      </c>
      <c r="J380" s="133">
        <f t="shared" si="66"/>
        <v>787.5</v>
      </c>
    </row>
    <row r="381" spans="2:10" ht="15.6" x14ac:dyDescent="0.25">
      <c r="B381" s="122"/>
      <c r="C381" s="69" t="s">
        <v>689</v>
      </c>
      <c r="D381" s="61" t="s">
        <v>886</v>
      </c>
      <c r="E381" s="62">
        <v>1</v>
      </c>
      <c r="F381" s="62">
        <f>'Прайс для расчета'!E419</f>
        <v>315</v>
      </c>
      <c r="G381" s="123">
        <f t="shared" si="65"/>
        <v>315</v>
      </c>
      <c r="I381" s="134">
        <f>'Прайс для расчета (М)'!E419</f>
        <v>157.5</v>
      </c>
      <c r="J381" s="133">
        <f t="shared" si="66"/>
        <v>157.5</v>
      </c>
    </row>
    <row r="382" spans="2:10" ht="20.100000000000001" customHeight="1" x14ac:dyDescent="0.25">
      <c r="B382" s="140">
        <f>IF(SUM(B374:B381)&gt;0,1,0)</f>
        <v>0</v>
      </c>
      <c r="C382" s="245" t="s">
        <v>546</v>
      </c>
      <c r="D382" s="245"/>
      <c r="E382" s="245"/>
      <c r="F382" s="245"/>
      <c r="G382" s="150">
        <f>SUMIF(B374:B381,1,G374:G381)</f>
        <v>0</v>
      </c>
      <c r="J382" s="133">
        <f>SUMIF(B374:B381,1,J374:J381)</f>
        <v>0</v>
      </c>
    </row>
    <row r="383" spans="2:10" ht="20.100000000000001" customHeight="1" x14ac:dyDescent="0.25">
      <c r="B383" s="147">
        <f>IF(SUM(B10:B382)&gt;0,1,0)</f>
        <v>0</v>
      </c>
      <c r="C383" s="242" t="s">
        <v>191</v>
      </c>
      <c r="D383" s="243"/>
      <c r="E383" s="243"/>
      <c r="F383" s="244"/>
      <c r="G383" s="151">
        <f>SUM(G382+G372+G362+G248+G137)</f>
        <v>0</v>
      </c>
      <c r="J383" s="133">
        <f>SUM(J382+J372+J362+J248+J137)</f>
        <v>0</v>
      </c>
    </row>
    <row r="384" spans="2:10" ht="20.100000000000001" customHeight="1" x14ac:dyDescent="0.25">
      <c r="B384" s="147" t="e">
        <f>IF(G384&gt;0,1,0)</f>
        <v>#REF!</v>
      </c>
      <c r="C384" s="239" t="s">
        <v>241</v>
      </c>
      <c r="D384" s="240"/>
      <c r="E384" s="240"/>
      <c r="F384" s="241"/>
      <c r="G384" s="152" t="e">
        <f>#REF!</f>
        <v>#REF!</v>
      </c>
      <c r="J384" s="133">
        <v>0</v>
      </c>
    </row>
    <row r="385" spans="2:10" ht="20.100000000000001" customHeight="1" x14ac:dyDescent="0.25">
      <c r="B385" s="147" t="e">
        <f>IF(G385&gt;0,1,0)</f>
        <v>#REF!</v>
      </c>
      <c r="C385" s="239" t="s">
        <v>240</v>
      </c>
      <c r="D385" s="240"/>
      <c r="E385" s="240"/>
      <c r="F385" s="241"/>
      <c r="G385" s="151" t="e">
        <f>G383-(G383*G384)</f>
        <v>#REF!</v>
      </c>
      <c r="J385" s="133">
        <f>J383-(J383*J384)</f>
        <v>0</v>
      </c>
    </row>
    <row r="386" spans="2:10" x14ac:dyDescent="0.25">
      <c r="B386" s="114"/>
      <c r="C386" s="124"/>
      <c r="E386" s="125"/>
    </row>
    <row r="387" spans="2:10" ht="15.6" x14ac:dyDescent="0.25">
      <c r="B387" s="114"/>
      <c r="C387" s="126" t="s">
        <v>238</v>
      </c>
      <c r="E387" s="127" t="s">
        <v>239</v>
      </c>
    </row>
    <row r="388" spans="2:10" x14ac:dyDescent="0.25">
      <c r="B388" s="114"/>
      <c r="C388" s="124"/>
    </row>
    <row r="389" spans="2:10" x14ac:dyDescent="0.25">
      <c r="B389" s="114"/>
      <c r="C389" s="128" t="s">
        <v>185</v>
      </c>
      <c r="E389" s="129" t="s">
        <v>185</v>
      </c>
    </row>
    <row r="390" spans="2:10" x14ac:dyDescent="0.25">
      <c r="B390" s="114"/>
      <c r="C390" s="130" t="s">
        <v>690</v>
      </c>
      <c r="E390" s="125" t="s">
        <v>186</v>
      </c>
    </row>
    <row r="391" spans="2:10" x14ac:dyDescent="0.25">
      <c r="B391" s="114"/>
      <c r="C391" s="124"/>
      <c r="E391" s="125"/>
    </row>
  </sheetData>
  <autoFilter ref="B9:G385"/>
  <mergeCells count="12">
    <mergeCell ref="C1:C4"/>
    <mergeCell ref="C5:G5"/>
    <mergeCell ref="C6:C7"/>
    <mergeCell ref="C248:F248"/>
    <mergeCell ref="C362:F362"/>
    <mergeCell ref="D8:G8"/>
    <mergeCell ref="C137:F137"/>
    <mergeCell ref="C384:F384"/>
    <mergeCell ref="C385:F385"/>
    <mergeCell ref="C383:F383"/>
    <mergeCell ref="C372:F372"/>
    <mergeCell ref="C382:F382"/>
  </mergeCells>
  <phoneticPr fontId="8" type="noConversion"/>
  <conditionalFormatting sqref="B144:B148 D144:E148 B149:E164 B251:B269 E251:G251 B10:G58 B270:E286 E252:E269 B302:C302 B303:D305 E302:E305 B368:E371 B59 E59 F365:G371 B306:E311 F302:F311 F144:G164 B296:F301 G296:G311 B287:G295 B60:G143 B312:G364 B372:G385 B165:G250 F252:G286">
    <cfRule type="expression" dxfId="533" priority="20">
      <formula>$B10=0</formula>
    </cfRule>
  </conditionalFormatting>
  <conditionalFormatting sqref="C144:C148">
    <cfRule type="expression" dxfId="532" priority="9">
      <formula>$B144=0</formula>
    </cfRule>
  </conditionalFormatting>
  <conditionalFormatting sqref="D251:D269">
    <cfRule type="expression" dxfId="531" priority="7">
      <formula>$B251=0</formula>
    </cfRule>
  </conditionalFormatting>
  <conditionalFormatting sqref="C251:C269">
    <cfRule type="expression" dxfId="530" priority="8">
      <formula>$B251=0</formula>
    </cfRule>
  </conditionalFormatting>
  <conditionalFormatting sqref="B365:E367">
    <cfRule type="expression" dxfId="529" priority="6">
      <formula>$B365=0</formula>
    </cfRule>
  </conditionalFormatting>
  <conditionalFormatting sqref="C59:D59 F59:G59">
    <cfRule type="expression" dxfId="528" priority="5">
      <formula>$B59=0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1111111">
    <tabColor rgb="FF00B050"/>
    <pageSetUpPr fitToPage="1"/>
  </sheetPr>
  <dimension ref="A1:U392"/>
  <sheetViews>
    <sheetView topLeftCell="A211" zoomScaleNormal="100" zoomScalePageLayoutView="90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G362</f>
        <v>0</v>
      </c>
      <c r="U3" s="35">
        <f>J362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f>G373</f>
        <v>0</v>
      </c>
      <c r="U5" s="35">
        <f>J373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G383</f>
        <v>0</v>
      </c>
      <c r="U6" s="35">
        <f>J383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G384</f>
        <v>0</v>
      </c>
      <c r="U7" s="35">
        <f>J384</f>
        <v>0</v>
      </c>
    </row>
    <row r="8" spans="1:21" x14ac:dyDescent="0.25">
      <c r="C8" s="70" t="s">
        <v>1015</v>
      </c>
      <c r="D8" s="255" t="e">
        <f>G386</f>
        <v>#REF!</v>
      </c>
      <c r="E8" s="256"/>
      <c r="F8" s="256"/>
      <c r="G8" s="257"/>
      <c r="H8" s="44" t="s">
        <v>760</v>
      </c>
      <c r="T8" s="35" t="e">
        <f>G386</f>
        <v>#REF!</v>
      </c>
      <c r="U8" s="35">
        <f>J386</f>
        <v>0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x14ac:dyDescent="0.25">
      <c r="B10" s="153">
        <f>IF(SUM(B11:B136)&gt;0,1,0)</f>
        <v>0</v>
      </c>
      <c r="C10" s="148" t="s">
        <v>691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IF(SUM(B12:B32)&gt;0,1,0)</f>
        <v>0</v>
      </c>
      <c r="C11" s="60" t="s">
        <v>877</v>
      </c>
      <c r="D11" s="61"/>
      <c r="E11" s="62"/>
      <c r="F11" s="63"/>
      <c r="G11" s="64"/>
    </row>
    <row r="12" spans="1:21" ht="15.6" x14ac:dyDescent="0.25">
      <c r="B12" s="59"/>
      <c r="C12" s="69" t="s">
        <v>305</v>
      </c>
      <c r="D12" s="61" t="s">
        <v>3</v>
      </c>
      <c r="E12" s="62">
        <f>A2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25">
      <c r="B13" s="59"/>
      <c r="C13" s="69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9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9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9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9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9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9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9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9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9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9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9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9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9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9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9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9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9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9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9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0" t="s">
        <v>878</v>
      </c>
      <c r="D33" s="61"/>
      <c r="E33" s="62"/>
      <c r="F33" s="63"/>
      <c r="G33" s="64"/>
    </row>
    <row r="34" spans="2:10" ht="15.6" x14ac:dyDescent="0.25">
      <c r="B34" s="59"/>
      <c r="C34" s="69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25">
      <c r="B35" s="59"/>
      <c r="C35" s="69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25">
      <c r="B36" s="59"/>
      <c r="C36" s="69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25">
      <c r="B37" s="59"/>
      <c r="C37" s="69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25">
      <c r="B38" s="59"/>
      <c r="C38" s="69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25">
      <c r="B39" s="59"/>
      <c r="C39" s="69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25">
      <c r="B40" s="59"/>
      <c r="C40" s="69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25">
      <c r="B41" s="59"/>
      <c r="C41" s="69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25">
      <c r="B42" s="59"/>
      <c r="C42" s="69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25">
      <c r="B43" s="59"/>
      <c r="C43" s="69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25">
      <c r="B44" s="59"/>
      <c r="C44" s="69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25">
      <c r="B45" s="59"/>
      <c r="C45" s="69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25">
      <c r="B46" s="59"/>
      <c r="C46" s="69" t="s">
        <v>328</v>
      </c>
      <c r="D46" s="61" t="s">
        <v>2</v>
      </c>
      <c r="E46" s="62" t="e">
        <f t="shared" ref="E46:E58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25">
      <c r="B47" s="59"/>
      <c r="C47" s="69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25">
      <c r="B48" s="59"/>
      <c r="C48" s="69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25">
      <c r="B49" s="59"/>
      <c r="C49" s="69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25">
      <c r="B50" s="59"/>
      <c r="C50" s="69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25">
      <c r="B51" s="59"/>
      <c r="C51" s="69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25">
      <c r="B52" s="59"/>
      <c r="C52" s="69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25">
      <c r="B53" s="59"/>
      <c r="C53" s="69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25">
      <c r="B54" s="59"/>
      <c r="C54" s="69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25">
      <c r="B55" s="59"/>
      <c r="C55" s="69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25">
      <c r="B56" s="59"/>
      <c r="C56" s="69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25">
      <c r="B57" s="59"/>
      <c r="C57" s="69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25">
      <c r="B58" s="59"/>
      <c r="C58" s="69" t="s">
        <v>333</v>
      </c>
      <c r="D58" s="61" t="s">
        <v>2</v>
      </c>
      <c r="E58" s="62" t="e">
        <f t="shared" si="6"/>
        <v>#REF!</v>
      </c>
      <c r="F58" s="63">
        <f>'Прайс для расчета'!E53</f>
        <v>5093.2559999999994</v>
      </c>
      <c r="G58" s="64" t="e">
        <f t="shared" si="3"/>
        <v>#REF!</v>
      </c>
      <c r="I58" s="135">
        <f>'Прайс для расчета (М)'!E53</f>
        <v>2546.6279999999997</v>
      </c>
      <c r="J58" s="36" t="e">
        <f t="shared" si="4"/>
        <v>#REF!</v>
      </c>
    </row>
    <row r="59" spans="2:10" ht="15.6" x14ac:dyDescent="0.25">
      <c r="B59" s="59"/>
      <c r="C59" s="69" t="s">
        <v>692</v>
      </c>
      <c r="D59" s="61" t="s">
        <v>0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6" t="s">
        <v>44</v>
      </c>
      <c r="D60" s="61"/>
      <c r="E60" s="62"/>
      <c r="F60" s="63"/>
      <c r="G60" s="64"/>
    </row>
    <row r="61" spans="2:10" ht="15.6" x14ac:dyDescent="0.25">
      <c r="B61" s="59"/>
      <c r="C61" s="69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25">
      <c r="B62" s="59"/>
      <c r="C62" s="69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25">
      <c r="B63" s="59"/>
      <c r="C63" s="69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25">
      <c r="B64" s="59"/>
      <c r="C64" s="69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25">
      <c r="B65" s="59"/>
      <c r="C65" s="69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25">
      <c r="B66" s="59"/>
      <c r="C66" s="69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25">
      <c r="B67" s="59"/>
      <c r="C67" s="69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25">
      <c r="B68" s="59"/>
      <c r="C68" s="69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25">
      <c r="B69" s="59">
        <f>IF(SUM(B70:B86)&gt;0,1,0)</f>
        <v>0</v>
      </c>
      <c r="C69" s="60" t="s">
        <v>879</v>
      </c>
      <c r="D69" s="61"/>
      <c r="E69" s="62"/>
      <c r="F69" s="63"/>
      <c r="G69" s="64"/>
    </row>
    <row r="70" spans="2:10" ht="15.6" x14ac:dyDescent="0.25">
      <c r="B70" s="59"/>
      <c r="C70" s="69" t="s">
        <v>334</v>
      </c>
      <c r="D70" s="61" t="s">
        <v>3</v>
      </c>
      <c r="E70" s="62">
        <f>$A$2</f>
        <v>0</v>
      </c>
      <c r="F70" s="63">
        <f>'Прайс для расчета'!E62</f>
        <v>110.25</v>
      </c>
      <c r="G70" s="64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25">
      <c r="B71" s="59"/>
      <c r="C71" s="69" t="s">
        <v>335</v>
      </c>
      <c r="D71" s="61" t="s">
        <v>2</v>
      </c>
      <c r="E71" s="62">
        <f t="shared" ref="E71:E76" si="11">$A$4</f>
        <v>0</v>
      </c>
      <c r="F71" s="63">
        <f>'Прайс для расчета'!E63</f>
        <v>248.99699999999999</v>
      </c>
      <c r="G71" s="64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25">
      <c r="B72" s="59"/>
      <c r="C72" s="69" t="s">
        <v>336</v>
      </c>
      <c r="D72" s="61" t="s">
        <v>2</v>
      </c>
      <c r="E72" s="62">
        <f t="shared" si="11"/>
        <v>0</v>
      </c>
      <c r="F72" s="63">
        <f>'Прайс для расчета'!E64</f>
        <v>205.75799999999998</v>
      </c>
      <c r="G72" s="64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25">
      <c r="B73" s="59"/>
      <c r="C73" s="69" t="s">
        <v>481</v>
      </c>
      <c r="D73" s="61" t="s">
        <v>2</v>
      </c>
      <c r="E73" s="62">
        <f t="shared" si="11"/>
        <v>0</v>
      </c>
      <c r="F73" s="63">
        <f>'Прайс для расчета'!E65</f>
        <v>155.06400000000002</v>
      </c>
      <c r="G73" s="64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25">
      <c r="B74" s="59"/>
      <c r="C74" s="69" t="s">
        <v>482</v>
      </c>
      <c r="D74" s="61" t="s">
        <v>2</v>
      </c>
      <c r="E74" s="62">
        <f t="shared" si="11"/>
        <v>0</v>
      </c>
      <c r="F74" s="63">
        <f>'Прайс для расчета'!E66</f>
        <v>137.172</v>
      </c>
      <c r="G74" s="64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25">
      <c r="B75" s="59"/>
      <c r="C75" s="69" t="s">
        <v>483</v>
      </c>
      <c r="D75" s="61" t="s">
        <v>2</v>
      </c>
      <c r="E75" s="62">
        <f t="shared" si="11"/>
        <v>0</v>
      </c>
      <c r="F75" s="63">
        <f>'Прайс для расчета'!E67</f>
        <v>86.478000000000009</v>
      </c>
      <c r="G75" s="64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25">
      <c r="B76" s="59"/>
      <c r="C76" s="69" t="s">
        <v>484</v>
      </c>
      <c r="D76" s="61" t="s">
        <v>2</v>
      </c>
      <c r="E76" s="62">
        <f t="shared" si="11"/>
        <v>0</v>
      </c>
      <c r="F76" s="63">
        <f>'Прайс для расчета'!E68</f>
        <v>102.87899999999999</v>
      </c>
      <c r="G76" s="64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25">
      <c r="B77" s="59"/>
      <c r="C77" s="69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25">
      <c r="B78" s="59"/>
      <c r="C78" s="69" t="s">
        <v>661</v>
      </c>
      <c r="D78" s="61" t="s">
        <v>2</v>
      </c>
      <c r="E78" s="62">
        <f>$A$4</f>
        <v>0</v>
      </c>
      <c r="F78" s="63">
        <f>'Прайс для расчета'!E70</f>
        <v>377.22300000000001</v>
      </c>
      <c r="G78" s="64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25">
      <c r="B79" s="59"/>
      <c r="C79" s="69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25">
      <c r="B80" s="59"/>
      <c r="C80" s="69" t="s">
        <v>138</v>
      </c>
      <c r="D80" s="61" t="s">
        <v>3</v>
      </c>
      <c r="E80" s="62">
        <f t="shared" ref="E80:E86" si="12">$A$4</f>
        <v>0</v>
      </c>
      <c r="F80" s="63">
        <f>'Прайс для расчета'!E72</f>
        <v>204.75</v>
      </c>
      <c r="G80" s="64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25">
      <c r="B81" s="59"/>
      <c r="C81" s="69" t="s">
        <v>339</v>
      </c>
      <c r="D81" s="61" t="s">
        <v>2</v>
      </c>
      <c r="E81" s="62">
        <f t="shared" si="12"/>
        <v>0</v>
      </c>
      <c r="F81" s="63">
        <f>'Прайс для расчета'!E73</f>
        <v>274.34399999999999</v>
      </c>
      <c r="G81" s="64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25">
      <c r="B82" s="59"/>
      <c r="C82" s="69" t="s">
        <v>156</v>
      </c>
      <c r="D82" s="61" t="s">
        <v>2</v>
      </c>
      <c r="E82" s="62">
        <f t="shared" si="12"/>
        <v>0</v>
      </c>
      <c r="F82" s="63">
        <f>'Прайс для расчета'!E74</f>
        <v>223.65</v>
      </c>
      <c r="G82" s="64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25">
      <c r="B83" s="59"/>
      <c r="C83" s="69" t="s">
        <v>340</v>
      </c>
      <c r="D83" s="61" t="s">
        <v>2</v>
      </c>
      <c r="E83" s="62">
        <f t="shared" si="12"/>
        <v>0</v>
      </c>
      <c r="F83" s="63">
        <f>'Прайс для расчета'!E75</f>
        <v>506.94</v>
      </c>
      <c r="G83" s="64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25">
      <c r="B84" s="59"/>
      <c r="C84" s="69" t="s">
        <v>54</v>
      </c>
      <c r="D84" s="61" t="s">
        <v>2</v>
      </c>
      <c r="E84" s="62">
        <f t="shared" si="12"/>
        <v>0</v>
      </c>
      <c r="F84" s="63">
        <f>'Прайс для расчета'!E76</f>
        <v>591.92700000000002</v>
      </c>
      <c r="G84" s="64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25">
      <c r="B85" s="59"/>
      <c r="C85" s="69" t="s">
        <v>221</v>
      </c>
      <c r="D85" s="61" t="s">
        <v>2</v>
      </c>
      <c r="E85" s="62">
        <f t="shared" si="12"/>
        <v>0</v>
      </c>
      <c r="F85" s="63">
        <f>'Прайс для расчета'!E77</f>
        <v>210</v>
      </c>
      <c r="G85" s="64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25">
      <c r="B86" s="59"/>
      <c r="C86" s="69" t="s">
        <v>157</v>
      </c>
      <c r="D86" s="61" t="s">
        <v>2</v>
      </c>
      <c r="E86" s="62">
        <f t="shared" si="12"/>
        <v>0</v>
      </c>
      <c r="F86" s="63">
        <f>'Прайс для расчета'!E78</f>
        <v>240.05099999999999</v>
      </c>
      <c r="G86" s="64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25">
      <c r="B87" s="59">
        <f>IF(SUM(B88:B96)&gt;0,1,0)</f>
        <v>0</v>
      </c>
      <c r="C87" s="60" t="s">
        <v>880</v>
      </c>
      <c r="D87" s="61"/>
      <c r="E87" s="62"/>
      <c r="F87" s="63"/>
      <c r="G87" s="64"/>
    </row>
    <row r="88" spans="2:10" ht="15.6" x14ac:dyDescent="0.25">
      <c r="B88" s="59"/>
      <c r="C88" s="69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25">
      <c r="B89" s="59"/>
      <c r="C89" s="69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25">
      <c r="B90" s="59"/>
      <c r="C90" s="69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25">
      <c r="B91" s="59"/>
      <c r="C91" s="69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25">
      <c r="B92" s="59"/>
      <c r="C92" s="69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25">
      <c r="B93" s="59"/>
      <c r="C93" s="69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25">
      <c r="B94" s="59"/>
      <c r="C94" s="69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25">
      <c r="B95" s="59"/>
      <c r="C95" s="69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25">
      <c r="B96" s="59"/>
      <c r="C96" s="69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25">
      <c r="B97" s="59">
        <f>IF(SUM(B98:B104)&gt;0,1,0)</f>
        <v>0</v>
      </c>
      <c r="C97" s="60" t="s">
        <v>881</v>
      </c>
      <c r="D97" s="61"/>
      <c r="E97" s="62"/>
      <c r="F97" s="63"/>
      <c r="G97" s="64"/>
    </row>
    <row r="98" spans="2:10" ht="15.6" x14ac:dyDescent="0.25">
      <c r="B98" s="59"/>
      <c r="C98" s="69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25">
      <c r="B99" s="59"/>
      <c r="C99" s="69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25">
      <c r="B100" s="59"/>
      <c r="C100" s="69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25">
      <c r="B101" s="59"/>
      <c r="C101" s="69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25">
      <c r="B102" s="59"/>
      <c r="C102" s="69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25">
      <c r="B103" s="59"/>
      <c r="C103" s="69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25">
      <c r="B104" s="59"/>
      <c r="C104" s="69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25">
      <c r="B105" s="59">
        <f>IF(SUM(B106:B125)&gt;0,1,0)</f>
        <v>0</v>
      </c>
      <c r="C105" s="60" t="s">
        <v>882</v>
      </c>
      <c r="D105" s="61"/>
      <c r="E105" s="62"/>
      <c r="F105" s="63"/>
      <c r="G105" s="64"/>
    </row>
    <row r="106" spans="2:10" ht="15.6" x14ac:dyDescent="0.25">
      <c r="B106" s="59"/>
      <c r="C106" s="69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25">
      <c r="B107" s="59"/>
      <c r="C107" s="69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25">
      <c r="B108" s="59"/>
      <c r="C108" s="69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25">
      <c r="B109" s="59"/>
      <c r="C109" s="69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25">
      <c r="B110" s="59"/>
      <c r="C110" s="69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25">
      <c r="B111" s="59"/>
      <c r="C111" s="69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25">
      <c r="B112" s="59"/>
      <c r="C112" s="69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25">
      <c r="B113" s="59"/>
      <c r="C113" s="69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25">
      <c r="B114" s="59"/>
      <c r="C114" s="69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25">
      <c r="B115" s="59"/>
      <c r="C115" s="69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25">
      <c r="B116" s="59"/>
      <c r="C116" s="69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25">
      <c r="B117" s="59"/>
      <c r="C117" s="69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25">
      <c r="B118" s="59"/>
      <c r="C118" s="69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25">
      <c r="B119" s="59"/>
      <c r="C119" s="69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25">
      <c r="B120" s="59"/>
      <c r="C120" s="69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25">
      <c r="B121" s="59"/>
      <c r="C121" s="69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25">
      <c r="B122" s="59"/>
      <c r="C122" s="69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25">
      <c r="B123" s="59"/>
      <c r="C123" s="69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25">
      <c r="B124" s="59"/>
      <c r="C124" s="69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25">
      <c r="B125" s="59"/>
      <c r="C125" s="69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0</v>
      </c>
      <c r="C126" s="60" t="s">
        <v>883</v>
      </c>
      <c r="D126" s="61"/>
      <c r="E126" s="62"/>
      <c r="F126" s="63"/>
      <c r="G126" s="64"/>
    </row>
    <row r="127" spans="2:10" ht="15.6" x14ac:dyDescent="0.25">
      <c r="B127" s="59"/>
      <c r="C127" s="69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25">
      <c r="B128" s="59"/>
      <c r="C128" s="69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25">
      <c r="B129" s="59"/>
      <c r="C129" s="69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25">
      <c r="B130" s="59"/>
      <c r="C130" s="69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25">
      <c r="B131" s="59"/>
      <c r="C131" s="69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25">
      <c r="B132" s="59"/>
      <c r="C132" s="69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25">
      <c r="B133" s="59"/>
      <c r="C133" s="69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25">
      <c r="B134" s="59"/>
      <c r="C134" s="69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25">
      <c r="B135" s="59"/>
      <c r="C135" s="69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25">
      <c r="B136" s="59"/>
      <c r="C136" s="69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25">
      <c r="B137" s="110">
        <f>IF(SUM(B11:B136)&gt;0,1,0)</f>
        <v>0</v>
      </c>
      <c r="C137" s="245" t="s">
        <v>497</v>
      </c>
      <c r="D137" s="245"/>
      <c r="E137" s="245"/>
      <c r="F137" s="245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48" t="s">
        <v>202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0" t="s">
        <v>877</v>
      </c>
      <c r="D139" s="61"/>
      <c r="E139" s="62"/>
      <c r="F139" s="63"/>
      <c r="G139" s="64"/>
    </row>
    <row r="140" spans="2:10" ht="15.6" x14ac:dyDescent="0.25">
      <c r="B140" s="59"/>
      <c r="C140" s="69" t="s">
        <v>1018</v>
      </c>
      <c r="D140" s="61" t="s">
        <v>2</v>
      </c>
      <c r="E140" s="62">
        <f t="shared" ref="E140:E164" si="21">$A$4</f>
        <v>0</v>
      </c>
      <c r="F140" s="63">
        <f>'Прайс для расчета'!E125</f>
        <v>94.5</v>
      </c>
      <c r="G140" s="64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25">
      <c r="B141" s="59"/>
      <c r="C141" s="69" t="s">
        <v>1128</v>
      </c>
      <c r="D141" s="61" t="s">
        <v>2</v>
      </c>
      <c r="E141" s="62">
        <f t="shared" si="21"/>
        <v>0</v>
      </c>
      <c r="F141" s="63">
        <f>'Прайс для расчета'!E126</f>
        <v>157.5</v>
      </c>
      <c r="G141" s="64">
        <f t="shared" ref="G141" si="24">F141*E141</f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25">
      <c r="B142" s="59"/>
      <c r="C142" s="69" t="s">
        <v>1019</v>
      </c>
      <c r="D142" s="61" t="s">
        <v>2</v>
      </c>
      <c r="E142" s="62">
        <f t="shared" si="21"/>
        <v>0</v>
      </c>
      <c r="F142" s="63">
        <f>'Прайс для расчета'!E127</f>
        <v>114.45</v>
      </c>
      <c r="G142" s="64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25">
      <c r="B143" s="59"/>
      <c r="C143" s="69" t="s">
        <v>1034</v>
      </c>
      <c r="D143" s="61" t="s">
        <v>2</v>
      </c>
      <c r="E143" s="62">
        <f t="shared" si="21"/>
        <v>0</v>
      </c>
      <c r="F143" s="63">
        <f>'Прайс для расчета'!E128</f>
        <v>0</v>
      </c>
      <c r="G143" s="64">
        <f t="shared" ref="G143" si="25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25">
      <c r="B144" s="59"/>
      <c r="C144" s="69" t="s">
        <v>930</v>
      </c>
      <c r="D144" s="61" t="s">
        <v>2</v>
      </c>
      <c r="E144" s="62">
        <f t="shared" si="21"/>
        <v>0</v>
      </c>
      <c r="F144" s="63">
        <f>'Прайс для расчета'!E129</f>
        <v>576.45000000000005</v>
      </c>
      <c r="G144" s="64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25">
      <c r="B145" s="59"/>
      <c r="C145" s="69" t="s">
        <v>931</v>
      </c>
      <c r="D145" s="61" t="s">
        <v>2</v>
      </c>
      <c r="E145" s="62">
        <f t="shared" si="21"/>
        <v>0</v>
      </c>
      <c r="F145" s="63">
        <f>'Прайс для расчета'!E130</f>
        <v>681.45</v>
      </c>
      <c r="G145" s="64">
        <f t="shared" ref="G145:G149" si="26">F145*E145</f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25">
      <c r="B146" s="59"/>
      <c r="C146" s="69" t="s">
        <v>932</v>
      </c>
      <c r="D146" s="61" t="s">
        <v>2</v>
      </c>
      <c r="E146" s="62">
        <f t="shared" si="21"/>
        <v>0</v>
      </c>
      <c r="F146" s="63">
        <f>'Прайс для расчета'!E131</f>
        <v>891.45</v>
      </c>
      <c r="G146" s="64">
        <f t="shared" si="26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25">
      <c r="B147" s="59"/>
      <c r="C147" s="69" t="s">
        <v>357</v>
      </c>
      <c r="D147" s="61" t="s">
        <v>2</v>
      </c>
      <c r="E147" s="62">
        <f t="shared" si="21"/>
        <v>0</v>
      </c>
      <c r="F147" s="63">
        <f>'Прайс для расчета'!E132</f>
        <v>996.45</v>
      </c>
      <c r="G147" s="64">
        <f t="shared" si="26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25">
      <c r="B148" s="59"/>
      <c r="C148" s="69" t="s">
        <v>1127</v>
      </c>
      <c r="D148" s="61" t="s">
        <v>2</v>
      </c>
      <c r="E148" s="62">
        <f t="shared" si="21"/>
        <v>0</v>
      </c>
      <c r="F148" s="63">
        <f>'Прайс для расчета'!E133</f>
        <v>1101.45</v>
      </c>
      <c r="G148" s="64">
        <f t="shared" si="26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25">
      <c r="B149" s="59"/>
      <c r="C149" s="69" t="s">
        <v>151</v>
      </c>
      <c r="D149" s="61" t="s">
        <v>2</v>
      </c>
      <c r="E149" s="62">
        <f t="shared" si="21"/>
        <v>0</v>
      </c>
      <c r="F149" s="63">
        <f>'Прайс для расчета'!E134</f>
        <v>271.95</v>
      </c>
      <c r="G149" s="64">
        <f t="shared" si="26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25">
      <c r="B150" s="59"/>
      <c r="C150" s="69" t="s">
        <v>499</v>
      </c>
      <c r="D150" s="61" t="s">
        <v>2</v>
      </c>
      <c r="E150" s="62">
        <f t="shared" si="21"/>
        <v>0</v>
      </c>
      <c r="F150" s="63">
        <f>'Прайс для расчета'!E135</f>
        <v>262.5</v>
      </c>
      <c r="G150" s="64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25">
      <c r="B151" s="59"/>
      <c r="C151" s="69" t="s">
        <v>500</v>
      </c>
      <c r="D151" s="61" t="s">
        <v>3</v>
      </c>
      <c r="E151" s="62">
        <f>$A$2</f>
        <v>0</v>
      </c>
      <c r="F151" s="63">
        <f>'Прайс для расчета'!E136</f>
        <v>250.95000000000002</v>
      </c>
      <c r="G151" s="64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25">
      <c r="B152" s="59"/>
      <c r="C152" s="69" t="s">
        <v>1024</v>
      </c>
      <c r="D152" s="61" t="s">
        <v>2</v>
      </c>
      <c r="E152" s="62">
        <f t="shared" si="21"/>
        <v>0</v>
      </c>
      <c r="F152" s="63">
        <f>'Прайс для расчета'!E137</f>
        <v>204.75</v>
      </c>
      <c r="G152" s="64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25">
      <c r="B153" s="59"/>
      <c r="C153" s="69" t="s">
        <v>359</v>
      </c>
      <c r="D153" s="61" t="s">
        <v>2</v>
      </c>
      <c r="E153" s="62">
        <f t="shared" si="21"/>
        <v>0</v>
      </c>
      <c r="F153" s="63">
        <f>'Прайс для расчета'!E138</f>
        <v>299.25</v>
      </c>
      <c r="G153" s="64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25">
      <c r="B154" s="59"/>
      <c r="C154" s="69" t="s">
        <v>360</v>
      </c>
      <c r="D154" s="61" t="s">
        <v>2</v>
      </c>
      <c r="E154" s="62">
        <f t="shared" si="21"/>
        <v>0</v>
      </c>
      <c r="F154" s="63">
        <f>'Прайс для расчета'!E139</f>
        <v>104.36999999999999</v>
      </c>
      <c r="G154" s="64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25">
      <c r="B155" s="59"/>
      <c r="C155" s="69" t="s">
        <v>361</v>
      </c>
      <c r="D155" s="61" t="s">
        <v>2</v>
      </c>
      <c r="E155" s="62">
        <f t="shared" si="21"/>
        <v>0</v>
      </c>
      <c r="F155" s="63">
        <f>'Прайс для расчета'!E140</f>
        <v>498.75</v>
      </c>
      <c r="G155" s="64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25">
      <c r="B156" s="59"/>
      <c r="C156" s="69" t="s">
        <v>501</v>
      </c>
      <c r="D156" s="61" t="s">
        <v>2</v>
      </c>
      <c r="E156" s="62">
        <f t="shared" si="21"/>
        <v>0</v>
      </c>
      <c r="F156" s="63">
        <f>'Прайс для расчета'!E141</f>
        <v>460.95000000000005</v>
      </c>
      <c r="G156" s="64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25">
      <c r="B157" s="59"/>
      <c r="C157" s="69" t="s">
        <v>362</v>
      </c>
      <c r="D157" s="61" t="s">
        <v>2</v>
      </c>
      <c r="E157" s="62">
        <f t="shared" si="21"/>
        <v>0</v>
      </c>
      <c r="F157" s="63">
        <f>'Прайс для расчета'!E142</f>
        <v>1942.5</v>
      </c>
      <c r="G157" s="64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25">
      <c r="B158" s="59"/>
      <c r="C158" s="69" t="s">
        <v>227</v>
      </c>
      <c r="D158" s="61" t="s">
        <v>2</v>
      </c>
      <c r="E158" s="62">
        <f t="shared" si="21"/>
        <v>0</v>
      </c>
      <c r="F158" s="63">
        <f>'Прайс для расчета'!E143</f>
        <v>362.25</v>
      </c>
      <c r="G158" s="64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25">
      <c r="B159" s="59"/>
      <c r="C159" s="69" t="s">
        <v>224</v>
      </c>
      <c r="D159" s="61" t="s">
        <v>2</v>
      </c>
      <c r="E159" s="62">
        <f t="shared" si="21"/>
        <v>0</v>
      </c>
      <c r="F159" s="63">
        <f>'Прайс для расчета'!E144</f>
        <v>271.95</v>
      </c>
      <c r="G159" s="64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25">
      <c r="B160" s="59"/>
      <c r="C160" s="69" t="s">
        <v>1025</v>
      </c>
      <c r="D160" s="61" t="s">
        <v>2</v>
      </c>
      <c r="E160" s="62">
        <f t="shared" si="21"/>
        <v>0</v>
      </c>
      <c r="F160" s="63">
        <f>'Прайс для расчета'!E145</f>
        <v>509.25</v>
      </c>
      <c r="G160" s="64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25">
      <c r="B161" s="59"/>
      <c r="C161" s="69" t="s">
        <v>363</v>
      </c>
      <c r="D161" s="61" t="s">
        <v>3</v>
      </c>
      <c r="E161" s="62">
        <f t="shared" si="21"/>
        <v>0</v>
      </c>
      <c r="F161" s="63">
        <f>'Прайс для расчета'!E146</f>
        <v>472.5</v>
      </c>
      <c r="G161" s="64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25">
      <c r="B162" s="59"/>
      <c r="C162" s="69" t="s">
        <v>364</v>
      </c>
      <c r="D162" s="61" t="s">
        <v>2</v>
      </c>
      <c r="E162" s="62">
        <f t="shared" si="21"/>
        <v>0</v>
      </c>
      <c r="F162" s="63">
        <f>'Прайс для расчета'!E147</f>
        <v>404.06100000000004</v>
      </c>
      <c r="G162" s="64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25">
      <c r="B163" s="59"/>
      <c r="C163" s="69" t="s">
        <v>365</v>
      </c>
      <c r="D163" s="61" t="s">
        <v>2</v>
      </c>
      <c r="E163" s="62">
        <f t="shared" si="21"/>
        <v>0</v>
      </c>
      <c r="F163" s="63">
        <f>'Прайс для расчета'!E148</f>
        <v>304.5</v>
      </c>
      <c r="G163" s="64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25">
      <c r="B164" s="59"/>
      <c r="C164" s="69" t="s">
        <v>366</v>
      </c>
      <c r="D164" s="61" t="s">
        <v>2</v>
      </c>
      <c r="E164" s="62">
        <f t="shared" si="21"/>
        <v>0</v>
      </c>
      <c r="F164" s="63">
        <f>'Прайс для расчета'!E149</f>
        <v>472.5</v>
      </c>
      <c r="G164" s="64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25">
      <c r="B165" s="59">
        <f>IF(SUM(B166:B208)&gt;0,1,0)</f>
        <v>0</v>
      </c>
      <c r="C165" s="60" t="s">
        <v>878</v>
      </c>
      <c r="D165" s="61"/>
      <c r="E165" s="62"/>
      <c r="F165" s="63"/>
      <c r="G165" s="64"/>
    </row>
    <row r="166" spans="2:10" ht="15.6" x14ac:dyDescent="0.25">
      <c r="B166" s="59"/>
      <c r="C166" s="69" t="s">
        <v>1020</v>
      </c>
      <c r="D166" s="61" t="s">
        <v>2</v>
      </c>
      <c r="E166" s="62" t="e">
        <f t="shared" ref="E166:E182" si="27">$A$6</f>
        <v>#REF!</v>
      </c>
      <c r="F166" s="63">
        <f>'Прайс для расчета'!E150</f>
        <v>124.95</v>
      </c>
      <c r="G166" s="64" t="e">
        <f t="shared" ref="G166:G208" si="28">F166*E166</f>
        <v>#REF!</v>
      </c>
      <c r="I166" s="135">
        <f>'Прайс для расчета (М)'!E150</f>
        <v>62.475000000000001</v>
      </c>
      <c r="J166" s="36" t="e">
        <f t="shared" ref="J166:J208" si="29">I166*E166</f>
        <v>#REF!</v>
      </c>
    </row>
    <row r="167" spans="2:10" ht="15.6" x14ac:dyDescent="0.25">
      <c r="B167" s="59"/>
      <c r="C167" s="69" t="s">
        <v>1107</v>
      </c>
      <c r="D167" s="61" t="s">
        <v>2</v>
      </c>
      <c r="E167" s="62" t="e">
        <f t="shared" si="27"/>
        <v>#REF!</v>
      </c>
      <c r="F167" s="63">
        <f>'Прайс для расчета'!E151</f>
        <v>892.5</v>
      </c>
      <c r="G167" s="64" t="e">
        <f t="shared" ref="G167" si="30">F167*E167</f>
        <v>#REF!</v>
      </c>
      <c r="I167" s="135">
        <f>'Прайс для расчета (М)'!E151</f>
        <v>446.25</v>
      </c>
      <c r="J167" s="36" t="e">
        <f t="shared" si="29"/>
        <v>#REF!</v>
      </c>
    </row>
    <row r="168" spans="2:10" ht="15.6" x14ac:dyDescent="0.25">
      <c r="B168" s="59"/>
      <c r="C168" s="69" t="s">
        <v>1108</v>
      </c>
      <c r="D168" s="61" t="s">
        <v>2</v>
      </c>
      <c r="E168" s="62" t="e">
        <f t="shared" si="27"/>
        <v>#REF!</v>
      </c>
      <c r="F168" s="63">
        <f>'Прайс для расчета'!E152</f>
        <v>1207.5</v>
      </c>
      <c r="G168" s="64" t="e">
        <f t="shared" si="28"/>
        <v>#REF!</v>
      </c>
      <c r="I168" s="135">
        <f>'Прайс для расчета (М)'!E152</f>
        <v>603.75</v>
      </c>
      <c r="J168" s="36" t="e">
        <f t="shared" si="29"/>
        <v>#REF!</v>
      </c>
    </row>
    <row r="169" spans="2:10" ht="15.6" x14ac:dyDescent="0.25">
      <c r="B169" s="59"/>
      <c r="C169" s="69" t="s">
        <v>1109</v>
      </c>
      <c r="D169" s="61" t="s">
        <v>2</v>
      </c>
      <c r="E169" s="62" t="e">
        <f t="shared" si="27"/>
        <v>#REF!</v>
      </c>
      <c r="F169" s="63">
        <f>'Прайс для расчета'!E153</f>
        <v>624.75</v>
      </c>
      <c r="G169" s="64" t="e">
        <f t="shared" si="28"/>
        <v>#REF!</v>
      </c>
      <c r="I169" s="135">
        <f>'Прайс для расчета (М)'!E153</f>
        <v>312.375</v>
      </c>
      <c r="J169" s="36" t="e">
        <f t="shared" si="29"/>
        <v>#REF!</v>
      </c>
    </row>
    <row r="170" spans="2:10" ht="15.6" x14ac:dyDescent="0.25">
      <c r="B170" s="59"/>
      <c r="C170" s="69" t="s">
        <v>1110</v>
      </c>
      <c r="D170" s="61" t="s">
        <v>2</v>
      </c>
      <c r="E170" s="62" t="e">
        <f t="shared" si="27"/>
        <v>#REF!</v>
      </c>
      <c r="F170" s="63">
        <f>'Прайс для расчета'!E154</f>
        <v>729.75</v>
      </c>
      <c r="G170" s="64" t="e">
        <f t="shared" si="28"/>
        <v>#REF!</v>
      </c>
      <c r="I170" s="135">
        <f>'Прайс для расчета (М)'!E154</f>
        <v>364.875</v>
      </c>
      <c r="J170" s="36" t="e">
        <f t="shared" si="29"/>
        <v>#REF!</v>
      </c>
    </row>
    <row r="171" spans="2:10" ht="15.6" x14ac:dyDescent="0.25">
      <c r="B171" s="59"/>
      <c r="C171" s="69" t="s">
        <v>1115</v>
      </c>
      <c r="D171" s="61" t="s">
        <v>2</v>
      </c>
      <c r="E171" s="62" t="e">
        <f t="shared" si="27"/>
        <v>#REF!</v>
      </c>
      <c r="F171" s="63">
        <f>'Прайс для расчета'!E155</f>
        <v>943.95</v>
      </c>
      <c r="G171" s="64" t="e">
        <f t="shared" si="28"/>
        <v>#REF!</v>
      </c>
      <c r="I171" s="135">
        <f>'Прайс для расчета (М)'!E155</f>
        <v>471.97500000000002</v>
      </c>
      <c r="J171" s="36" t="e">
        <f t="shared" si="29"/>
        <v>#REF!</v>
      </c>
    </row>
    <row r="172" spans="2:10" ht="15.6" x14ac:dyDescent="0.25">
      <c r="B172" s="59"/>
      <c r="C172" s="69" t="s">
        <v>1028</v>
      </c>
      <c r="D172" s="61" t="s">
        <v>2</v>
      </c>
      <c r="E172" s="62" t="e">
        <f t="shared" si="27"/>
        <v>#REF!</v>
      </c>
      <c r="F172" s="63">
        <f>'Прайс для расчета'!E156</f>
        <v>787.5</v>
      </c>
      <c r="G172" s="64" t="e">
        <f t="shared" si="28"/>
        <v>#REF!</v>
      </c>
      <c r="I172" s="135">
        <f>'Прайс для расчета (М)'!E156</f>
        <v>393.75</v>
      </c>
      <c r="J172" s="36" t="e">
        <f t="shared" si="29"/>
        <v>#REF!</v>
      </c>
    </row>
    <row r="173" spans="2:10" ht="15.6" x14ac:dyDescent="0.25">
      <c r="B173" s="59"/>
      <c r="C173" s="69" t="s">
        <v>1029</v>
      </c>
      <c r="D173" s="61" t="s">
        <v>3</v>
      </c>
      <c r="E173" s="62" t="e">
        <f t="shared" si="27"/>
        <v>#REF!</v>
      </c>
      <c r="F173" s="63">
        <f>'Прайс для расчета'!E157</f>
        <v>651</v>
      </c>
      <c r="G173" s="64" t="e">
        <f t="shared" si="28"/>
        <v>#REF!</v>
      </c>
      <c r="I173" s="135">
        <f>'Прайс для расчета (М)'!E157</f>
        <v>325.5</v>
      </c>
      <c r="J173" s="36" t="e">
        <f t="shared" si="29"/>
        <v>#REF!</v>
      </c>
    </row>
    <row r="174" spans="2:10" ht="15.6" x14ac:dyDescent="0.25">
      <c r="B174" s="59"/>
      <c r="C174" s="69" t="s">
        <v>674</v>
      </c>
      <c r="D174" s="61" t="s">
        <v>2</v>
      </c>
      <c r="E174" s="62" t="e">
        <f t="shared" si="27"/>
        <v>#REF!</v>
      </c>
      <c r="F174" s="63">
        <f>'Прайс для расчета'!E158</f>
        <v>267.75</v>
      </c>
      <c r="G174" s="64" t="e">
        <f t="shared" si="28"/>
        <v>#REF!</v>
      </c>
      <c r="I174" s="135">
        <f>'Прайс для расчета (М)'!E158</f>
        <v>133.875</v>
      </c>
      <c r="J174" s="36" t="e">
        <f t="shared" si="29"/>
        <v>#REF!</v>
      </c>
    </row>
    <row r="175" spans="2:10" ht="15.6" x14ac:dyDescent="0.25">
      <c r="B175" s="59"/>
      <c r="C175" s="201" t="s">
        <v>1007</v>
      </c>
      <c r="D175" s="61" t="s">
        <v>2</v>
      </c>
      <c r="E175" s="62" t="e">
        <f t="shared" si="27"/>
        <v>#REF!</v>
      </c>
      <c r="F175" s="63">
        <f>'Прайс для расчета'!E159</f>
        <v>2992.5</v>
      </c>
      <c r="G175" s="64" t="e">
        <f t="shared" si="28"/>
        <v>#REF!</v>
      </c>
      <c r="I175" s="135">
        <f>'Прайс для расчета (М)'!E159</f>
        <v>1496.25</v>
      </c>
      <c r="J175" s="36" t="e">
        <f t="shared" si="29"/>
        <v>#REF!</v>
      </c>
    </row>
    <row r="176" spans="2:10" ht="15.6" x14ac:dyDescent="0.25">
      <c r="B176" s="59"/>
      <c r="C176" s="69" t="s">
        <v>1021</v>
      </c>
      <c r="D176" s="61" t="s">
        <v>2</v>
      </c>
      <c r="E176" s="62" t="e">
        <f t="shared" si="27"/>
        <v>#REF!</v>
      </c>
      <c r="F176" s="63">
        <f>'Прайс для расчета'!E160</f>
        <v>94.5</v>
      </c>
      <c r="G176" s="64" t="e">
        <f t="shared" si="28"/>
        <v>#REF!</v>
      </c>
      <c r="I176" s="135">
        <f>'Прайс для расчета (М)'!E160</f>
        <v>47.25</v>
      </c>
      <c r="J176" s="36" t="e">
        <f t="shared" si="29"/>
        <v>#REF!</v>
      </c>
    </row>
    <row r="177" spans="2:10" ht="15.6" x14ac:dyDescent="0.25">
      <c r="B177" s="59"/>
      <c r="C177" s="69" t="s">
        <v>1125</v>
      </c>
      <c r="D177" s="61" t="s">
        <v>2</v>
      </c>
      <c r="E177" s="62" t="e">
        <f t="shared" si="27"/>
        <v>#REF!</v>
      </c>
      <c r="F177" s="63">
        <f>'Прайс для расчета'!E161</f>
        <v>157.5</v>
      </c>
      <c r="G177" s="64" t="e">
        <f t="shared" ref="G177:G178" si="31">F177*E177</f>
        <v>#REF!</v>
      </c>
      <c r="I177" s="135">
        <f>'Прайс для расчета (М)'!E161</f>
        <v>78.75</v>
      </c>
      <c r="J177" s="36" t="e">
        <f t="shared" si="29"/>
        <v>#REF!</v>
      </c>
    </row>
    <row r="178" spans="2:10" ht="15.6" x14ac:dyDescent="0.25">
      <c r="B178" s="59"/>
      <c r="C178" s="69" t="s">
        <v>1126</v>
      </c>
      <c r="D178" s="61" t="s">
        <v>2</v>
      </c>
      <c r="E178" s="62" t="e">
        <f t="shared" si="27"/>
        <v>#REF!</v>
      </c>
      <c r="F178" s="63">
        <f>'Прайс для расчета'!E162</f>
        <v>519.75</v>
      </c>
      <c r="G178" s="64" t="e">
        <f t="shared" si="31"/>
        <v>#REF!</v>
      </c>
      <c r="I178" s="135">
        <f>'Прайс для расчета (М)'!E162</f>
        <v>259.875</v>
      </c>
      <c r="J178" s="36" t="e">
        <f t="shared" si="29"/>
        <v>#REF!</v>
      </c>
    </row>
    <row r="179" spans="2:10" ht="15.6" x14ac:dyDescent="0.25">
      <c r="B179" s="59"/>
      <c r="C179" s="69" t="s">
        <v>1119</v>
      </c>
      <c r="D179" s="61" t="s">
        <v>2</v>
      </c>
      <c r="E179" s="62" t="e">
        <f t="shared" si="27"/>
        <v>#REF!</v>
      </c>
      <c r="F179" s="63">
        <f>'Прайс для расчета'!E163</f>
        <v>687.75</v>
      </c>
      <c r="G179" s="64" t="e">
        <f t="shared" si="28"/>
        <v>#REF!</v>
      </c>
      <c r="I179" s="135">
        <f>'Прайс для расчета (М)'!E163</f>
        <v>343.875</v>
      </c>
      <c r="J179" s="36" t="e">
        <f t="shared" si="29"/>
        <v>#REF!</v>
      </c>
    </row>
    <row r="180" spans="2:10" ht="15.6" x14ac:dyDescent="0.25">
      <c r="B180" s="59"/>
      <c r="C180" s="69" t="s">
        <v>1121</v>
      </c>
      <c r="D180" s="61" t="s">
        <v>2</v>
      </c>
      <c r="E180" s="62" t="e">
        <f t="shared" si="27"/>
        <v>#REF!</v>
      </c>
      <c r="F180" s="63">
        <f>'Прайс для расчета'!E164</f>
        <v>420</v>
      </c>
      <c r="G180" s="64" t="e">
        <f t="shared" si="28"/>
        <v>#REF!</v>
      </c>
      <c r="I180" s="135">
        <f>'Прайс для расчета (М)'!E164</f>
        <v>210</v>
      </c>
      <c r="J180" s="36" t="e">
        <f t="shared" si="29"/>
        <v>#REF!</v>
      </c>
    </row>
    <row r="181" spans="2:10" ht="15.6" x14ac:dyDescent="0.25">
      <c r="B181" s="59"/>
      <c r="C181" s="69" t="s">
        <v>1122</v>
      </c>
      <c r="D181" s="61" t="s">
        <v>2</v>
      </c>
      <c r="E181" s="62" t="e">
        <f t="shared" si="27"/>
        <v>#REF!</v>
      </c>
      <c r="F181" s="63">
        <f>'Прайс для расчета'!E165</f>
        <v>829.5</v>
      </c>
      <c r="G181" s="64" t="e">
        <f t="shared" si="28"/>
        <v>#REF!</v>
      </c>
      <c r="I181" s="135">
        <f>'Прайс для расчета (М)'!E165</f>
        <v>414.75</v>
      </c>
      <c r="J181" s="36" t="e">
        <f t="shared" si="29"/>
        <v>#REF!</v>
      </c>
    </row>
    <row r="182" spans="2:10" ht="15.6" x14ac:dyDescent="0.25">
      <c r="B182" s="59"/>
      <c r="C182" s="69" t="s">
        <v>1120</v>
      </c>
      <c r="D182" s="61" t="s">
        <v>2</v>
      </c>
      <c r="E182" s="62" t="e">
        <f t="shared" si="27"/>
        <v>#REF!</v>
      </c>
      <c r="F182" s="63">
        <f>'Прайс для расчета'!E166</f>
        <v>204.75</v>
      </c>
      <c r="G182" s="64" t="e">
        <f t="shared" si="28"/>
        <v>#REF!</v>
      </c>
      <c r="I182" s="135">
        <f>'Прайс для расчета (М)'!E166</f>
        <v>102.375</v>
      </c>
      <c r="J182" s="36" t="e">
        <f t="shared" si="29"/>
        <v>#REF!</v>
      </c>
    </row>
    <row r="183" spans="2:10" ht="15.6" x14ac:dyDescent="0.25">
      <c r="B183" s="59"/>
      <c r="C183" s="69" t="s">
        <v>1105</v>
      </c>
      <c r="D183" s="61" t="s">
        <v>3</v>
      </c>
      <c r="E183" s="62">
        <v>1</v>
      </c>
      <c r="F183" s="63">
        <f>'Прайс для расчета'!E167</f>
        <v>157.5</v>
      </c>
      <c r="G183" s="64">
        <f t="shared" si="28"/>
        <v>157.5</v>
      </c>
      <c r="I183" s="135">
        <f>'Прайс для расчета (М)'!E167</f>
        <v>78.75</v>
      </c>
      <c r="J183" s="36">
        <f t="shared" si="29"/>
        <v>78.75</v>
      </c>
    </row>
    <row r="184" spans="2:10" ht="15.6" x14ac:dyDescent="0.25">
      <c r="B184" s="59"/>
      <c r="C184" s="69" t="s">
        <v>1106</v>
      </c>
      <c r="D184" s="61" t="s">
        <v>3</v>
      </c>
      <c r="E184" s="62">
        <v>1</v>
      </c>
      <c r="F184" s="63">
        <f>'Прайс для расчета'!E168</f>
        <v>157.5</v>
      </c>
      <c r="G184" s="64">
        <f t="shared" si="28"/>
        <v>157.5</v>
      </c>
      <c r="I184" s="135">
        <f>'Прайс для расчета (М)'!E168</f>
        <v>78.75</v>
      </c>
      <c r="J184" s="36">
        <f t="shared" si="29"/>
        <v>78.75</v>
      </c>
    </row>
    <row r="185" spans="2:10" ht="15.6" x14ac:dyDescent="0.25">
      <c r="B185" s="59"/>
      <c r="C185" s="69" t="s">
        <v>1117</v>
      </c>
      <c r="D185" s="61" t="s">
        <v>2</v>
      </c>
      <c r="E185" s="62" t="e">
        <f t="shared" ref="E185:E191" si="32">$A$6</f>
        <v>#REF!</v>
      </c>
      <c r="F185" s="63">
        <f>'Прайс для расчета'!E169</f>
        <v>204.75</v>
      </c>
      <c r="G185" s="64" t="e">
        <f t="shared" si="28"/>
        <v>#REF!</v>
      </c>
      <c r="I185" s="135">
        <f>'Прайс для расчета (М)'!E169</f>
        <v>102.375</v>
      </c>
      <c r="J185" s="36" t="e">
        <f t="shared" si="29"/>
        <v>#REF!</v>
      </c>
    </row>
    <row r="186" spans="2:10" ht="15.6" x14ac:dyDescent="0.25">
      <c r="B186" s="59"/>
      <c r="C186" s="69" t="s">
        <v>1116</v>
      </c>
      <c r="D186" s="61" t="s">
        <v>2</v>
      </c>
      <c r="E186" s="62" t="e">
        <f t="shared" si="32"/>
        <v>#REF!</v>
      </c>
      <c r="F186" s="63">
        <f>'Прайс для расчета'!E170</f>
        <v>204.75</v>
      </c>
      <c r="G186" s="64" t="e">
        <f t="shared" si="28"/>
        <v>#REF!</v>
      </c>
      <c r="I186" s="135">
        <f>'Прайс для расчета (М)'!E170</f>
        <v>102.375</v>
      </c>
      <c r="J186" s="36" t="e">
        <f t="shared" si="29"/>
        <v>#REF!</v>
      </c>
    </row>
    <row r="187" spans="2:10" ht="15.6" x14ac:dyDescent="0.25">
      <c r="B187" s="59"/>
      <c r="C187" s="69" t="s">
        <v>376</v>
      </c>
      <c r="D187" s="61" t="s">
        <v>2</v>
      </c>
      <c r="E187" s="62" t="e">
        <f t="shared" si="32"/>
        <v>#REF!</v>
      </c>
      <c r="F187" s="63">
        <f>'Прайс для расчета'!E171</f>
        <v>1559.586</v>
      </c>
      <c r="G187" s="64" t="e">
        <f t="shared" si="28"/>
        <v>#REF!</v>
      </c>
      <c r="I187" s="135">
        <f>'Прайс для расчета (М)'!E171</f>
        <v>779.79300000000001</v>
      </c>
      <c r="J187" s="36" t="e">
        <f t="shared" si="29"/>
        <v>#REF!</v>
      </c>
    </row>
    <row r="188" spans="2:10" ht="15.6" x14ac:dyDescent="0.25">
      <c r="B188" s="59"/>
      <c r="C188" s="69" t="s">
        <v>377</v>
      </c>
      <c r="D188" s="61" t="s">
        <v>2</v>
      </c>
      <c r="E188" s="62" t="e">
        <f t="shared" si="32"/>
        <v>#REF!</v>
      </c>
      <c r="F188" s="63">
        <f>'Прайс для расчета'!E172</f>
        <v>1616.2440000000001</v>
      </c>
      <c r="G188" s="64" t="e">
        <f t="shared" si="28"/>
        <v>#REF!</v>
      </c>
      <c r="I188" s="135">
        <f>'Прайс для расчета (М)'!E172</f>
        <v>808.12200000000007</v>
      </c>
      <c r="J188" s="36" t="e">
        <f t="shared" si="29"/>
        <v>#REF!</v>
      </c>
    </row>
    <row r="189" spans="2:10" ht="15.6" x14ac:dyDescent="0.25">
      <c r="B189" s="59"/>
      <c r="C189" s="69" t="s">
        <v>378</v>
      </c>
      <c r="D189" s="61" t="s">
        <v>2</v>
      </c>
      <c r="E189" s="62" t="e">
        <f t="shared" si="32"/>
        <v>#REF!</v>
      </c>
      <c r="F189" s="63">
        <f>'Прайс для расчета'!E173</f>
        <v>1131.6690000000001</v>
      </c>
      <c r="G189" s="64" t="e">
        <f t="shared" si="28"/>
        <v>#REF!</v>
      </c>
      <c r="I189" s="135">
        <f>'Прайс для расчета (М)'!E173</f>
        <v>565.83450000000005</v>
      </c>
      <c r="J189" s="36" t="e">
        <f t="shared" si="29"/>
        <v>#REF!</v>
      </c>
    </row>
    <row r="190" spans="2:10" ht="15.6" x14ac:dyDescent="0.25">
      <c r="B190" s="59"/>
      <c r="C190" s="69" t="s">
        <v>379</v>
      </c>
      <c r="D190" s="61" t="s">
        <v>2</v>
      </c>
      <c r="E190" s="62" t="e">
        <f t="shared" si="32"/>
        <v>#REF!</v>
      </c>
      <c r="F190" s="63">
        <f>'Прайс для расчета'!E174</f>
        <v>1191.309</v>
      </c>
      <c r="G190" s="64" t="e">
        <f t="shared" si="28"/>
        <v>#REF!</v>
      </c>
      <c r="I190" s="135">
        <f>'Прайс для расчета (М)'!E174</f>
        <v>595.65449999999998</v>
      </c>
      <c r="J190" s="36" t="e">
        <f t="shared" si="29"/>
        <v>#REF!</v>
      </c>
    </row>
    <row r="191" spans="2:10" ht="15.6" x14ac:dyDescent="0.25">
      <c r="B191" s="59"/>
      <c r="C191" s="69" t="s">
        <v>380</v>
      </c>
      <c r="D191" s="61" t="s">
        <v>2</v>
      </c>
      <c r="E191" s="62" t="e">
        <f t="shared" si="32"/>
        <v>#REF!</v>
      </c>
      <c r="F191" s="63">
        <f>'Прайс для расчета'!E175</f>
        <v>1265.8589999999999</v>
      </c>
      <c r="G191" s="64" t="e">
        <f t="shared" si="28"/>
        <v>#REF!</v>
      </c>
      <c r="I191" s="135">
        <f>'Прайс для расчета (М)'!E175</f>
        <v>632.92949999999996</v>
      </c>
      <c r="J191" s="36" t="e">
        <f t="shared" si="29"/>
        <v>#REF!</v>
      </c>
    </row>
    <row r="192" spans="2:10" ht="15.6" x14ac:dyDescent="0.25">
      <c r="B192" s="59"/>
      <c r="C192" s="69" t="s">
        <v>1044</v>
      </c>
      <c r="D192" s="61" t="s">
        <v>0</v>
      </c>
      <c r="E192" s="62">
        <v>1</v>
      </c>
      <c r="F192" s="63">
        <f>'Прайс для расчета'!E176</f>
        <v>1417.5</v>
      </c>
      <c r="G192" s="64">
        <f t="shared" si="28"/>
        <v>1417.5</v>
      </c>
      <c r="I192" s="135">
        <f>'Прайс для расчета (М)'!E176</f>
        <v>708.75</v>
      </c>
      <c r="J192" s="36">
        <f t="shared" si="29"/>
        <v>708.75</v>
      </c>
    </row>
    <row r="193" spans="2:10" ht="15.6" x14ac:dyDescent="0.25">
      <c r="B193" s="59"/>
      <c r="C193" s="69" t="s">
        <v>1047</v>
      </c>
      <c r="D193" s="61" t="s">
        <v>0</v>
      </c>
      <c r="E193" s="62">
        <v>1</v>
      </c>
      <c r="F193" s="63">
        <f>'Прайс для расчета'!E177</f>
        <v>1837.5</v>
      </c>
      <c r="G193" s="64">
        <f t="shared" si="28"/>
        <v>1837.5</v>
      </c>
      <c r="I193" s="135">
        <f>'Прайс для расчета (М)'!E177</f>
        <v>918.75</v>
      </c>
      <c r="J193" s="36">
        <f t="shared" si="29"/>
        <v>918.75</v>
      </c>
    </row>
    <row r="194" spans="2:10" ht="15.6" x14ac:dyDescent="0.25">
      <c r="B194" s="59"/>
      <c r="C194" s="69" t="s">
        <v>381</v>
      </c>
      <c r="D194" s="61" t="s">
        <v>3</v>
      </c>
      <c r="E194" s="62">
        <v>1</v>
      </c>
      <c r="F194" s="63">
        <f>'Прайс для расчета'!E178</f>
        <v>183.75</v>
      </c>
      <c r="G194" s="64">
        <f t="shared" si="28"/>
        <v>183.75</v>
      </c>
      <c r="I194" s="135">
        <f>'Прайс для расчета (М)'!E178</f>
        <v>91.875</v>
      </c>
      <c r="J194" s="36">
        <f t="shared" si="29"/>
        <v>91.875</v>
      </c>
    </row>
    <row r="195" spans="2:10" ht="15.6" x14ac:dyDescent="0.25">
      <c r="B195" s="59"/>
      <c r="C195" s="69" t="s">
        <v>382</v>
      </c>
      <c r="D195" s="61" t="s">
        <v>3</v>
      </c>
      <c r="E195" s="62">
        <v>1</v>
      </c>
      <c r="F195" s="63">
        <f>'Прайс для расчета'!E179</f>
        <v>367.5</v>
      </c>
      <c r="G195" s="64">
        <f t="shared" si="28"/>
        <v>367.5</v>
      </c>
      <c r="I195" s="135">
        <f>'Прайс для расчета (М)'!E179</f>
        <v>183.75</v>
      </c>
      <c r="J195" s="36">
        <f t="shared" si="29"/>
        <v>183.75</v>
      </c>
    </row>
    <row r="196" spans="2:10" ht="15.6" x14ac:dyDescent="0.25">
      <c r="B196" s="59"/>
      <c r="C196" s="69" t="s">
        <v>508</v>
      </c>
      <c r="D196" s="61" t="s">
        <v>2</v>
      </c>
      <c r="E196" s="62" t="e">
        <f t="shared" ref="E196:E201" si="33">$A$6</f>
        <v>#REF!</v>
      </c>
      <c r="F196" s="63">
        <f>'Прайс для расчета'!E180</f>
        <v>481.95000000000005</v>
      </c>
      <c r="G196" s="64" t="e">
        <f t="shared" si="28"/>
        <v>#REF!</v>
      </c>
      <c r="I196" s="135">
        <f>'Прайс для расчета (М)'!E180</f>
        <v>240.97500000000002</v>
      </c>
      <c r="J196" s="36" t="e">
        <f t="shared" si="29"/>
        <v>#REF!</v>
      </c>
    </row>
    <row r="197" spans="2:10" ht="15.6" x14ac:dyDescent="0.25">
      <c r="B197" s="59"/>
      <c r="C197" s="69" t="s">
        <v>383</v>
      </c>
      <c r="D197" s="61" t="s">
        <v>2</v>
      </c>
      <c r="E197" s="62" t="e">
        <f t="shared" si="33"/>
        <v>#REF!</v>
      </c>
      <c r="F197" s="63">
        <f>'Прайс для расчета'!E181</f>
        <v>1506.75</v>
      </c>
      <c r="G197" s="64" t="e">
        <f t="shared" si="28"/>
        <v>#REF!</v>
      </c>
      <c r="I197" s="135">
        <f>'Прайс для расчета (М)'!E181</f>
        <v>753.375</v>
      </c>
      <c r="J197" s="36" t="e">
        <f t="shared" si="29"/>
        <v>#REF!</v>
      </c>
    </row>
    <row r="198" spans="2:10" ht="15.6" x14ac:dyDescent="0.25">
      <c r="B198" s="59"/>
      <c r="C198" s="69" t="s">
        <v>384</v>
      </c>
      <c r="D198" s="61" t="s">
        <v>2</v>
      </c>
      <c r="E198" s="62" t="e">
        <f t="shared" si="33"/>
        <v>#REF!</v>
      </c>
      <c r="F198" s="63">
        <f>'Прайс для расчета'!E182</f>
        <v>1821.75</v>
      </c>
      <c r="G198" s="64" t="e">
        <f t="shared" si="28"/>
        <v>#REF!</v>
      </c>
      <c r="I198" s="135">
        <f>'Прайс для расчета (М)'!E182</f>
        <v>910.875</v>
      </c>
      <c r="J198" s="36" t="e">
        <f t="shared" si="29"/>
        <v>#REF!</v>
      </c>
    </row>
    <row r="199" spans="2:10" ht="15.6" x14ac:dyDescent="0.25">
      <c r="B199" s="59"/>
      <c r="C199" s="69" t="s">
        <v>385</v>
      </c>
      <c r="D199" s="61" t="s">
        <v>2</v>
      </c>
      <c r="E199" s="62" t="e">
        <f t="shared" si="33"/>
        <v>#REF!</v>
      </c>
      <c r="F199" s="63">
        <f>'Прайс для расчета'!E183</f>
        <v>1149.75</v>
      </c>
      <c r="G199" s="64" t="e">
        <f t="shared" si="28"/>
        <v>#REF!</v>
      </c>
      <c r="I199" s="135">
        <f>'Прайс для расчета (М)'!E183</f>
        <v>574.875</v>
      </c>
      <c r="J199" s="36" t="e">
        <f t="shared" si="29"/>
        <v>#REF!</v>
      </c>
    </row>
    <row r="200" spans="2:10" ht="15.6" x14ac:dyDescent="0.25">
      <c r="B200" s="59"/>
      <c r="C200" s="69" t="s">
        <v>509</v>
      </c>
      <c r="D200" s="61" t="s">
        <v>2</v>
      </c>
      <c r="E200" s="62" t="e">
        <f t="shared" si="33"/>
        <v>#REF!</v>
      </c>
      <c r="F200" s="63">
        <f>'Прайс для расчета'!E184</f>
        <v>1527.75</v>
      </c>
      <c r="G200" s="64" t="e">
        <f t="shared" si="28"/>
        <v>#REF!</v>
      </c>
      <c r="I200" s="135">
        <f>'Прайс для расчета (М)'!E184</f>
        <v>763.875</v>
      </c>
      <c r="J200" s="36" t="e">
        <f t="shared" si="29"/>
        <v>#REF!</v>
      </c>
    </row>
    <row r="201" spans="2:10" ht="15.6" x14ac:dyDescent="0.25">
      <c r="B201" s="59"/>
      <c r="C201" s="69" t="s">
        <v>510</v>
      </c>
      <c r="D201" s="61" t="s">
        <v>2</v>
      </c>
      <c r="E201" s="62" t="e">
        <f t="shared" si="33"/>
        <v>#REF!</v>
      </c>
      <c r="F201" s="63">
        <f>'Прайс для расчета'!E185</f>
        <v>1737.75</v>
      </c>
      <c r="G201" s="64" t="e">
        <f t="shared" si="28"/>
        <v>#REF!</v>
      </c>
      <c r="I201" s="135">
        <f>'Прайс для расчета (М)'!E185</f>
        <v>868.875</v>
      </c>
      <c r="J201" s="36" t="e">
        <f t="shared" si="29"/>
        <v>#REF!</v>
      </c>
    </row>
    <row r="202" spans="2:10" ht="15.6" x14ac:dyDescent="0.25">
      <c r="B202" s="59"/>
      <c r="C202" s="69" t="s">
        <v>43</v>
      </c>
      <c r="D202" s="61" t="s">
        <v>3</v>
      </c>
      <c r="E202" s="62" t="e">
        <f>ROUND(A6*1.25,0)</f>
        <v>#REF!</v>
      </c>
      <c r="F202" s="63">
        <f>'Прайс для расчета'!E186</f>
        <v>194.25</v>
      </c>
      <c r="G202" s="64" t="e">
        <f t="shared" si="28"/>
        <v>#REF!</v>
      </c>
      <c r="I202" s="135">
        <f>'Прайс для расчета (М)'!E186</f>
        <v>97.125</v>
      </c>
      <c r="J202" s="36" t="e">
        <f t="shared" si="29"/>
        <v>#REF!</v>
      </c>
    </row>
    <row r="203" spans="2:10" ht="15.6" x14ac:dyDescent="0.25">
      <c r="B203" s="59"/>
      <c r="C203" s="69" t="s">
        <v>386</v>
      </c>
      <c r="D203" s="61" t="s">
        <v>646</v>
      </c>
      <c r="E203" s="62">
        <v>1</v>
      </c>
      <c r="F203" s="63">
        <f>'Прайс для расчета'!E187</f>
        <v>2089.5</v>
      </c>
      <c r="G203" s="64">
        <f t="shared" si="28"/>
        <v>2089.5</v>
      </c>
      <c r="I203" s="135">
        <f>'Прайс для расчета (М)'!E187</f>
        <v>1044.75</v>
      </c>
      <c r="J203" s="36">
        <f t="shared" si="29"/>
        <v>1044.75</v>
      </c>
    </row>
    <row r="204" spans="2:10" ht="15.6" x14ac:dyDescent="0.25">
      <c r="B204" s="59"/>
      <c r="C204" s="69" t="s">
        <v>387</v>
      </c>
      <c r="D204" s="61" t="s">
        <v>2</v>
      </c>
      <c r="E204" s="62">
        <v>1</v>
      </c>
      <c r="F204" s="63">
        <f>'Прайс для расчета'!E188</f>
        <v>3097.5</v>
      </c>
      <c r="G204" s="64">
        <f t="shared" si="28"/>
        <v>3097.5</v>
      </c>
      <c r="I204" s="135">
        <f>'Прайс для расчета (М)'!E188</f>
        <v>1548.75</v>
      </c>
      <c r="J204" s="36">
        <f t="shared" si="29"/>
        <v>1548.75</v>
      </c>
    </row>
    <row r="205" spans="2:10" ht="15.6" x14ac:dyDescent="0.25">
      <c r="B205" s="59"/>
      <c r="C205" s="69" t="s">
        <v>388</v>
      </c>
      <c r="D205" s="61" t="s">
        <v>0</v>
      </c>
      <c r="E205" s="62">
        <v>1</v>
      </c>
      <c r="F205" s="63">
        <f>'Прайс для расчета'!E189</f>
        <v>2992.5</v>
      </c>
      <c r="G205" s="64">
        <f t="shared" si="28"/>
        <v>2992.5</v>
      </c>
      <c r="I205" s="135">
        <f>'Прайс для расчета (М)'!E189</f>
        <v>1496.25</v>
      </c>
      <c r="J205" s="36">
        <f t="shared" si="29"/>
        <v>1496.25</v>
      </c>
    </row>
    <row r="206" spans="2:10" ht="15.6" x14ac:dyDescent="0.25">
      <c r="B206" s="59"/>
      <c r="C206" s="69" t="s">
        <v>230</v>
      </c>
      <c r="D206" s="61" t="s">
        <v>2</v>
      </c>
      <c r="E206" s="62" t="e">
        <f>$A$6</f>
        <v>#REF!</v>
      </c>
      <c r="F206" s="63">
        <f>'Прайс для расчета'!E190</f>
        <v>404.06100000000004</v>
      </c>
      <c r="G206" s="64" t="e">
        <f t="shared" si="28"/>
        <v>#REF!</v>
      </c>
      <c r="I206" s="135">
        <f>'Прайс для расчета (М)'!E190</f>
        <v>202.03050000000002</v>
      </c>
      <c r="J206" s="36" t="e">
        <f t="shared" si="29"/>
        <v>#REF!</v>
      </c>
    </row>
    <row r="207" spans="2:10" ht="15.6" x14ac:dyDescent="0.25">
      <c r="B207" s="59"/>
      <c r="C207" s="69" t="s">
        <v>225</v>
      </c>
      <c r="D207" s="61" t="s">
        <v>2</v>
      </c>
      <c r="E207" s="62" t="e">
        <f>$A$6</f>
        <v>#REF!</v>
      </c>
      <c r="F207" s="63">
        <f>'Прайс для расчета'!E191</f>
        <v>282.45</v>
      </c>
      <c r="G207" s="64" t="e">
        <f t="shared" si="28"/>
        <v>#REF!</v>
      </c>
      <c r="I207" s="135">
        <f>'Прайс для расчета (М)'!E191</f>
        <v>141.22499999999999</v>
      </c>
      <c r="J207" s="36" t="e">
        <f t="shared" si="29"/>
        <v>#REF!</v>
      </c>
    </row>
    <row r="208" spans="2:10" ht="15.6" x14ac:dyDescent="0.25">
      <c r="B208" s="59"/>
      <c r="C208" s="69" t="s">
        <v>1026</v>
      </c>
      <c r="D208" s="61" t="s">
        <v>2</v>
      </c>
      <c r="E208" s="62" t="e">
        <f>$A$6</f>
        <v>#REF!</v>
      </c>
      <c r="F208" s="63">
        <f>'Прайс для расчета'!E192</f>
        <v>614.25</v>
      </c>
      <c r="G208" s="64" t="e">
        <f t="shared" si="28"/>
        <v>#REF!</v>
      </c>
      <c r="I208" s="135">
        <f>'Прайс для расчета (М)'!E192</f>
        <v>307.125</v>
      </c>
      <c r="J208" s="36" t="e">
        <f t="shared" si="29"/>
        <v>#REF!</v>
      </c>
    </row>
    <row r="209" spans="2:10" ht="15.6" x14ac:dyDescent="0.25">
      <c r="B209" s="59">
        <f>IF(SUM(B210:B218)&gt;0,1,0)</f>
        <v>0</v>
      </c>
      <c r="C209" s="60" t="s">
        <v>884</v>
      </c>
      <c r="D209" s="61"/>
      <c r="E209" s="62"/>
      <c r="F209" s="63"/>
      <c r="G209" s="64"/>
    </row>
    <row r="210" spans="2:10" ht="15.6" x14ac:dyDescent="0.25">
      <c r="B210" s="59"/>
      <c r="C210" s="69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34">F210*E210</f>
        <v>84</v>
      </c>
      <c r="I210" s="135">
        <f>'Прайс для расчета (М)'!E193</f>
        <v>42</v>
      </c>
      <c r="J210" s="36">
        <f t="shared" ref="J210:J218" si="35">I210*E210</f>
        <v>42</v>
      </c>
    </row>
    <row r="211" spans="2:10" ht="15.6" x14ac:dyDescent="0.25">
      <c r="B211" s="59"/>
      <c r="C211" s="69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34"/>
        <v>787.5</v>
      </c>
      <c r="I211" s="135">
        <f>'Прайс для расчета (М)'!E194</f>
        <v>393.75</v>
      </c>
      <c r="J211" s="36">
        <f t="shared" si="35"/>
        <v>393.75</v>
      </c>
    </row>
    <row r="212" spans="2:10" ht="15.6" x14ac:dyDescent="0.25">
      <c r="B212" s="59"/>
      <c r="C212" s="69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34"/>
        <v>892.5</v>
      </c>
      <c r="I212" s="135">
        <f>'Прайс для расчета (М)'!E195</f>
        <v>446.25</v>
      </c>
      <c r="J212" s="36">
        <f t="shared" si="35"/>
        <v>446.25</v>
      </c>
    </row>
    <row r="213" spans="2:10" ht="15.6" x14ac:dyDescent="0.25">
      <c r="B213" s="59"/>
      <c r="C213" s="69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34"/>
        <v>997.5</v>
      </c>
      <c r="I213" s="135">
        <f>'Прайс для расчета (М)'!E196</f>
        <v>498.75</v>
      </c>
      <c r="J213" s="36">
        <f t="shared" si="35"/>
        <v>498.75</v>
      </c>
    </row>
    <row r="214" spans="2:10" ht="15.6" x14ac:dyDescent="0.25">
      <c r="B214" s="59"/>
      <c r="C214" s="69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34"/>
        <v>787.5</v>
      </c>
      <c r="I214" s="135">
        <f>'Прайс для расчета (М)'!E197</f>
        <v>393.75</v>
      </c>
      <c r="J214" s="36">
        <f t="shared" si="35"/>
        <v>393.75</v>
      </c>
    </row>
    <row r="215" spans="2:10" ht="15.6" x14ac:dyDescent="0.25">
      <c r="B215" s="59"/>
      <c r="C215" s="69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34"/>
        <v>204.75</v>
      </c>
      <c r="I215" s="135">
        <f>'Прайс для расчета (М)'!E198</f>
        <v>102.375</v>
      </c>
      <c r="J215" s="36">
        <f t="shared" si="35"/>
        <v>102.375</v>
      </c>
    </row>
    <row r="216" spans="2:10" ht="15.6" x14ac:dyDescent="0.25">
      <c r="B216" s="59"/>
      <c r="C216" s="69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34"/>
        <v>194.25</v>
      </c>
      <c r="I216" s="135">
        <f>'Прайс для расчета (М)'!E199</f>
        <v>97.125</v>
      </c>
      <c r="J216" s="36">
        <f t="shared" si="35"/>
        <v>97.125</v>
      </c>
    </row>
    <row r="217" spans="2:10" ht="15.6" x14ac:dyDescent="0.25">
      <c r="B217" s="59"/>
      <c r="C217" s="69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34"/>
        <v>866.25</v>
      </c>
      <c r="I217" s="135">
        <f>'Прайс для расчета (М)'!E200</f>
        <v>433.125</v>
      </c>
      <c r="J217" s="36">
        <f t="shared" si="35"/>
        <v>433.125</v>
      </c>
    </row>
    <row r="218" spans="2:10" ht="15.6" x14ac:dyDescent="0.25">
      <c r="B218" s="59"/>
      <c r="C218" s="69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34"/>
        <v>262.5</v>
      </c>
      <c r="I218" s="135">
        <f>'Прайс для расчета (М)'!E201</f>
        <v>131.25</v>
      </c>
      <c r="J218" s="36">
        <f t="shared" si="35"/>
        <v>131.25</v>
      </c>
    </row>
    <row r="219" spans="2:10" ht="15.6" x14ac:dyDescent="0.25">
      <c r="B219" s="59">
        <f>IF(SUM(B220:B247)&gt;0,1,0)</f>
        <v>0</v>
      </c>
      <c r="C219" s="60" t="s">
        <v>879</v>
      </c>
      <c r="D219" s="61"/>
      <c r="E219" s="62"/>
      <c r="F219" s="63"/>
      <c r="G219" s="64"/>
    </row>
    <row r="220" spans="2:10" ht="15.6" x14ac:dyDescent="0.25">
      <c r="B220" s="59"/>
      <c r="C220" s="69" t="s">
        <v>1022</v>
      </c>
      <c r="D220" s="61" t="s">
        <v>2</v>
      </c>
      <c r="E220" s="62">
        <f t="shared" ref="E220:E226" si="36">$A$4</f>
        <v>0</v>
      </c>
      <c r="F220" s="63">
        <f>'Прайс для расчета'!E202</f>
        <v>135.45000000000002</v>
      </c>
      <c r="G220" s="64">
        <f t="shared" ref="G220:G246" si="37">F220*E220</f>
        <v>0</v>
      </c>
      <c r="I220" s="135">
        <f>'Прайс для расчета (М)'!E202</f>
        <v>67.725000000000009</v>
      </c>
      <c r="J220" s="36">
        <f t="shared" ref="J220:J247" si="38">I220*E220</f>
        <v>0</v>
      </c>
    </row>
    <row r="221" spans="2:10" ht="15.6" x14ac:dyDescent="0.25">
      <c r="B221" s="59"/>
      <c r="C221" s="69" t="s">
        <v>1105</v>
      </c>
      <c r="D221" s="61" t="s">
        <v>3</v>
      </c>
      <c r="E221" s="62">
        <f t="shared" si="36"/>
        <v>0</v>
      </c>
      <c r="F221" s="63">
        <f>'Прайс для расчета'!E203</f>
        <v>210</v>
      </c>
      <c r="G221" s="64">
        <f t="shared" ref="G221" si="39">F221*E221</f>
        <v>0</v>
      </c>
      <c r="I221" s="135">
        <f>'Прайс для расчета (М)'!E203</f>
        <v>105</v>
      </c>
      <c r="J221" s="36">
        <f t="shared" si="38"/>
        <v>0</v>
      </c>
    </row>
    <row r="222" spans="2:10" ht="15.6" x14ac:dyDescent="0.25">
      <c r="B222" s="59"/>
      <c r="C222" s="69" t="s">
        <v>1032</v>
      </c>
      <c r="D222" s="61" t="s">
        <v>2</v>
      </c>
      <c r="E222" s="62">
        <f t="shared" si="36"/>
        <v>0</v>
      </c>
      <c r="F222" s="63">
        <f>'Прайс для расчета'!E204</f>
        <v>892.5</v>
      </c>
      <c r="G222" s="64">
        <f t="shared" si="37"/>
        <v>0</v>
      </c>
      <c r="I222" s="135">
        <f>'Прайс для расчета (М)'!E204</f>
        <v>446.25</v>
      </c>
      <c r="J222" s="36">
        <f t="shared" si="38"/>
        <v>0</v>
      </c>
    </row>
    <row r="223" spans="2:10" ht="15.6" x14ac:dyDescent="0.25">
      <c r="B223" s="59"/>
      <c r="C223" s="69" t="s">
        <v>1030</v>
      </c>
      <c r="D223" s="61" t="s">
        <v>2</v>
      </c>
      <c r="E223" s="62">
        <f t="shared" si="36"/>
        <v>0</v>
      </c>
      <c r="F223" s="63">
        <f>'Прайс для расчета'!E205</f>
        <v>1102.5</v>
      </c>
      <c r="G223" s="64">
        <f t="shared" si="37"/>
        <v>0</v>
      </c>
      <c r="I223" s="135">
        <f>'Прайс для расчета (М)'!E205</f>
        <v>551.25</v>
      </c>
      <c r="J223" s="36">
        <f t="shared" si="38"/>
        <v>0</v>
      </c>
    </row>
    <row r="224" spans="2:10" ht="15.6" x14ac:dyDescent="0.25">
      <c r="B224" s="59"/>
      <c r="C224" s="69" t="s">
        <v>1031</v>
      </c>
      <c r="D224" s="61" t="s">
        <v>2</v>
      </c>
      <c r="E224" s="62">
        <f t="shared" si="36"/>
        <v>0</v>
      </c>
      <c r="F224" s="63">
        <f>'Прайс для расчета'!E206</f>
        <v>892.5</v>
      </c>
      <c r="G224" s="64">
        <f t="shared" si="37"/>
        <v>0</v>
      </c>
      <c r="I224" s="135">
        <f>'Прайс для расчета (М)'!E206</f>
        <v>446.25</v>
      </c>
      <c r="J224" s="36">
        <f t="shared" si="38"/>
        <v>0</v>
      </c>
    </row>
    <row r="225" spans="2:10" ht="15.6" x14ac:dyDescent="0.25">
      <c r="B225" s="59"/>
      <c r="C225" s="69" t="s">
        <v>1106</v>
      </c>
      <c r="D225" s="61" t="s">
        <v>3</v>
      </c>
      <c r="E225" s="62">
        <f t="shared" si="36"/>
        <v>0</v>
      </c>
      <c r="F225" s="63">
        <f>'Прайс для расчета'!E207</f>
        <v>210</v>
      </c>
      <c r="G225" s="64">
        <f t="shared" si="37"/>
        <v>0</v>
      </c>
      <c r="I225" s="135">
        <f>'Прайс для расчета (М)'!E207</f>
        <v>105</v>
      </c>
      <c r="J225" s="36">
        <f t="shared" si="38"/>
        <v>0</v>
      </c>
    </row>
    <row r="226" spans="2:10" ht="15.6" x14ac:dyDescent="0.25">
      <c r="B226" s="59"/>
      <c r="C226" s="201" t="s">
        <v>1009</v>
      </c>
      <c r="D226" s="61" t="s">
        <v>2</v>
      </c>
      <c r="E226" s="62">
        <f t="shared" si="36"/>
        <v>0</v>
      </c>
      <c r="F226" s="63">
        <f>'Прайс для расчета'!E208</f>
        <v>3097.5</v>
      </c>
      <c r="G226" s="64">
        <f t="shared" si="37"/>
        <v>0</v>
      </c>
      <c r="I226" s="135">
        <f>'Прайс для расчета (М)'!E208</f>
        <v>1548.75</v>
      </c>
      <c r="J226" s="36">
        <f t="shared" si="38"/>
        <v>0</v>
      </c>
    </row>
    <row r="227" spans="2:10" ht="15.6" x14ac:dyDescent="0.25">
      <c r="B227" s="59"/>
      <c r="C227" s="69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7"/>
        <v>240.05099999999999</v>
      </c>
      <c r="I227" s="135">
        <f>'Прайс для расчета (М)'!E209</f>
        <v>120.02549999999999</v>
      </c>
      <c r="J227" s="36">
        <f t="shared" si="38"/>
        <v>120.02549999999999</v>
      </c>
    </row>
    <row r="228" spans="2:10" ht="15.6" x14ac:dyDescent="0.25">
      <c r="B228" s="59"/>
      <c r="C228" s="69" t="s">
        <v>401</v>
      </c>
      <c r="D228" s="61" t="s">
        <v>3</v>
      </c>
      <c r="E228" s="62">
        <f>ROUND(A4*1.25,0)</f>
        <v>0</v>
      </c>
      <c r="F228" s="63">
        <f>'Прайс для расчета'!E210</f>
        <v>164.01</v>
      </c>
      <c r="G228" s="64">
        <f t="shared" si="37"/>
        <v>0</v>
      </c>
      <c r="I228" s="135">
        <f>'Прайс для расчета (М)'!E210</f>
        <v>82.004999999999995</v>
      </c>
      <c r="J228" s="36">
        <f t="shared" si="38"/>
        <v>0</v>
      </c>
    </row>
    <row r="229" spans="2:10" ht="15.6" x14ac:dyDescent="0.25">
      <c r="B229" s="59"/>
      <c r="C229" s="69" t="s">
        <v>675</v>
      </c>
      <c r="D229" s="61" t="s">
        <v>2</v>
      </c>
      <c r="E229" s="62">
        <f t="shared" ref="E229:E238" si="40">$A$4</f>
        <v>0</v>
      </c>
      <c r="F229" s="63">
        <f>'Прайс для расчета'!E211</f>
        <v>477.12</v>
      </c>
      <c r="G229" s="64">
        <f t="shared" si="37"/>
        <v>0</v>
      </c>
      <c r="I229" s="135">
        <f>'Прайс для расчета (М)'!E211</f>
        <v>238.56</v>
      </c>
      <c r="J229" s="36">
        <f t="shared" si="38"/>
        <v>0</v>
      </c>
    </row>
    <row r="230" spans="2:10" ht="15.6" x14ac:dyDescent="0.25">
      <c r="B230" s="59"/>
      <c r="C230" s="69" t="s">
        <v>1023</v>
      </c>
      <c r="D230" s="61" t="s">
        <v>2</v>
      </c>
      <c r="E230" s="62">
        <f t="shared" si="40"/>
        <v>0</v>
      </c>
      <c r="F230" s="63">
        <f>'Прайс для расчета'!E212</f>
        <v>124.95</v>
      </c>
      <c r="G230" s="64">
        <f t="shared" si="37"/>
        <v>0</v>
      </c>
      <c r="I230" s="135">
        <f>'Прайс для расчета (М)'!E212</f>
        <v>62.475000000000001</v>
      </c>
      <c r="J230" s="36">
        <f t="shared" si="38"/>
        <v>0</v>
      </c>
    </row>
    <row r="231" spans="2:10" ht="15.6" x14ac:dyDescent="0.25">
      <c r="B231" s="59"/>
      <c r="C231" s="69" t="s">
        <v>1132</v>
      </c>
      <c r="D231" s="61" t="s">
        <v>2</v>
      </c>
      <c r="E231" s="62">
        <f t="shared" si="40"/>
        <v>0</v>
      </c>
      <c r="F231" s="63">
        <f>'Прайс для расчета'!E213</f>
        <v>199.5</v>
      </c>
      <c r="G231" s="64">
        <f t="shared" ref="G231" si="41">F231*E231</f>
        <v>0</v>
      </c>
      <c r="I231" s="135">
        <f>'Прайс для расчета (М)'!E213</f>
        <v>99.75</v>
      </c>
      <c r="J231" s="36">
        <f t="shared" si="38"/>
        <v>0</v>
      </c>
    </row>
    <row r="232" spans="2:10" ht="15.6" x14ac:dyDescent="0.25">
      <c r="B232" s="59"/>
      <c r="C232" s="69" t="s">
        <v>676</v>
      </c>
      <c r="D232" s="61" t="s">
        <v>2</v>
      </c>
      <c r="E232" s="62">
        <f t="shared" si="40"/>
        <v>0</v>
      </c>
      <c r="F232" s="63">
        <f>'Прайс для расчета'!E214</f>
        <v>299.25</v>
      </c>
      <c r="G232" s="64">
        <f t="shared" si="37"/>
        <v>0</v>
      </c>
      <c r="I232" s="135">
        <f>'Прайс для расчета (М)'!E214</f>
        <v>149.625</v>
      </c>
      <c r="J232" s="36">
        <f t="shared" si="38"/>
        <v>0</v>
      </c>
    </row>
    <row r="233" spans="2:10" ht="15.6" x14ac:dyDescent="0.25">
      <c r="B233" s="59"/>
      <c r="C233" s="69" t="s">
        <v>403</v>
      </c>
      <c r="D233" s="61" t="s">
        <v>647</v>
      </c>
      <c r="E233" s="62">
        <f t="shared" si="40"/>
        <v>0</v>
      </c>
      <c r="F233" s="63">
        <f>'Прайс для расчета'!E215</f>
        <v>236.25</v>
      </c>
      <c r="G233" s="64">
        <f t="shared" si="37"/>
        <v>0</v>
      </c>
      <c r="I233" s="135">
        <f>'Прайс для расчета (М)'!E215</f>
        <v>118.125</v>
      </c>
      <c r="J233" s="36">
        <f t="shared" si="38"/>
        <v>0</v>
      </c>
    </row>
    <row r="234" spans="2:10" ht="15.6" x14ac:dyDescent="0.25">
      <c r="B234" s="59"/>
      <c r="C234" s="69" t="s">
        <v>1035</v>
      </c>
      <c r="D234" s="61" t="s">
        <v>2</v>
      </c>
      <c r="E234" s="62">
        <f t="shared" si="40"/>
        <v>0</v>
      </c>
      <c r="F234" s="63">
        <f>'Прайс для расчета'!E216</f>
        <v>624.75</v>
      </c>
      <c r="G234" s="64">
        <f t="shared" si="37"/>
        <v>0</v>
      </c>
      <c r="I234" s="135">
        <f>'Прайс для расчета (М)'!E216</f>
        <v>312.375</v>
      </c>
      <c r="J234" s="36">
        <f t="shared" si="38"/>
        <v>0</v>
      </c>
    </row>
    <row r="235" spans="2:10" ht="15.6" x14ac:dyDescent="0.25">
      <c r="B235" s="59"/>
      <c r="C235" s="69" t="s">
        <v>1138</v>
      </c>
      <c r="D235" s="61" t="s">
        <v>2</v>
      </c>
      <c r="E235" s="62">
        <f t="shared" si="40"/>
        <v>0</v>
      </c>
      <c r="F235" s="63">
        <f>'Прайс для расчета'!E217</f>
        <v>787.5</v>
      </c>
      <c r="G235" s="64">
        <f t="shared" si="37"/>
        <v>0</v>
      </c>
      <c r="I235" s="135">
        <f>'Прайс для расчета (М)'!E217</f>
        <v>393.75</v>
      </c>
      <c r="J235" s="36">
        <f t="shared" si="38"/>
        <v>0</v>
      </c>
    </row>
    <row r="236" spans="2:10" ht="15.6" x14ac:dyDescent="0.25">
      <c r="B236" s="59"/>
      <c r="C236" s="69" t="s">
        <v>1137</v>
      </c>
      <c r="D236" s="61" t="s">
        <v>2</v>
      </c>
      <c r="E236" s="62">
        <f t="shared" si="40"/>
        <v>0</v>
      </c>
      <c r="F236" s="63">
        <f>'Прайс для расчета'!E218</f>
        <v>1207.5</v>
      </c>
      <c r="G236" s="64">
        <f t="shared" si="37"/>
        <v>0</v>
      </c>
      <c r="I236" s="135">
        <f>'Прайс для расчета (М)'!E218</f>
        <v>603.75</v>
      </c>
      <c r="J236" s="36">
        <f t="shared" si="38"/>
        <v>0</v>
      </c>
    </row>
    <row r="237" spans="2:10" ht="15.6" x14ac:dyDescent="0.25">
      <c r="B237" s="59"/>
      <c r="C237" s="69" t="s">
        <v>1139</v>
      </c>
      <c r="D237" s="61" t="s">
        <v>2</v>
      </c>
      <c r="E237" s="62">
        <f t="shared" si="40"/>
        <v>0</v>
      </c>
      <c r="F237" s="63">
        <f>'Прайс для расчета'!E219</f>
        <v>262.5</v>
      </c>
      <c r="G237" s="64">
        <f t="shared" si="37"/>
        <v>0</v>
      </c>
      <c r="I237" s="135">
        <f>'Прайс для расчета (М)'!E219</f>
        <v>131.25</v>
      </c>
      <c r="J237" s="36">
        <f t="shared" si="38"/>
        <v>0</v>
      </c>
    </row>
    <row r="238" spans="2:10" ht="15.6" x14ac:dyDescent="0.25">
      <c r="B238" s="59"/>
      <c r="C238" s="69" t="s">
        <v>1142</v>
      </c>
      <c r="D238" s="61" t="s">
        <v>2</v>
      </c>
      <c r="E238" s="62">
        <f t="shared" si="40"/>
        <v>0</v>
      </c>
      <c r="F238" s="63">
        <f>'Прайс для расчета'!E220</f>
        <v>997.5</v>
      </c>
      <c r="G238" s="64">
        <f t="shared" si="37"/>
        <v>0</v>
      </c>
      <c r="I238" s="135">
        <f>'Прайс для расчета (М)'!E220</f>
        <v>498.75</v>
      </c>
      <c r="J238" s="36">
        <f t="shared" si="38"/>
        <v>0</v>
      </c>
    </row>
    <row r="239" spans="2:10" ht="15.6" x14ac:dyDescent="0.25">
      <c r="B239" s="59"/>
      <c r="C239" s="69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7"/>
        <v>735</v>
      </c>
      <c r="I239" s="135">
        <f>'Прайс для расчета (М)'!E221</f>
        <v>367.5</v>
      </c>
      <c r="J239" s="36">
        <f t="shared" si="38"/>
        <v>367.5</v>
      </c>
    </row>
    <row r="240" spans="2:10" ht="15.6" x14ac:dyDescent="0.25">
      <c r="B240" s="59"/>
      <c r="C240" s="69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64">
        <f t="shared" si="37"/>
        <v>0</v>
      </c>
      <c r="I240" s="135">
        <f>'Прайс для расчета (М)'!E222</f>
        <v>52.5</v>
      </c>
      <c r="J240" s="36">
        <f t="shared" si="38"/>
        <v>0</v>
      </c>
    </row>
    <row r="241" spans="2:10" ht="15.6" x14ac:dyDescent="0.25">
      <c r="B241" s="59"/>
      <c r="C241" s="69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64">
        <f t="shared" si="37"/>
        <v>0</v>
      </c>
      <c r="I241" s="135">
        <f>'Прайс для расчета (М)'!E223</f>
        <v>146.47499999999999</v>
      </c>
      <c r="J241" s="36">
        <f t="shared" si="38"/>
        <v>0</v>
      </c>
    </row>
    <row r="242" spans="2:10" ht="15.6" x14ac:dyDescent="0.25">
      <c r="B242" s="59"/>
      <c r="C242" s="69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64">
        <f t="shared" si="37"/>
        <v>0</v>
      </c>
      <c r="I242" s="135">
        <f>'Прайс для расчета (М)'!E224</f>
        <v>359.625</v>
      </c>
      <c r="J242" s="36">
        <f t="shared" si="38"/>
        <v>0</v>
      </c>
    </row>
    <row r="243" spans="2:10" ht="15.6" x14ac:dyDescent="0.25">
      <c r="B243" s="59"/>
      <c r="C243" s="69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7"/>
        <v>2299.5</v>
      </c>
      <c r="I243" s="135">
        <f>'Прайс для расчета (М)'!E225</f>
        <v>1149.75</v>
      </c>
      <c r="J243" s="36">
        <f t="shared" si="38"/>
        <v>1149.75</v>
      </c>
    </row>
    <row r="244" spans="2:10" ht="15.6" x14ac:dyDescent="0.25">
      <c r="B244" s="59"/>
      <c r="C244" s="69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64">
        <f t="shared" si="37"/>
        <v>0</v>
      </c>
      <c r="I244" s="135">
        <f>'Прайс для расчета (М)'!E226</f>
        <v>971.25</v>
      </c>
      <c r="J244" s="36">
        <f t="shared" si="38"/>
        <v>0</v>
      </c>
    </row>
    <row r="245" spans="2:10" ht="15.6" x14ac:dyDescent="0.25">
      <c r="B245" s="59"/>
      <c r="C245" s="69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64">
        <f t="shared" si="37"/>
        <v>0</v>
      </c>
      <c r="I245" s="135">
        <f>'Прайс для расчета (М)'!E227</f>
        <v>1023.75</v>
      </c>
      <c r="J245" s="36">
        <f t="shared" si="38"/>
        <v>0</v>
      </c>
    </row>
    <row r="246" spans="2:10" ht="15.6" x14ac:dyDescent="0.25">
      <c r="B246" s="59"/>
      <c r="C246" s="69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7"/>
        <v>2467.5</v>
      </c>
      <c r="I246" s="135">
        <f>'Прайс для расчета (М)'!E228</f>
        <v>1233.75</v>
      </c>
      <c r="J246" s="36">
        <f t="shared" si="38"/>
        <v>1233.75</v>
      </c>
    </row>
    <row r="247" spans="2:10" ht="15.6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ref="G247" si="42">F247*E247</f>
        <v>2677.5</v>
      </c>
      <c r="I247" s="135">
        <f>'Прайс для расчета (М)'!E229</f>
        <v>1338.75</v>
      </c>
      <c r="J247" s="36">
        <f t="shared" si="38"/>
        <v>1338.75</v>
      </c>
    </row>
    <row r="248" spans="2:10" ht="15.9" customHeight="1" x14ac:dyDescent="0.25">
      <c r="B248" s="110">
        <f>IF(SUM(B139:B247)&gt;0,1,0)</f>
        <v>0</v>
      </c>
      <c r="C248" s="245" t="s">
        <v>514</v>
      </c>
      <c r="D248" s="245"/>
      <c r="E248" s="245"/>
      <c r="F248" s="245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IF(SUM(B250:B361)&gt;0,1,0)</f>
        <v>0</v>
      </c>
      <c r="C249" s="148" t="s">
        <v>201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0" t="s">
        <v>877</v>
      </c>
      <c r="D250" s="61"/>
      <c r="E250" s="62"/>
      <c r="F250" s="63"/>
      <c r="G250" s="64"/>
    </row>
    <row r="251" spans="2:10" ht="15.6" x14ac:dyDescent="0.3">
      <c r="B251" s="59"/>
      <c r="C251" s="78" t="s">
        <v>933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64">
        <f t="shared" ref="G251:G286" si="43">F251*E251</f>
        <v>0</v>
      </c>
      <c r="I251" s="135">
        <f>'Прайс для расчета (М)'!E230</f>
        <v>1259.4750000000001</v>
      </c>
      <c r="J251" s="36">
        <f t="shared" ref="J251:J286" si="44">I251*E251</f>
        <v>0</v>
      </c>
    </row>
    <row r="252" spans="2:10" ht="15.6" x14ac:dyDescent="0.3">
      <c r="B252" s="59"/>
      <c r="C252" s="78" t="s">
        <v>233</v>
      </c>
      <c r="D252" s="74" t="s">
        <v>3</v>
      </c>
      <c r="E252" s="62">
        <f t="shared" ref="E252:E267" si="45">$A$4</f>
        <v>0</v>
      </c>
      <c r="F252" s="63">
        <f>'Прайс для расчета'!E231</f>
        <v>509.25</v>
      </c>
      <c r="G252" s="64">
        <f t="shared" si="43"/>
        <v>0</v>
      </c>
      <c r="I252" s="135">
        <f>'Прайс для расчета (М)'!E231</f>
        <v>254.625</v>
      </c>
      <c r="J252" s="36">
        <f t="shared" si="44"/>
        <v>0</v>
      </c>
    </row>
    <row r="253" spans="2:10" ht="15.6" x14ac:dyDescent="0.3">
      <c r="B253" s="59"/>
      <c r="C253" s="78" t="s">
        <v>409</v>
      </c>
      <c r="D253" s="74" t="s">
        <v>2</v>
      </c>
      <c r="E253" s="62">
        <f t="shared" si="45"/>
        <v>0</v>
      </c>
      <c r="F253" s="63">
        <f>'Прайс для расчета'!E232</f>
        <v>2718.4500000000003</v>
      </c>
      <c r="G253" s="64">
        <f t="shared" si="43"/>
        <v>0</v>
      </c>
      <c r="I253" s="135">
        <f>'Прайс для расчета (М)'!E232</f>
        <v>1359.2250000000001</v>
      </c>
      <c r="J253" s="36">
        <f t="shared" si="44"/>
        <v>0</v>
      </c>
    </row>
    <row r="254" spans="2:10" ht="15.6" x14ac:dyDescent="0.3">
      <c r="B254" s="59"/>
      <c r="C254" s="78" t="s">
        <v>1059</v>
      </c>
      <c r="D254" s="74" t="s">
        <v>2</v>
      </c>
      <c r="E254" s="62">
        <f t="shared" si="45"/>
        <v>0</v>
      </c>
      <c r="F254" s="63">
        <f>'Прайс для расчета'!E233</f>
        <v>1260</v>
      </c>
      <c r="G254" s="64">
        <f t="shared" si="43"/>
        <v>0</v>
      </c>
      <c r="I254" s="135">
        <f>'Прайс для расчета (М)'!E233</f>
        <v>630</v>
      </c>
      <c r="J254" s="36">
        <f t="shared" si="44"/>
        <v>0</v>
      </c>
    </row>
    <row r="255" spans="2:10" ht="15.6" x14ac:dyDescent="0.3">
      <c r="B255" s="59"/>
      <c r="C255" s="78" t="s">
        <v>411</v>
      </c>
      <c r="D255" s="74" t="s">
        <v>2</v>
      </c>
      <c r="E255" s="62">
        <f t="shared" si="45"/>
        <v>0</v>
      </c>
      <c r="F255" s="63">
        <f>'Прайс для расчета'!E234</f>
        <v>3033.4500000000003</v>
      </c>
      <c r="G255" s="64">
        <f t="shared" si="43"/>
        <v>0</v>
      </c>
      <c r="I255" s="135">
        <f>'Прайс для расчета (М)'!E234</f>
        <v>1516.7250000000001</v>
      </c>
      <c r="J255" s="36">
        <f t="shared" si="44"/>
        <v>0</v>
      </c>
    </row>
    <row r="256" spans="2:10" ht="15.6" x14ac:dyDescent="0.3">
      <c r="B256" s="59"/>
      <c r="C256" s="78" t="s">
        <v>1062</v>
      </c>
      <c r="D256" s="74" t="s">
        <v>3</v>
      </c>
      <c r="E256" s="62">
        <f t="shared" si="45"/>
        <v>0</v>
      </c>
      <c r="F256" s="63">
        <f>'Прайс для расчета'!E235</f>
        <v>971.25</v>
      </c>
      <c r="G256" s="64">
        <f t="shared" si="43"/>
        <v>0</v>
      </c>
      <c r="I256" s="135">
        <f>'Прайс для расчета (М)'!E235</f>
        <v>485.625</v>
      </c>
      <c r="J256" s="36">
        <f t="shared" si="44"/>
        <v>0</v>
      </c>
    </row>
    <row r="257" spans="2:10" ht="15.6" x14ac:dyDescent="0.3">
      <c r="B257" s="59"/>
      <c r="C257" s="78" t="s">
        <v>923</v>
      </c>
      <c r="D257" s="74" t="s">
        <v>2</v>
      </c>
      <c r="E257" s="62">
        <f t="shared" si="45"/>
        <v>0</v>
      </c>
      <c r="F257" s="63">
        <f>'Прайс для расчета'!E236</f>
        <v>3412.5</v>
      </c>
      <c r="G257" s="64">
        <f t="shared" si="43"/>
        <v>0</v>
      </c>
      <c r="I257" s="135">
        <f>'Прайс для расчета (М)'!E236</f>
        <v>1706.25</v>
      </c>
      <c r="J257" s="36">
        <f t="shared" si="44"/>
        <v>0</v>
      </c>
    </row>
    <row r="258" spans="2:10" ht="15.6" x14ac:dyDescent="0.3">
      <c r="B258" s="59"/>
      <c r="C258" s="78" t="s">
        <v>988</v>
      </c>
      <c r="D258" s="74" t="s">
        <v>2</v>
      </c>
      <c r="E258" s="62">
        <f t="shared" si="45"/>
        <v>0</v>
      </c>
      <c r="F258" s="63">
        <f>'Прайс для расчета'!E237</f>
        <v>2938.9500000000003</v>
      </c>
      <c r="G258" s="64">
        <f t="shared" si="43"/>
        <v>0</v>
      </c>
      <c r="I258" s="135">
        <f>'Прайс для расчета (М)'!E237</f>
        <v>1469.4750000000001</v>
      </c>
      <c r="J258" s="36">
        <f t="shared" si="44"/>
        <v>0</v>
      </c>
    </row>
    <row r="259" spans="2:10" ht="15.6" x14ac:dyDescent="0.3">
      <c r="B259" s="59"/>
      <c r="C259" s="78" t="s">
        <v>922</v>
      </c>
      <c r="D259" s="74" t="s">
        <v>2</v>
      </c>
      <c r="E259" s="62">
        <f t="shared" si="45"/>
        <v>0</v>
      </c>
      <c r="F259" s="63">
        <f>'Прайс для расчета'!E238</f>
        <v>3097.5</v>
      </c>
      <c r="G259" s="64">
        <f t="shared" si="43"/>
        <v>0</v>
      </c>
      <c r="I259" s="135">
        <f>'Прайс для расчета (М)'!E238</f>
        <v>1548.75</v>
      </c>
      <c r="J259" s="36">
        <f t="shared" si="44"/>
        <v>0</v>
      </c>
    </row>
    <row r="260" spans="2:10" ht="15.6" x14ac:dyDescent="0.3">
      <c r="B260" s="59"/>
      <c r="C260" s="78" t="s">
        <v>989</v>
      </c>
      <c r="D260" s="74" t="s">
        <v>2</v>
      </c>
      <c r="E260" s="62">
        <f t="shared" si="45"/>
        <v>0</v>
      </c>
      <c r="F260" s="63">
        <f>'Прайс для расчета'!E239</f>
        <v>3717</v>
      </c>
      <c r="G260" s="64">
        <f t="shared" si="43"/>
        <v>0</v>
      </c>
      <c r="I260" s="135">
        <f>'Прайс для расчета (М)'!E239</f>
        <v>1858.5</v>
      </c>
      <c r="J260" s="36">
        <f t="shared" si="44"/>
        <v>0</v>
      </c>
    </row>
    <row r="261" spans="2:10" ht="15.6" x14ac:dyDescent="0.3">
      <c r="B261" s="59"/>
      <c r="C261" s="78" t="s">
        <v>936</v>
      </c>
      <c r="D261" s="74" t="s">
        <v>2</v>
      </c>
      <c r="E261" s="62">
        <f t="shared" si="45"/>
        <v>0</v>
      </c>
      <c r="F261" s="63">
        <f>'Прайс для расчета'!E240</f>
        <v>6237</v>
      </c>
      <c r="G261" s="64">
        <f t="shared" si="43"/>
        <v>0</v>
      </c>
      <c r="I261" s="135">
        <f>'Прайс для расчета (М)'!E240</f>
        <v>3118.5</v>
      </c>
      <c r="J261" s="36">
        <f t="shared" si="44"/>
        <v>0</v>
      </c>
    </row>
    <row r="262" spans="2:10" ht="15.6" x14ac:dyDescent="0.3">
      <c r="B262" s="59"/>
      <c r="C262" s="78" t="s">
        <v>1065</v>
      </c>
      <c r="D262" s="74" t="s">
        <v>2</v>
      </c>
      <c r="E262" s="62">
        <f t="shared" si="45"/>
        <v>0</v>
      </c>
      <c r="F262" s="63">
        <f>'Прайс для расчета'!E241</f>
        <v>3622.5</v>
      </c>
      <c r="G262" s="64">
        <f t="shared" si="43"/>
        <v>0</v>
      </c>
      <c r="I262" s="135">
        <f>'Прайс для расчета (М)'!E241</f>
        <v>1811.25</v>
      </c>
      <c r="J262" s="36">
        <f t="shared" si="44"/>
        <v>0</v>
      </c>
    </row>
    <row r="263" spans="2:10" ht="15.6" x14ac:dyDescent="0.3">
      <c r="B263" s="59"/>
      <c r="C263" s="78" t="s">
        <v>1066</v>
      </c>
      <c r="D263" s="74" t="s">
        <v>2</v>
      </c>
      <c r="E263" s="62">
        <f t="shared" si="45"/>
        <v>0</v>
      </c>
      <c r="F263" s="63">
        <f>'Прайс для расчета'!E242</f>
        <v>5197.5</v>
      </c>
      <c r="G263" s="64">
        <f t="shared" si="43"/>
        <v>0</v>
      </c>
      <c r="I263" s="135">
        <f>'Прайс для расчета (М)'!E242</f>
        <v>2598.75</v>
      </c>
      <c r="J263" s="36">
        <f t="shared" si="44"/>
        <v>0</v>
      </c>
    </row>
    <row r="264" spans="2:10" ht="15.6" x14ac:dyDescent="0.3">
      <c r="B264" s="59"/>
      <c r="C264" s="78" t="s">
        <v>1067</v>
      </c>
      <c r="D264" s="74" t="s">
        <v>2</v>
      </c>
      <c r="E264" s="62">
        <f t="shared" si="45"/>
        <v>0</v>
      </c>
      <c r="F264" s="63">
        <f>'Прайс для расчета'!E243</f>
        <v>3097.5</v>
      </c>
      <c r="G264" s="64">
        <f t="shared" si="43"/>
        <v>0</v>
      </c>
      <c r="I264" s="135">
        <f>'Прайс для расчета (М)'!E243</f>
        <v>1548.75</v>
      </c>
      <c r="J264" s="36">
        <f t="shared" si="44"/>
        <v>0</v>
      </c>
    </row>
    <row r="265" spans="2:10" ht="15.6" x14ac:dyDescent="0.3">
      <c r="B265" s="59"/>
      <c r="C265" s="78" t="s">
        <v>412</v>
      </c>
      <c r="D265" s="74" t="s">
        <v>2</v>
      </c>
      <c r="E265" s="62">
        <f t="shared" si="45"/>
        <v>0</v>
      </c>
      <c r="F265" s="63">
        <f>'Прайс для расчета'!E244</f>
        <v>404.25</v>
      </c>
      <c r="G265" s="64">
        <f t="shared" si="43"/>
        <v>0</v>
      </c>
      <c r="I265" s="135">
        <f>'Прайс для расчета (М)'!E244</f>
        <v>202.125</v>
      </c>
      <c r="J265" s="36">
        <f t="shared" si="44"/>
        <v>0</v>
      </c>
    </row>
    <row r="266" spans="2:10" ht="15.6" x14ac:dyDescent="0.3">
      <c r="B266" s="59"/>
      <c r="C266" s="78" t="s">
        <v>937</v>
      </c>
      <c r="D266" s="74" t="s">
        <v>2</v>
      </c>
      <c r="E266" s="62">
        <f t="shared" si="45"/>
        <v>0</v>
      </c>
      <c r="F266" s="63">
        <f>'Прайс для расчета'!E245</f>
        <v>1244.25</v>
      </c>
      <c r="G266" s="64">
        <f t="shared" si="43"/>
        <v>0</v>
      </c>
      <c r="I266" s="135">
        <f>'Прайс для расчета (М)'!E245</f>
        <v>622.125</v>
      </c>
      <c r="J266" s="36">
        <f t="shared" si="44"/>
        <v>0</v>
      </c>
    </row>
    <row r="267" spans="2:10" ht="15.6" x14ac:dyDescent="0.3">
      <c r="B267" s="59"/>
      <c r="C267" s="78" t="s">
        <v>938</v>
      </c>
      <c r="D267" s="74" t="s">
        <v>2</v>
      </c>
      <c r="E267" s="62">
        <f t="shared" si="45"/>
        <v>0</v>
      </c>
      <c r="F267" s="63">
        <f>'Прайс для расчета'!E246</f>
        <v>929.25</v>
      </c>
      <c r="G267" s="64">
        <f t="shared" si="43"/>
        <v>0</v>
      </c>
      <c r="I267" s="135">
        <f>'Прайс для расчета (М)'!E246</f>
        <v>464.625</v>
      </c>
      <c r="J267" s="36">
        <f t="shared" si="44"/>
        <v>0</v>
      </c>
    </row>
    <row r="268" spans="2:10" ht="15.6" x14ac:dyDescent="0.3">
      <c r="B268" s="59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64">
        <f t="shared" si="43"/>
        <v>0</v>
      </c>
      <c r="I268" s="135">
        <f>'Прайс для расчета (М)'!E247</f>
        <v>286.125</v>
      </c>
      <c r="J268" s="36">
        <f t="shared" si="44"/>
        <v>0</v>
      </c>
    </row>
    <row r="269" spans="2:10" ht="15.6" x14ac:dyDescent="0.3">
      <c r="B269" s="59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64">
        <f t="shared" si="43"/>
        <v>0</v>
      </c>
      <c r="I269" s="135">
        <f>'Прайс для расчета (М)'!E248</f>
        <v>511.875</v>
      </c>
      <c r="J269" s="36">
        <f t="shared" si="44"/>
        <v>0</v>
      </c>
    </row>
    <row r="270" spans="2:10" ht="15.6" x14ac:dyDescent="0.25">
      <c r="B270" s="59"/>
      <c r="C270" s="69" t="s">
        <v>414</v>
      </c>
      <c r="D270" s="61" t="s">
        <v>2</v>
      </c>
      <c r="E270" s="62">
        <f t="shared" ref="E270:E280" si="46">$A$4</f>
        <v>0</v>
      </c>
      <c r="F270" s="63">
        <f>'Прайс для расчета'!E249</f>
        <v>715.68</v>
      </c>
      <c r="G270" s="64">
        <f t="shared" si="43"/>
        <v>0</v>
      </c>
      <c r="I270" s="135">
        <f>'Прайс для расчета (М)'!E249</f>
        <v>357.84</v>
      </c>
      <c r="J270" s="36">
        <f t="shared" si="44"/>
        <v>0</v>
      </c>
    </row>
    <row r="271" spans="2:10" ht="15.6" x14ac:dyDescent="0.25">
      <c r="B271" s="59"/>
      <c r="C271" s="69" t="s">
        <v>145</v>
      </c>
      <c r="D271" s="61" t="s">
        <v>2</v>
      </c>
      <c r="E271" s="62">
        <f t="shared" si="46"/>
        <v>0</v>
      </c>
      <c r="F271" s="63">
        <f>'Прайс для расчета'!E250</f>
        <v>819</v>
      </c>
      <c r="G271" s="64">
        <f t="shared" si="43"/>
        <v>0</v>
      </c>
      <c r="I271" s="135">
        <f>'Прайс для расчета (М)'!E250</f>
        <v>409.5</v>
      </c>
      <c r="J271" s="36">
        <f t="shared" si="44"/>
        <v>0</v>
      </c>
    </row>
    <row r="272" spans="2:10" ht="15.6" x14ac:dyDescent="0.25">
      <c r="B272" s="59"/>
      <c r="C272" s="69" t="s">
        <v>1072</v>
      </c>
      <c r="D272" s="61" t="s">
        <v>2</v>
      </c>
      <c r="E272" s="62">
        <f t="shared" si="46"/>
        <v>0</v>
      </c>
      <c r="F272" s="63">
        <f>'Прайс для расчета'!E251</f>
        <v>876.75</v>
      </c>
      <c r="G272" s="64">
        <f t="shared" ref="G272" si="47">F272*E272</f>
        <v>0</v>
      </c>
      <c r="I272" s="135">
        <f>'Прайс для расчета (М)'!E251</f>
        <v>438.375</v>
      </c>
      <c r="J272" s="36">
        <f t="shared" si="44"/>
        <v>0</v>
      </c>
    </row>
    <row r="273" spans="2:10" ht="15.6" x14ac:dyDescent="0.25">
      <c r="B273" s="59"/>
      <c r="C273" s="69" t="s">
        <v>1073</v>
      </c>
      <c r="D273" s="61" t="s">
        <v>2</v>
      </c>
      <c r="E273" s="62">
        <f t="shared" si="46"/>
        <v>0</v>
      </c>
      <c r="F273" s="63">
        <f>'Прайс для расчета'!E252</f>
        <v>1097.25</v>
      </c>
      <c r="G273" s="64">
        <f t="shared" ref="G273" si="48">F273*E273</f>
        <v>0</v>
      </c>
      <c r="I273" s="135">
        <f>'Прайс для расчета (М)'!E252</f>
        <v>548.625</v>
      </c>
      <c r="J273" s="36">
        <f t="shared" si="44"/>
        <v>0</v>
      </c>
    </row>
    <row r="274" spans="2:10" ht="15.6" x14ac:dyDescent="0.25">
      <c r="B274" s="59"/>
      <c r="C274" s="69" t="s">
        <v>893</v>
      </c>
      <c r="D274" s="61" t="s">
        <v>2</v>
      </c>
      <c r="E274" s="62">
        <f t="shared" si="46"/>
        <v>0</v>
      </c>
      <c r="F274" s="63">
        <f>'Прайс для расчета'!E253</f>
        <v>299.25</v>
      </c>
      <c r="G274" s="64">
        <f t="shared" si="43"/>
        <v>0</v>
      </c>
      <c r="I274" s="135">
        <f>'Прайс для расчета (М)'!E253</f>
        <v>149.625</v>
      </c>
      <c r="J274" s="36">
        <f t="shared" si="44"/>
        <v>0</v>
      </c>
    </row>
    <row r="275" spans="2:10" ht="15.6" x14ac:dyDescent="0.25">
      <c r="B275" s="59"/>
      <c r="C275" s="69" t="s">
        <v>415</v>
      </c>
      <c r="D275" s="61" t="s">
        <v>2</v>
      </c>
      <c r="E275" s="62">
        <f t="shared" si="46"/>
        <v>0</v>
      </c>
      <c r="F275" s="63">
        <f>'Прайс для расчета'!E254</f>
        <v>1044.75</v>
      </c>
      <c r="G275" s="64">
        <f t="shared" si="43"/>
        <v>0</v>
      </c>
      <c r="I275" s="135">
        <f>'Прайс для расчета (М)'!E254</f>
        <v>522.375</v>
      </c>
      <c r="J275" s="36">
        <f t="shared" si="44"/>
        <v>0</v>
      </c>
    </row>
    <row r="276" spans="2:10" ht="15.6" x14ac:dyDescent="0.25">
      <c r="B276" s="59"/>
      <c r="C276" s="69" t="s">
        <v>519</v>
      </c>
      <c r="D276" s="61" t="s">
        <v>2</v>
      </c>
      <c r="E276" s="62">
        <f t="shared" si="46"/>
        <v>0</v>
      </c>
      <c r="F276" s="63">
        <f>'Прайс для расчета'!E255</f>
        <v>1401.75</v>
      </c>
      <c r="G276" s="64">
        <f t="shared" si="43"/>
        <v>0</v>
      </c>
      <c r="I276" s="135">
        <f>'Прайс для расчета (М)'!E255</f>
        <v>700.875</v>
      </c>
      <c r="J276" s="36">
        <f t="shared" si="44"/>
        <v>0</v>
      </c>
    </row>
    <row r="277" spans="2:10" ht="15.6" x14ac:dyDescent="0.25">
      <c r="B277" s="59"/>
      <c r="C277" s="69" t="s">
        <v>891</v>
      </c>
      <c r="D277" s="61" t="s">
        <v>2</v>
      </c>
      <c r="E277" s="62">
        <f t="shared" si="46"/>
        <v>0</v>
      </c>
      <c r="F277" s="63">
        <f>'Прайс для расчета'!E256</f>
        <v>2982</v>
      </c>
      <c r="G277" s="64">
        <f t="shared" ref="G277" si="49">F277*E277</f>
        <v>0</v>
      </c>
      <c r="I277" s="135">
        <f>'Прайс для расчета (М)'!E256</f>
        <v>1491</v>
      </c>
      <c r="J277" s="36">
        <f t="shared" si="44"/>
        <v>0</v>
      </c>
    </row>
    <row r="278" spans="2:10" ht="15.6" x14ac:dyDescent="0.25">
      <c r="B278" s="59"/>
      <c r="C278" s="69" t="s">
        <v>416</v>
      </c>
      <c r="D278" s="61" t="s">
        <v>2</v>
      </c>
      <c r="E278" s="62">
        <f t="shared" si="46"/>
        <v>0</v>
      </c>
      <c r="F278" s="63">
        <f>'Прайс для расчета'!E257</f>
        <v>1155</v>
      </c>
      <c r="G278" s="64">
        <f t="shared" si="43"/>
        <v>0</v>
      </c>
      <c r="I278" s="135">
        <f>'Прайс для расчета (М)'!E257</f>
        <v>577.5</v>
      </c>
      <c r="J278" s="36">
        <f t="shared" si="44"/>
        <v>0</v>
      </c>
    </row>
    <row r="279" spans="2:10" ht="15.6" x14ac:dyDescent="0.25">
      <c r="B279" s="59"/>
      <c r="C279" s="69" t="s">
        <v>149</v>
      </c>
      <c r="D279" s="61" t="s">
        <v>2</v>
      </c>
      <c r="E279" s="62">
        <f t="shared" si="46"/>
        <v>0</v>
      </c>
      <c r="F279" s="63">
        <f>'Прайс для расчета'!E258</f>
        <v>441</v>
      </c>
      <c r="G279" s="64">
        <f t="shared" si="43"/>
        <v>0</v>
      </c>
      <c r="I279" s="135">
        <f>'Прайс для расчета (М)'!E258</f>
        <v>220.5</v>
      </c>
      <c r="J279" s="36">
        <f t="shared" si="44"/>
        <v>0</v>
      </c>
    </row>
    <row r="280" spans="2:10" ht="15.6" x14ac:dyDescent="0.25">
      <c r="B280" s="59"/>
      <c r="C280" s="69" t="s">
        <v>150</v>
      </c>
      <c r="D280" s="61" t="s">
        <v>2</v>
      </c>
      <c r="E280" s="62">
        <f t="shared" si="46"/>
        <v>0</v>
      </c>
      <c r="F280" s="63">
        <f>'Прайс для расчета'!E259</f>
        <v>514.5</v>
      </c>
      <c r="G280" s="64">
        <f t="shared" si="43"/>
        <v>0</v>
      </c>
      <c r="I280" s="135">
        <f>'Прайс для расчета (М)'!E259</f>
        <v>257.25</v>
      </c>
      <c r="J280" s="36">
        <f t="shared" si="44"/>
        <v>0</v>
      </c>
    </row>
    <row r="281" spans="2:10" ht="15.6" x14ac:dyDescent="0.25">
      <c r="B281" s="59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64">
        <f t="shared" si="43"/>
        <v>0</v>
      </c>
      <c r="I281" s="135">
        <f>'Прайс для расчета (М)'!E260</f>
        <v>112.35000000000001</v>
      </c>
      <c r="J281" s="36">
        <f t="shared" si="44"/>
        <v>0</v>
      </c>
    </row>
    <row r="282" spans="2:10" ht="15.6" x14ac:dyDescent="0.25">
      <c r="B282" s="59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64">
        <f t="shared" si="43"/>
        <v>0</v>
      </c>
      <c r="I282" s="135">
        <f>'Прайс для расчета (М)'!E261</f>
        <v>325.5</v>
      </c>
      <c r="J282" s="36">
        <f t="shared" si="44"/>
        <v>0</v>
      </c>
    </row>
    <row r="283" spans="2:10" ht="15.6" x14ac:dyDescent="0.25">
      <c r="B283" s="59"/>
      <c r="C283" s="69" t="s">
        <v>890</v>
      </c>
      <c r="D283" s="61" t="s">
        <v>3</v>
      </c>
      <c r="E283" s="62">
        <f t="shared" ref="E283:E285" si="50">$A$2</f>
        <v>0</v>
      </c>
      <c r="F283" s="63">
        <f>'Прайс для расчета'!E262</f>
        <v>834.75</v>
      </c>
      <c r="G283" s="64">
        <f t="shared" ref="G283:G284" si="51">F283*E283</f>
        <v>0</v>
      </c>
      <c r="I283" s="135">
        <f>'Прайс для расчета (М)'!E262</f>
        <v>417.375</v>
      </c>
      <c r="J283" s="36">
        <f t="shared" si="44"/>
        <v>0</v>
      </c>
    </row>
    <row r="284" spans="2:10" ht="15.6" x14ac:dyDescent="0.25">
      <c r="B284" s="59"/>
      <c r="C284" s="69" t="s">
        <v>418</v>
      </c>
      <c r="D284" s="61" t="s">
        <v>0</v>
      </c>
      <c r="E284" s="62">
        <f t="shared" si="50"/>
        <v>0</v>
      </c>
      <c r="F284" s="63">
        <f>'Прайс для расчета'!E263</f>
        <v>787.5</v>
      </c>
      <c r="G284" s="64">
        <f t="shared" si="51"/>
        <v>0</v>
      </c>
      <c r="I284" s="135">
        <f>'Прайс для расчета (М)'!E263</f>
        <v>393.75</v>
      </c>
      <c r="J284" s="36">
        <f t="shared" si="44"/>
        <v>0</v>
      </c>
    </row>
    <row r="285" spans="2:10" ht="15.6" x14ac:dyDescent="0.25">
      <c r="B285" s="59"/>
      <c r="C285" s="69" t="s">
        <v>137</v>
      </c>
      <c r="D285" s="61" t="s">
        <v>0</v>
      </c>
      <c r="E285" s="62">
        <f t="shared" si="50"/>
        <v>0</v>
      </c>
      <c r="F285" s="63">
        <f>'Прайс для расчета'!E264</f>
        <v>2551.5</v>
      </c>
      <c r="G285" s="64">
        <f t="shared" si="43"/>
        <v>0</v>
      </c>
      <c r="I285" s="135">
        <f>'Прайс для расчета (М)'!E264</f>
        <v>1275.75</v>
      </c>
      <c r="J285" s="36">
        <f t="shared" si="44"/>
        <v>0</v>
      </c>
    </row>
    <row r="286" spans="2:10" ht="15.6" x14ac:dyDescent="0.25">
      <c r="B286" s="59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64">
        <f t="shared" si="43"/>
        <v>0</v>
      </c>
      <c r="I286" s="135">
        <f>'Прайс для расчета (М)'!E265</f>
        <v>76.125</v>
      </c>
      <c r="J286" s="36">
        <f t="shared" si="44"/>
        <v>0</v>
      </c>
    </row>
    <row r="287" spans="2:10" ht="15.6" x14ac:dyDescent="0.25">
      <c r="B287" s="59">
        <f>IF(SUM(B288:B311)&gt;0,1,0)</f>
        <v>0</v>
      </c>
      <c r="C287" s="60" t="s">
        <v>878</v>
      </c>
      <c r="D287" s="61"/>
      <c r="E287" s="62"/>
      <c r="F287" s="63"/>
      <c r="G287" s="64"/>
    </row>
    <row r="288" spans="2:10" ht="15.6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52">F288*E288</f>
        <v>#REF!</v>
      </c>
      <c r="I288" s="135">
        <f>'Прайс для расчета (М)'!E276</f>
        <v>2192.4</v>
      </c>
      <c r="J288" s="36" t="e">
        <f t="shared" ref="J288:J311" si="53">I288*E288</f>
        <v>#REF!</v>
      </c>
    </row>
    <row r="289" spans="2:10" ht="15.6" x14ac:dyDescent="0.25">
      <c r="B289" s="59"/>
      <c r="C289" s="69" t="s">
        <v>270</v>
      </c>
      <c r="D289" s="61" t="s">
        <v>2</v>
      </c>
      <c r="E289" s="62" t="e">
        <f t="shared" ref="E289:E305" si="54">$A$6</f>
        <v>#REF!</v>
      </c>
      <c r="F289" s="63">
        <f>'Прайс для расчета'!E287</f>
        <v>2220.75</v>
      </c>
      <c r="G289" s="64" t="e">
        <f t="shared" si="52"/>
        <v>#REF!</v>
      </c>
      <c r="I289" s="135">
        <f>'Прайс для расчета (М)'!E287</f>
        <v>1110.375</v>
      </c>
      <c r="J289" s="36" t="e">
        <f t="shared" si="53"/>
        <v>#REF!</v>
      </c>
    </row>
    <row r="290" spans="2:10" ht="15.6" x14ac:dyDescent="0.25">
      <c r="B290" s="59"/>
      <c r="C290" s="69" t="s">
        <v>524</v>
      </c>
      <c r="D290" s="61" t="s">
        <v>2</v>
      </c>
      <c r="E290" s="62" t="e">
        <f t="shared" si="54"/>
        <v>#REF!</v>
      </c>
      <c r="F290" s="63">
        <f>'Прайс для расчета'!E288</f>
        <v>2577.75</v>
      </c>
      <c r="G290" s="64" t="e">
        <f t="shared" si="52"/>
        <v>#REF!</v>
      </c>
      <c r="I290" s="135">
        <f>'Прайс для расчета (М)'!E288</f>
        <v>1288.875</v>
      </c>
      <c r="J290" s="36" t="e">
        <f t="shared" si="53"/>
        <v>#REF!</v>
      </c>
    </row>
    <row r="291" spans="2:10" ht="15.6" x14ac:dyDescent="0.25">
      <c r="B291" s="59"/>
      <c r="C291" s="69" t="s">
        <v>525</v>
      </c>
      <c r="D291" s="61" t="s">
        <v>2</v>
      </c>
      <c r="E291" s="62" t="e">
        <f t="shared" si="54"/>
        <v>#REF!</v>
      </c>
      <c r="F291" s="63">
        <f>'Прайс для расчета'!E289</f>
        <v>1291.5</v>
      </c>
      <c r="G291" s="64" t="e">
        <f t="shared" si="52"/>
        <v>#REF!</v>
      </c>
      <c r="I291" s="135">
        <f>'Прайс для расчета (М)'!E289</f>
        <v>645.75</v>
      </c>
      <c r="J291" s="36" t="e">
        <f t="shared" si="53"/>
        <v>#REF!</v>
      </c>
    </row>
    <row r="292" spans="2:10" ht="15.6" x14ac:dyDescent="0.25">
      <c r="B292" s="59"/>
      <c r="C292" s="69" t="s">
        <v>526</v>
      </c>
      <c r="D292" s="61" t="s">
        <v>2</v>
      </c>
      <c r="E292" s="62" t="e">
        <f t="shared" si="54"/>
        <v>#REF!</v>
      </c>
      <c r="F292" s="63">
        <f>'Прайс для расчета'!E290</f>
        <v>1186.5</v>
      </c>
      <c r="G292" s="64" t="e">
        <f t="shared" si="52"/>
        <v>#REF!</v>
      </c>
      <c r="I292" s="135">
        <f>'Прайс для расчета (М)'!E290</f>
        <v>593.25</v>
      </c>
      <c r="J292" s="36" t="e">
        <f t="shared" si="53"/>
        <v>#REF!</v>
      </c>
    </row>
    <row r="293" spans="2:10" ht="15.6" x14ac:dyDescent="0.25">
      <c r="B293" s="59"/>
      <c r="C293" s="69" t="s">
        <v>271</v>
      </c>
      <c r="D293" s="61" t="s">
        <v>3</v>
      </c>
      <c r="E293" s="62" t="e">
        <f t="shared" si="54"/>
        <v>#REF!</v>
      </c>
      <c r="F293" s="63">
        <f>'Прайс для расчета'!E291</f>
        <v>761.25</v>
      </c>
      <c r="G293" s="64" t="e">
        <f t="shared" si="52"/>
        <v>#REF!</v>
      </c>
      <c r="I293" s="135">
        <f>'Прайс для расчета (М)'!E291</f>
        <v>380.625</v>
      </c>
      <c r="J293" s="36" t="e">
        <f t="shared" si="53"/>
        <v>#REF!</v>
      </c>
    </row>
    <row r="294" spans="2:10" ht="15.6" x14ac:dyDescent="0.25">
      <c r="B294" s="59"/>
      <c r="C294" s="69" t="s">
        <v>962</v>
      </c>
      <c r="D294" s="61" t="s">
        <v>3</v>
      </c>
      <c r="E294" s="62" t="e">
        <f t="shared" si="54"/>
        <v>#REF!</v>
      </c>
      <c r="F294" s="63">
        <f>'Прайс для расчета'!E292</f>
        <v>519.75</v>
      </c>
      <c r="G294" s="64" t="e">
        <f t="shared" ref="G294:G295" si="55">F294*E294</f>
        <v>#REF!</v>
      </c>
      <c r="I294" s="135">
        <f>'Прайс для расчета (М)'!E292</f>
        <v>259.875</v>
      </c>
      <c r="J294" s="36" t="e">
        <f t="shared" si="53"/>
        <v>#REF!</v>
      </c>
    </row>
    <row r="295" spans="2:10" ht="15.6" x14ac:dyDescent="0.25">
      <c r="B295" s="59"/>
      <c r="C295" s="69" t="s">
        <v>963</v>
      </c>
      <c r="D295" s="61" t="s">
        <v>3</v>
      </c>
      <c r="E295" s="62" t="e">
        <f t="shared" si="54"/>
        <v>#REF!</v>
      </c>
      <c r="F295" s="63">
        <f>'Прайс для расчета'!E293</f>
        <v>824.25</v>
      </c>
      <c r="G295" s="64" t="e">
        <f t="shared" si="55"/>
        <v>#REF!</v>
      </c>
      <c r="I295" s="135">
        <f>'Прайс для расчета (М)'!E293</f>
        <v>412.125</v>
      </c>
      <c r="J295" s="36" t="e">
        <f t="shared" si="53"/>
        <v>#REF!</v>
      </c>
    </row>
    <row r="296" spans="2:10" ht="15.6" x14ac:dyDescent="0.25">
      <c r="B296" s="59"/>
      <c r="C296" s="69" t="s">
        <v>527</v>
      </c>
      <c r="D296" s="61" t="s">
        <v>2</v>
      </c>
      <c r="E296" s="62" t="e">
        <f t="shared" si="54"/>
        <v>#REF!</v>
      </c>
      <c r="F296" s="63">
        <f>'Прайс для расчета'!E294</f>
        <v>1732.5</v>
      </c>
      <c r="G296" s="64" t="e">
        <f t="shared" si="52"/>
        <v>#REF!</v>
      </c>
      <c r="I296" s="135">
        <f>'Прайс для расчета (М)'!E294</f>
        <v>866.25</v>
      </c>
      <c r="J296" s="36" t="e">
        <f t="shared" si="53"/>
        <v>#REF!</v>
      </c>
    </row>
    <row r="297" spans="2:10" ht="15.6" x14ac:dyDescent="0.25">
      <c r="B297" s="59"/>
      <c r="C297" s="69" t="s">
        <v>678</v>
      </c>
      <c r="D297" s="61" t="s">
        <v>2</v>
      </c>
      <c r="E297" s="62" t="e">
        <f t="shared" si="54"/>
        <v>#REF!</v>
      </c>
      <c r="F297" s="63">
        <f>'Прайс для расчета'!E296</f>
        <v>3097.5</v>
      </c>
      <c r="G297" s="64" t="e">
        <f t="shared" si="52"/>
        <v>#REF!</v>
      </c>
      <c r="I297" s="135">
        <f>'Прайс для расчета (М)'!E296</f>
        <v>1548.75</v>
      </c>
      <c r="J297" s="36" t="e">
        <f t="shared" si="53"/>
        <v>#REF!</v>
      </c>
    </row>
    <row r="298" spans="2:10" ht="15.6" x14ac:dyDescent="0.25">
      <c r="B298" s="59"/>
      <c r="C298" s="69" t="s">
        <v>680</v>
      </c>
      <c r="D298" s="61" t="s">
        <v>2</v>
      </c>
      <c r="E298" s="62" t="e">
        <f t="shared" si="54"/>
        <v>#REF!</v>
      </c>
      <c r="F298" s="63">
        <f>'Прайс для расчета'!E310</f>
        <v>5040</v>
      </c>
      <c r="G298" s="64" t="e">
        <f t="shared" si="52"/>
        <v>#REF!</v>
      </c>
      <c r="I298" s="135">
        <f>'Прайс для расчета (М)'!E310</f>
        <v>2520</v>
      </c>
      <c r="J298" s="36" t="e">
        <f t="shared" si="53"/>
        <v>#REF!</v>
      </c>
    </row>
    <row r="299" spans="2:10" ht="15.6" x14ac:dyDescent="0.25">
      <c r="B299" s="59"/>
      <c r="C299" s="69" t="s">
        <v>679</v>
      </c>
      <c r="D299" s="61" t="s">
        <v>2</v>
      </c>
      <c r="E299" s="62" t="e">
        <f t="shared" si="54"/>
        <v>#REF!</v>
      </c>
      <c r="F299" s="63">
        <f>'Прайс для расчета'!E297</f>
        <v>1044.75</v>
      </c>
      <c r="G299" s="64" t="e">
        <f t="shared" si="52"/>
        <v>#REF!</v>
      </c>
      <c r="I299" s="135">
        <f>'Прайс для расчета (М)'!E297</f>
        <v>522.375</v>
      </c>
      <c r="J299" s="36" t="e">
        <f t="shared" si="53"/>
        <v>#REF!</v>
      </c>
    </row>
    <row r="300" spans="2:10" ht="15.6" x14ac:dyDescent="0.25">
      <c r="B300" s="59"/>
      <c r="C300" s="69" t="s">
        <v>895</v>
      </c>
      <c r="D300" s="61" t="s">
        <v>2</v>
      </c>
      <c r="E300" s="62" t="e">
        <f t="shared" si="54"/>
        <v>#REF!</v>
      </c>
      <c r="F300" s="63">
        <f>'Прайс для расчета'!E298</f>
        <v>593.25</v>
      </c>
      <c r="G300" s="64" t="e">
        <f t="shared" si="52"/>
        <v>#REF!</v>
      </c>
      <c r="I300" s="135">
        <f>'Прайс для расчета (М)'!E298</f>
        <v>296.625</v>
      </c>
      <c r="J300" s="36" t="e">
        <f t="shared" si="53"/>
        <v>#REF!</v>
      </c>
    </row>
    <row r="301" spans="2:10" ht="15.6" x14ac:dyDescent="0.25">
      <c r="B301" s="59"/>
      <c r="C301" s="69" t="s">
        <v>947</v>
      </c>
      <c r="D301" s="61" t="s">
        <v>2</v>
      </c>
      <c r="E301" s="62" t="e">
        <f t="shared" si="54"/>
        <v>#REF!</v>
      </c>
      <c r="F301" s="63">
        <f>'Прайс для расчета'!E299</f>
        <v>635.25</v>
      </c>
      <c r="G301" s="64" t="e">
        <f t="shared" si="52"/>
        <v>#REF!</v>
      </c>
      <c r="I301" s="135">
        <f>'Прайс для расчета (М)'!E299</f>
        <v>317.625</v>
      </c>
      <c r="J301" s="36" t="e">
        <f t="shared" si="53"/>
        <v>#REF!</v>
      </c>
    </row>
    <row r="302" spans="2:10" ht="31.2" x14ac:dyDescent="0.25">
      <c r="B302" s="59"/>
      <c r="C302" s="69" t="s">
        <v>1074</v>
      </c>
      <c r="D302" s="86" t="s">
        <v>2</v>
      </c>
      <c r="E302" s="62" t="e">
        <f t="shared" si="54"/>
        <v>#REF!</v>
      </c>
      <c r="F302" s="63">
        <f>'Прайс для расчета'!E300</f>
        <v>1181.25</v>
      </c>
      <c r="G302" s="64" t="e">
        <f t="shared" si="52"/>
        <v>#REF!</v>
      </c>
      <c r="I302" s="135">
        <f>'Прайс для расчета (М)'!E300</f>
        <v>590.625</v>
      </c>
      <c r="J302" s="36" t="e">
        <f t="shared" si="53"/>
        <v>#REF!</v>
      </c>
    </row>
    <row r="303" spans="2:10" ht="15.6" x14ac:dyDescent="0.25">
      <c r="B303" s="59"/>
      <c r="C303" s="69" t="s">
        <v>896</v>
      </c>
      <c r="D303" s="61" t="s">
        <v>2</v>
      </c>
      <c r="E303" s="62" t="e">
        <f t="shared" si="54"/>
        <v>#REF!</v>
      </c>
      <c r="F303" s="63">
        <f>'Прайс для расчета'!E301</f>
        <v>635.25</v>
      </c>
      <c r="G303" s="64" t="e">
        <f t="shared" si="52"/>
        <v>#REF!</v>
      </c>
      <c r="I303" s="135">
        <f>'Прайс для расчета (М)'!E301</f>
        <v>317.625</v>
      </c>
      <c r="J303" s="36" t="e">
        <f t="shared" si="53"/>
        <v>#REF!</v>
      </c>
    </row>
    <row r="304" spans="2:10" ht="15.6" x14ac:dyDescent="0.25">
      <c r="B304" s="59"/>
      <c r="C304" s="69" t="s">
        <v>897</v>
      </c>
      <c r="D304" s="61" t="s">
        <v>2</v>
      </c>
      <c r="E304" s="62" t="e">
        <f t="shared" si="54"/>
        <v>#REF!</v>
      </c>
      <c r="F304" s="63">
        <f>'Прайс для расчета'!E302</f>
        <v>498.75</v>
      </c>
      <c r="G304" s="64" t="e">
        <f t="shared" si="52"/>
        <v>#REF!</v>
      </c>
      <c r="I304" s="135">
        <f>'Прайс для расчета (М)'!E302</f>
        <v>249.375</v>
      </c>
      <c r="J304" s="36" t="e">
        <f t="shared" si="53"/>
        <v>#REF!</v>
      </c>
    </row>
    <row r="305" spans="2:10" ht="15.6" x14ac:dyDescent="0.25">
      <c r="B305" s="59"/>
      <c r="C305" s="69" t="s">
        <v>898</v>
      </c>
      <c r="D305" s="61" t="s">
        <v>3</v>
      </c>
      <c r="E305" s="62" t="e">
        <f t="shared" si="54"/>
        <v>#REF!</v>
      </c>
      <c r="F305" s="63">
        <f>'Прайс для расчета'!E303</f>
        <v>183.75</v>
      </c>
      <c r="G305" s="64" t="e">
        <f t="shared" si="52"/>
        <v>#REF!</v>
      </c>
      <c r="I305" s="135">
        <f>'Прайс для расчета (М)'!E303</f>
        <v>91.875</v>
      </c>
      <c r="J305" s="36" t="e">
        <f t="shared" si="53"/>
        <v>#REF!</v>
      </c>
    </row>
    <row r="306" spans="2:10" ht="15.6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52"/>
        <v>#REF!</v>
      </c>
      <c r="I306" s="135">
        <f>'Прайс для расчета (М)'!E304</f>
        <v>590.625</v>
      </c>
      <c r="J306" s="36" t="e">
        <f t="shared" si="53"/>
        <v>#REF!</v>
      </c>
    </row>
    <row r="307" spans="2:10" ht="15.6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52"/>
        <v>#REF!</v>
      </c>
      <c r="I307" s="135">
        <f>'Прайс для расчета (М)'!E305</f>
        <v>527.625</v>
      </c>
      <c r="J307" s="36" t="e">
        <f t="shared" si="53"/>
        <v>#REF!</v>
      </c>
    </row>
    <row r="308" spans="2:10" ht="15.6" x14ac:dyDescent="0.25">
      <c r="B308" s="59"/>
      <c r="C308" s="69" t="s">
        <v>528</v>
      </c>
      <c r="D308" s="61" t="s">
        <v>2</v>
      </c>
      <c r="E308" s="62" t="e">
        <f t="shared" ref="E308:E309" si="56">$A$6</f>
        <v>#REF!</v>
      </c>
      <c r="F308" s="63">
        <f>'Прайс для расчета'!E306</f>
        <v>3990</v>
      </c>
      <c r="G308" s="64" t="e">
        <f t="shared" si="52"/>
        <v>#REF!</v>
      </c>
      <c r="I308" s="135">
        <f>'Прайс для расчета (М)'!E306</f>
        <v>1995</v>
      </c>
      <c r="J308" s="36" t="e">
        <f t="shared" si="53"/>
        <v>#REF!</v>
      </c>
    </row>
    <row r="309" spans="2:10" ht="15.6" x14ac:dyDescent="0.25">
      <c r="B309" s="59"/>
      <c r="C309" s="69" t="s">
        <v>429</v>
      </c>
      <c r="D309" s="61" t="s">
        <v>2</v>
      </c>
      <c r="E309" s="62" t="e">
        <f t="shared" si="56"/>
        <v>#REF!</v>
      </c>
      <c r="F309" s="63">
        <f>'Прайс для расчета'!E307</f>
        <v>472.5</v>
      </c>
      <c r="G309" s="64" t="e">
        <f t="shared" si="52"/>
        <v>#REF!</v>
      </c>
      <c r="I309" s="135">
        <f>'Прайс для расчета (М)'!E307</f>
        <v>236.25</v>
      </c>
      <c r="J309" s="36" t="e">
        <f t="shared" si="53"/>
        <v>#REF!</v>
      </c>
    </row>
    <row r="310" spans="2:10" ht="15.6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52"/>
        <v>#REF!</v>
      </c>
      <c r="I310" s="135">
        <f>'Прайс для расчета (М)'!E308</f>
        <v>393.75</v>
      </c>
      <c r="J310" s="36" t="e">
        <f t="shared" si="53"/>
        <v>#REF!</v>
      </c>
    </row>
    <row r="311" spans="2:10" ht="15.6" x14ac:dyDescent="0.25">
      <c r="B311" s="59"/>
      <c r="C311" s="69" t="s">
        <v>430</v>
      </c>
      <c r="D311" s="61" t="s">
        <v>2</v>
      </c>
      <c r="E311" s="62" t="e">
        <f>$A$6</f>
        <v>#REF!</v>
      </c>
      <c r="F311" s="63">
        <f>'Прайс для расчета'!E309</f>
        <v>420</v>
      </c>
      <c r="G311" s="64" t="e">
        <f t="shared" si="52"/>
        <v>#REF!</v>
      </c>
      <c r="I311" s="135">
        <f>'Прайс для расчета (М)'!E309</f>
        <v>210</v>
      </c>
      <c r="J311" s="36" t="e">
        <f t="shared" si="53"/>
        <v>#REF!</v>
      </c>
    </row>
    <row r="312" spans="2:10" ht="15.6" x14ac:dyDescent="0.25">
      <c r="B312" s="59">
        <f>IF(SUM(B313:B319)&gt;0,1,0)</f>
        <v>0</v>
      </c>
      <c r="C312" s="60" t="s">
        <v>884</v>
      </c>
      <c r="D312" s="61"/>
      <c r="E312" s="62"/>
      <c r="F312" s="63"/>
      <c r="G312" s="64"/>
    </row>
    <row r="313" spans="2:10" ht="15.6" x14ac:dyDescent="0.25">
      <c r="B313" s="59"/>
      <c r="C313" s="69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57">F313*E313</f>
        <v>315</v>
      </c>
      <c r="I313" s="135">
        <f>'Прайс для расчета (М)'!E311</f>
        <v>157.5</v>
      </c>
      <c r="J313" s="36">
        <f t="shared" ref="J313:J319" si="58">I313*E313</f>
        <v>157.5</v>
      </c>
    </row>
    <row r="314" spans="2:10" ht="15.6" x14ac:dyDescent="0.25">
      <c r="B314" s="59"/>
      <c r="C314" s="69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57"/>
        <v>367.5</v>
      </c>
      <c r="I314" s="135">
        <f>'Прайс для расчета (М)'!E312</f>
        <v>183.75</v>
      </c>
      <c r="J314" s="36">
        <f t="shared" si="58"/>
        <v>183.75</v>
      </c>
    </row>
    <row r="315" spans="2:10" ht="15.6" x14ac:dyDescent="0.25">
      <c r="B315" s="59"/>
      <c r="C315" s="69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57"/>
        <v>194.25</v>
      </c>
      <c r="I315" s="135">
        <f>'Прайс для расчета (М)'!E313</f>
        <v>97.125</v>
      </c>
      <c r="J315" s="36">
        <f t="shared" si="58"/>
        <v>97.125</v>
      </c>
    </row>
    <row r="316" spans="2:10" ht="15.6" x14ac:dyDescent="0.25">
      <c r="B316" s="59"/>
      <c r="C316" s="69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57"/>
        <v>735</v>
      </c>
      <c r="I316" s="135">
        <f>'Прайс для расчета (М)'!E314</f>
        <v>367.5</v>
      </c>
      <c r="J316" s="36">
        <f t="shared" si="58"/>
        <v>367.5</v>
      </c>
    </row>
    <row r="317" spans="2:10" ht="15.6" x14ac:dyDescent="0.25">
      <c r="B317" s="59"/>
      <c r="C317" s="69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57"/>
        <v>1349.25</v>
      </c>
      <c r="I317" s="135">
        <f>'Прайс для расчета (М)'!E315</f>
        <v>674.625</v>
      </c>
      <c r="J317" s="36">
        <f t="shared" si="58"/>
        <v>674.625</v>
      </c>
    </row>
    <row r="318" spans="2:10" ht="15.6" x14ac:dyDescent="0.25">
      <c r="B318" s="59"/>
      <c r="C318" s="69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57"/>
        <v>0</v>
      </c>
      <c r="I318" s="135">
        <f>'Прайс для расчета (М)'!E316</f>
        <v>0</v>
      </c>
      <c r="J318" s="36">
        <f t="shared" si="58"/>
        <v>0</v>
      </c>
    </row>
    <row r="319" spans="2:10" ht="15.6" x14ac:dyDescent="0.25">
      <c r="B319" s="59"/>
      <c r="C319" s="69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57"/>
        <v>1464.75</v>
      </c>
      <c r="I319" s="135">
        <f>'Прайс для расчета (М)'!E317</f>
        <v>732.375</v>
      </c>
      <c r="J319" s="36">
        <f t="shared" si="58"/>
        <v>732.375</v>
      </c>
    </row>
    <row r="320" spans="2:10" ht="15.6" x14ac:dyDescent="0.25">
      <c r="B320" s="59">
        <f>IF(SUM(B321:B333)&gt;0,1,0)</f>
        <v>0</v>
      </c>
      <c r="C320" s="60" t="s">
        <v>879</v>
      </c>
      <c r="D320" s="61"/>
      <c r="E320" s="62"/>
      <c r="F320" s="63"/>
      <c r="G320" s="64"/>
    </row>
    <row r="321" spans="2:10" ht="15.6" x14ac:dyDescent="0.25">
      <c r="B321" s="59"/>
      <c r="C321" s="69" t="s">
        <v>436</v>
      </c>
      <c r="D321" s="61" t="s">
        <v>2</v>
      </c>
      <c r="E321" s="62">
        <f>$A$4</f>
        <v>0</v>
      </c>
      <c r="F321" s="63">
        <f>'Прайс для расчета'!E318</f>
        <v>577.5</v>
      </c>
      <c r="G321" s="64">
        <f t="shared" ref="G321:G333" si="59">F321*E321</f>
        <v>0</v>
      </c>
      <c r="I321" s="135">
        <f>'Прайс для расчета (М)'!E318</f>
        <v>288.75</v>
      </c>
      <c r="J321" s="36">
        <f t="shared" ref="J321:J333" si="60">I321*E321</f>
        <v>0</v>
      </c>
    </row>
    <row r="322" spans="2:10" ht="15.6" x14ac:dyDescent="0.25">
      <c r="B322" s="59"/>
      <c r="C322" s="69" t="s">
        <v>437</v>
      </c>
      <c r="D322" s="61" t="s">
        <v>2</v>
      </c>
      <c r="E322" s="62">
        <f>$A$4</f>
        <v>0</v>
      </c>
      <c r="F322" s="63">
        <f>'Прайс для расчета'!E319</f>
        <v>1396.5</v>
      </c>
      <c r="G322" s="64">
        <f t="shared" si="59"/>
        <v>0</v>
      </c>
      <c r="I322" s="135">
        <f>'Прайс для расчета (М)'!E319</f>
        <v>698.25</v>
      </c>
      <c r="J322" s="36">
        <f t="shared" si="60"/>
        <v>0</v>
      </c>
    </row>
    <row r="323" spans="2:10" ht="15.6" x14ac:dyDescent="0.25">
      <c r="B323" s="59"/>
      <c r="C323" s="69" t="s">
        <v>438</v>
      </c>
      <c r="D323" s="61" t="s">
        <v>2</v>
      </c>
      <c r="E323" s="62">
        <f>$A$4</f>
        <v>0</v>
      </c>
      <c r="F323" s="63">
        <f>'Прайс для расчета'!E320</f>
        <v>1291.5</v>
      </c>
      <c r="G323" s="64">
        <f t="shared" si="59"/>
        <v>0</v>
      </c>
      <c r="I323" s="135">
        <f>'Прайс для расчета (М)'!E320</f>
        <v>645.75</v>
      </c>
      <c r="J323" s="36">
        <f t="shared" si="60"/>
        <v>0</v>
      </c>
    </row>
    <row r="324" spans="2:10" ht="15.6" x14ac:dyDescent="0.25">
      <c r="B324" s="59"/>
      <c r="C324" s="69" t="s">
        <v>439</v>
      </c>
      <c r="D324" s="61" t="s">
        <v>2</v>
      </c>
      <c r="E324" s="62">
        <f>$A$4</f>
        <v>0</v>
      </c>
      <c r="F324" s="63">
        <f>'Прайс для расчета'!E321</f>
        <v>1386</v>
      </c>
      <c r="G324" s="64">
        <f t="shared" si="59"/>
        <v>0</v>
      </c>
      <c r="I324" s="135">
        <f>'Прайс для расчета (М)'!E321</f>
        <v>693</v>
      </c>
      <c r="J324" s="36">
        <f t="shared" si="60"/>
        <v>0</v>
      </c>
    </row>
    <row r="325" spans="2:10" ht="15.6" x14ac:dyDescent="0.25">
      <c r="B325" s="59"/>
      <c r="C325" s="69" t="s">
        <v>440</v>
      </c>
      <c r="D325" s="61" t="s">
        <v>2</v>
      </c>
      <c r="E325" s="62">
        <f>$A$4</f>
        <v>0</v>
      </c>
      <c r="F325" s="63">
        <f>'Прайс для расчета'!E322</f>
        <v>1281</v>
      </c>
      <c r="G325" s="64">
        <f t="shared" si="59"/>
        <v>0</v>
      </c>
      <c r="I325" s="135">
        <f>'Прайс для расчета (М)'!E322</f>
        <v>640.5</v>
      </c>
      <c r="J325" s="36">
        <f t="shared" si="60"/>
        <v>0</v>
      </c>
    </row>
    <row r="326" spans="2:10" ht="15.6" x14ac:dyDescent="0.25">
      <c r="B326" s="59"/>
      <c r="C326" s="69" t="s">
        <v>441</v>
      </c>
      <c r="D326" s="61" t="s">
        <v>645</v>
      </c>
      <c r="E326" s="62">
        <f>$A$2</f>
        <v>0</v>
      </c>
      <c r="F326" s="63">
        <f>'Прайс для расчета'!E323</f>
        <v>330.75</v>
      </c>
      <c r="G326" s="64">
        <f t="shared" si="59"/>
        <v>0</v>
      </c>
      <c r="I326" s="135">
        <f>'Прайс для расчета (М)'!E323</f>
        <v>165.375</v>
      </c>
      <c r="J326" s="36">
        <f t="shared" si="60"/>
        <v>0</v>
      </c>
    </row>
    <row r="327" spans="2:10" ht="15.6" x14ac:dyDescent="0.25">
      <c r="B327" s="59"/>
      <c r="C327" s="69" t="s">
        <v>531</v>
      </c>
      <c r="D327" s="61" t="s">
        <v>645</v>
      </c>
      <c r="E327" s="62">
        <f>$A$2</f>
        <v>0</v>
      </c>
      <c r="F327" s="63">
        <f>'Прайс для расчета'!E324</f>
        <v>866.25</v>
      </c>
      <c r="G327" s="64">
        <f t="shared" si="59"/>
        <v>0</v>
      </c>
      <c r="I327" s="135">
        <f>'Прайс для расчета (М)'!E324</f>
        <v>433.125</v>
      </c>
      <c r="J327" s="36">
        <f t="shared" si="60"/>
        <v>0</v>
      </c>
    </row>
    <row r="328" spans="2:10" ht="15.6" x14ac:dyDescent="0.25">
      <c r="B328" s="59"/>
      <c r="C328" s="69" t="s">
        <v>532</v>
      </c>
      <c r="D328" s="61" t="s">
        <v>645</v>
      </c>
      <c r="E328" s="62">
        <f>$A$2</f>
        <v>0</v>
      </c>
      <c r="F328" s="63">
        <f>'Прайс для расчета'!E325</f>
        <v>1097.376</v>
      </c>
      <c r="G328" s="64">
        <f t="shared" si="59"/>
        <v>0</v>
      </c>
      <c r="I328" s="135">
        <f>'Прайс для расчета (М)'!E325</f>
        <v>548.68799999999999</v>
      </c>
      <c r="J328" s="36">
        <f t="shared" si="60"/>
        <v>0</v>
      </c>
    </row>
    <row r="329" spans="2:10" ht="15.6" x14ac:dyDescent="0.25">
      <c r="B329" s="59"/>
      <c r="C329" s="69" t="s">
        <v>533</v>
      </c>
      <c r="D329" s="61" t="s">
        <v>645</v>
      </c>
      <c r="E329" s="62">
        <f>$A$2</f>
        <v>0</v>
      </c>
      <c r="F329" s="63">
        <f>'Прайс для расчета'!E326</f>
        <v>852.6</v>
      </c>
      <c r="G329" s="64">
        <f t="shared" si="59"/>
        <v>0</v>
      </c>
      <c r="I329" s="135">
        <f>'Прайс для расчета (М)'!E326</f>
        <v>426.3</v>
      </c>
      <c r="J329" s="36">
        <f t="shared" si="60"/>
        <v>0</v>
      </c>
    </row>
    <row r="330" spans="2:10" ht="15.6" x14ac:dyDescent="0.25">
      <c r="B330" s="59"/>
      <c r="C330" s="69" t="s">
        <v>442</v>
      </c>
      <c r="D330" s="61" t="s">
        <v>645</v>
      </c>
      <c r="E330" s="62">
        <f>$A$2</f>
        <v>0</v>
      </c>
      <c r="F330" s="63">
        <f>'Прайс для расчета'!E327</f>
        <v>225.75</v>
      </c>
      <c r="G330" s="64">
        <f t="shared" si="59"/>
        <v>0</v>
      </c>
      <c r="I330" s="135">
        <f>'Прайс для расчета (М)'!E327</f>
        <v>112.875</v>
      </c>
      <c r="J330" s="36">
        <f t="shared" si="60"/>
        <v>0</v>
      </c>
    </row>
    <row r="331" spans="2:10" ht="15.6" x14ac:dyDescent="0.25">
      <c r="B331" s="59"/>
      <c r="C331" s="69" t="s">
        <v>443</v>
      </c>
      <c r="D331" s="61" t="s">
        <v>2</v>
      </c>
      <c r="E331" s="62">
        <f>$A$4</f>
        <v>0</v>
      </c>
      <c r="F331" s="63">
        <f>'Прайс для расчета'!E328</f>
        <v>462</v>
      </c>
      <c r="G331" s="64">
        <f t="shared" si="59"/>
        <v>0</v>
      </c>
      <c r="I331" s="135">
        <f>'Прайс для расчета (М)'!E328</f>
        <v>231</v>
      </c>
      <c r="J331" s="36">
        <f t="shared" si="60"/>
        <v>0</v>
      </c>
    </row>
    <row r="332" spans="2:10" ht="15.6" x14ac:dyDescent="0.25">
      <c r="B332" s="59"/>
      <c r="C332" s="69" t="s">
        <v>534</v>
      </c>
      <c r="D332" s="61" t="s">
        <v>2</v>
      </c>
      <c r="E332" s="62">
        <f>$A$4</f>
        <v>0</v>
      </c>
      <c r="F332" s="63">
        <f>'Прайс для расчета'!E329</f>
        <v>1060.5</v>
      </c>
      <c r="G332" s="64">
        <f t="shared" si="59"/>
        <v>0</v>
      </c>
      <c r="I332" s="135">
        <f>'Прайс для расчета (М)'!E329</f>
        <v>530.25</v>
      </c>
      <c r="J332" s="36">
        <f t="shared" si="60"/>
        <v>0</v>
      </c>
    </row>
    <row r="333" spans="2:10" ht="15.6" x14ac:dyDescent="0.25">
      <c r="B333" s="59"/>
      <c r="C333" s="69" t="s">
        <v>444</v>
      </c>
      <c r="D333" s="61" t="s">
        <v>2</v>
      </c>
      <c r="E333" s="62">
        <f>$A$4</f>
        <v>0</v>
      </c>
      <c r="F333" s="63">
        <f>'Прайс для расчета'!E330</f>
        <v>735</v>
      </c>
      <c r="G333" s="64">
        <f t="shared" si="59"/>
        <v>0</v>
      </c>
      <c r="I333" s="135">
        <f>'Прайс для расчета (М)'!E330</f>
        <v>367.5</v>
      </c>
      <c r="J333" s="36">
        <f t="shared" si="60"/>
        <v>0</v>
      </c>
    </row>
    <row r="334" spans="2:10" ht="15.6" x14ac:dyDescent="0.25">
      <c r="B334" s="59">
        <f>IF(SUM(B335:B353)&gt;0,1,0)</f>
        <v>0</v>
      </c>
      <c r="C334" s="60" t="s">
        <v>880</v>
      </c>
      <c r="D334" s="61"/>
      <c r="E334" s="62"/>
      <c r="F334" s="63"/>
      <c r="G334" s="64"/>
    </row>
    <row r="335" spans="2:10" ht="15.6" x14ac:dyDescent="0.25">
      <c r="B335" s="59"/>
      <c r="C335" s="69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61">F335*E335</f>
        <v>525</v>
      </c>
      <c r="I335" s="135">
        <f>'Прайс для расчета (М)'!E331</f>
        <v>262.5</v>
      </c>
      <c r="J335" s="36">
        <f t="shared" ref="J335:J353" si="62">I335*E335</f>
        <v>262.5</v>
      </c>
    </row>
    <row r="336" spans="2:10" ht="15.6" x14ac:dyDescent="0.25">
      <c r="B336" s="59"/>
      <c r="C336" s="69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61"/>
        <v>945</v>
      </c>
      <c r="I336" s="135">
        <f>'Прайс для расчета (М)'!E332</f>
        <v>472.5</v>
      </c>
      <c r="J336" s="36">
        <f t="shared" si="62"/>
        <v>472.5</v>
      </c>
    </row>
    <row r="337" spans="2:10" ht="15.6" x14ac:dyDescent="0.25">
      <c r="B337" s="59"/>
      <c r="C337" s="69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61"/>
        <v>1575</v>
      </c>
      <c r="I337" s="135">
        <f>'Прайс для расчета (М)'!E333</f>
        <v>787.5</v>
      </c>
      <c r="J337" s="36">
        <f t="shared" si="62"/>
        <v>787.5</v>
      </c>
    </row>
    <row r="338" spans="2:10" ht="15.6" x14ac:dyDescent="0.25">
      <c r="B338" s="59"/>
      <c r="C338" s="69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61"/>
        <v>840</v>
      </c>
      <c r="I338" s="135">
        <f>'Прайс для расчета (М)'!E334</f>
        <v>420</v>
      </c>
      <c r="J338" s="36">
        <f t="shared" si="62"/>
        <v>420</v>
      </c>
    </row>
    <row r="339" spans="2:10" ht="15.6" x14ac:dyDescent="0.25">
      <c r="B339" s="59"/>
      <c r="C339" s="69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61"/>
        <v>273</v>
      </c>
      <c r="I339" s="135">
        <f>'Прайс для расчета (М)'!E335</f>
        <v>136.5</v>
      </c>
      <c r="J339" s="36">
        <f t="shared" si="62"/>
        <v>136.5</v>
      </c>
    </row>
    <row r="340" spans="2:10" ht="15.6" x14ac:dyDescent="0.25">
      <c r="B340" s="59"/>
      <c r="C340" s="69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61"/>
        <v>1890</v>
      </c>
      <c r="I340" s="135">
        <f>'Прайс для расчета (М)'!E336</f>
        <v>945</v>
      </c>
      <c r="J340" s="36">
        <f t="shared" si="62"/>
        <v>945</v>
      </c>
    </row>
    <row r="341" spans="2:10" ht="15.6" x14ac:dyDescent="0.25">
      <c r="B341" s="59"/>
      <c r="C341" s="69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61"/>
        <v>346.5</v>
      </c>
      <c r="I341" s="135">
        <f>'Прайс для расчета (М)'!E337</f>
        <v>173.25</v>
      </c>
      <c r="J341" s="36">
        <f t="shared" si="62"/>
        <v>173.25</v>
      </c>
    </row>
    <row r="342" spans="2:10" ht="15.6" x14ac:dyDescent="0.25">
      <c r="B342" s="59"/>
      <c r="C342" s="69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61"/>
        <v>4179</v>
      </c>
      <c r="I342" s="135">
        <f>'Прайс для расчета (М)'!E338</f>
        <v>2089.5</v>
      </c>
      <c r="J342" s="36">
        <f t="shared" si="62"/>
        <v>2089.5</v>
      </c>
    </row>
    <row r="343" spans="2:10" ht="15.6" x14ac:dyDescent="0.25">
      <c r="B343" s="59"/>
      <c r="C343" s="69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61"/>
        <v>3255</v>
      </c>
      <c r="I343" s="135">
        <f>'Прайс для расчета (М)'!E339</f>
        <v>1627.5</v>
      </c>
      <c r="J343" s="36">
        <f t="shared" si="62"/>
        <v>1627.5</v>
      </c>
    </row>
    <row r="344" spans="2:10" ht="15.6" x14ac:dyDescent="0.25">
      <c r="B344" s="59"/>
      <c r="C344" s="69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61"/>
        <v>1176</v>
      </c>
      <c r="I344" s="135">
        <f>'Прайс для расчета (М)'!E340</f>
        <v>588</v>
      </c>
      <c r="J344" s="36">
        <f t="shared" si="62"/>
        <v>588</v>
      </c>
    </row>
    <row r="345" spans="2:10" ht="15.6" x14ac:dyDescent="0.25">
      <c r="B345" s="59"/>
      <c r="C345" s="69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61"/>
        <v>367.5</v>
      </c>
      <c r="I345" s="135">
        <f>'Прайс для расчета (М)'!E341</f>
        <v>183.75</v>
      </c>
      <c r="J345" s="36">
        <f t="shared" si="62"/>
        <v>183.75</v>
      </c>
    </row>
    <row r="346" spans="2:10" ht="15.6" x14ac:dyDescent="0.25">
      <c r="B346" s="59"/>
      <c r="C346" s="69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61"/>
        <v>199.5</v>
      </c>
      <c r="I346" s="135">
        <f>'Прайс для расчета (М)'!E342</f>
        <v>99.75</v>
      </c>
      <c r="J346" s="36">
        <f t="shared" si="62"/>
        <v>99.75</v>
      </c>
    </row>
    <row r="347" spans="2:10" ht="15.6" x14ac:dyDescent="0.25">
      <c r="B347" s="59"/>
      <c r="C347" s="69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61"/>
        <v>1995</v>
      </c>
      <c r="I347" s="135">
        <f>'Прайс для расчета (М)'!E343</f>
        <v>997.5</v>
      </c>
      <c r="J347" s="36">
        <f t="shared" si="62"/>
        <v>997.5</v>
      </c>
    </row>
    <row r="348" spans="2:10" ht="15.6" x14ac:dyDescent="0.25">
      <c r="B348" s="59"/>
      <c r="C348" s="69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61"/>
        <v>840</v>
      </c>
      <c r="I348" s="135">
        <f>'Прайс для расчета (М)'!E344</f>
        <v>420</v>
      </c>
      <c r="J348" s="36">
        <f t="shared" si="62"/>
        <v>420</v>
      </c>
    </row>
    <row r="349" spans="2:10" ht="15.6" x14ac:dyDescent="0.25">
      <c r="B349" s="59"/>
      <c r="C349" s="69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61"/>
        <v>3097.5</v>
      </c>
      <c r="I349" s="135">
        <f>'Прайс для расчета (М)'!E345</f>
        <v>1548.75</v>
      </c>
      <c r="J349" s="36">
        <f t="shared" si="62"/>
        <v>1548.75</v>
      </c>
    </row>
    <row r="350" spans="2:10" ht="15.6" x14ac:dyDescent="0.25">
      <c r="B350" s="59"/>
      <c r="C350" s="69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61"/>
        <v>1029</v>
      </c>
      <c r="I350" s="135">
        <f>'Прайс для расчета (М)'!E346</f>
        <v>514.5</v>
      </c>
      <c r="J350" s="36">
        <f t="shared" si="62"/>
        <v>514.5</v>
      </c>
    </row>
    <row r="351" spans="2:10" ht="15.6" x14ac:dyDescent="0.25">
      <c r="B351" s="59"/>
      <c r="C351" s="69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61"/>
        <v>1627.5</v>
      </c>
      <c r="I351" s="135">
        <f>'Прайс для расчета (М)'!E347</f>
        <v>813.75</v>
      </c>
      <c r="J351" s="36">
        <f t="shared" si="62"/>
        <v>813.75</v>
      </c>
    </row>
    <row r="352" spans="2:10" ht="15.6" x14ac:dyDescent="0.25">
      <c r="B352" s="59"/>
      <c r="C352" s="69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61"/>
        <v>1627.5</v>
      </c>
      <c r="I352" s="135">
        <f>'Прайс для расчета (М)'!E348</f>
        <v>813.75</v>
      </c>
      <c r="J352" s="36">
        <f t="shared" si="62"/>
        <v>813.75</v>
      </c>
    </row>
    <row r="353" spans="2:10" ht="15.6" x14ac:dyDescent="0.25">
      <c r="B353" s="59"/>
      <c r="C353" s="69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61"/>
        <v>420</v>
      </c>
      <c r="I353" s="135">
        <f>'Прайс для расчета (М)'!E349</f>
        <v>210</v>
      </c>
      <c r="J353" s="36">
        <f t="shared" si="62"/>
        <v>210</v>
      </c>
    </row>
    <row r="354" spans="2:10" ht="15.6" x14ac:dyDescent="0.25">
      <c r="B354" s="59">
        <f>IF(SUM(B355:B361)&gt;0,1,0)</f>
        <v>0</v>
      </c>
      <c r="C354" s="60" t="s">
        <v>881</v>
      </c>
      <c r="D354" s="61"/>
      <c r="E354" s="62"/>
      <c r="F354" s="63"/>
      <c r="G354" s="64"/>
    </row>
    <row r="355" spans="2:10" ht="15.6" x14ac:dyDescent="0.25">
      <c r="B355" s="59"/>
      <c r="C355" s="69" t="s">
        <v>445</v>
      </c>
      <c r="D355" s="61" t="s">
        <v>3</v>
      </c>
      <c r="E355" s="62">
        <v>1</v>
      </c>
      <c r="F355" s="63">
        <f>'Прайс для расчета'!E351</f>
        <v>404.25</v>
      </c>
      <c r="G355" s="64">
        <f t="shared" ref="G355:G361" si="63">F355*E355</f>
        <v>404.25</v>
      </c>
      <c r="I355" s="135">
        <f>'Прайс для расчета (М)'!E351</f>
        <v>202.125</v>
      </c>
      <c r="J355" s="36">
        <f t="shared" ref="J355:J361" si="64">I355*E355</f>
        <v>202.125</v>
      </c>
    </row>
    <row r="356" spans="2:10" ht="15.6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63"/>
        <v>3858.7080000000001</v>
      </c>
      <c r="I356" s="135">
        <f>'Прайс для расчета (М)'!E352</f>
        <v>1929.354</v>
      </c>
      <c r="J356" s="36">
        <f t="shared" si="64"/>
        <v>1929.354</v>
      </c>
    </row>
    <row r="357" spans="2:10" ht="15.6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63"/>
        <v>1044.75</v>
      </c>
      <c r="I357" s="135">
        <f>'Прайс для расчета (М)'!E353</f>
        <v>522.375</v>
      </c>
      <c r="J357" s="36">
        <f t="shared" si="64"/>
        <v>522.375</v>
      </c>
    </row>
    <row r="358" spans="2:10" ht="15.6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63"/>
        <v>1522.5</v>
      </c>
      <c r="I358" s="135">
        <f>'Прайс для расчета (М)'!E354</f>
        <v>761.25</v>
      </c>
      <c r="J358" s="36">
        <f t="shared" si="64"/>
        <v>761.25</v>
      </c>
    </row>
    <row r="359" spans="2:10" ht="15.6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63"/>
        <v>1522.5</v>
      </c>
      <c r="I359" s="135">
        <f>'Прайс для расчета (М)'!E355</f>
        <v>761.25</v>
      </c>
      <c r="J359" s="36">
        <f t="shared" si="64"/>
        <v>761.25</v>
      </c>
    </row>
    <row r="360" spans="2:10" ht="15.6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63"/>
        <v>577.5</v>
      </c>
      <c r="I360" s="135">
        <f>'Прайс для расчета (М)'!E356</f>
        <v>288.75</v>
      </c>
      <c r="J360" s="36">
        <f t="shared" si="64"/>
        <v>288.75</v>
      </c>
    </row>
    <row r="361" spans="2:10" ht="15.6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63"/>
        <v>210</v>
      </c>
      <c r="I361" s="135">
        <f>'Прайс для расчета (М)'!E357</f>
        <v>105</v>
      </c>
      <c r="J361" s="36">
        <f t="shared" si="64"/>
        <v>105</v>
      </c>
    </row>
    <row r="362" spans="2:10" ht="15.6" x14ac:dyDescent="0.25">
      <c r="B362" s="110">
        <f>IF(SUM(B250:B361)&gt;0,1,0)</f>
        <v>0</v>
      </c>
      <c r="C362" s="245" t="s">
        <v>540</v>
      </c>
      <c r="D362" s="245"/>
      <c r="E362" s="245"/>
      <c r="F362" s="245"/>
      <c r="G362" s="157">
        <f>SUMIF(B251:B361,1,G251:G361)</f>
        <v>0</v>
      </c>
      <c r="J362" s="36">
        <f>SUMIF(B251:B361,1,J251:J361)</f>
        <v>0</v>
      </c>
    </row>
    <row r="363" spans="2:10" ht="15.6" x14ac:dyDescent="0.25">
      <c r="B363" s="153">
        <f>IF(SUM(B364:B372)&gt;0,1,0)</f>
        <v>0</v>
      </c>
      <c r="C363" s="148" t="s">
        <v>693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/>
      <c r="C364" s="69" t="s">
        <v>457</v>
      </c>
      <c r="D364" s="61" t="s">
        <v>0</v>
      </c>
      <c r="E364" s="62">
        <v>1</v>
      </c>
      <c r="F364" s="63">
        <f>'Прайс для расчета'!E420</f>
        <v>1260</v>
      </c>
      <c r="G364" s="64">
        <f>F364*E364</f>
        <v>1260</v>
      </c>
      <c r="I364" s="135">
        <f>'Прайс для расчета (М)'!E420</f>
        <v>630</v>
      </c>
      <c r="J364" s="36">
        <f t="shared" ref="J364:J372" si="65">I364*E364</f>
        <v>630</v>
      </c>
    </row>
    <row r="365" spans="2:10" ht="15.6" x14ac:dyDescent="0.25">
      <c r="B365" s="59"/>
      <c r="C365" s="69" t="s">
        <v>114</v>
      </c>
      <c r="D365" s="61" t="s">
        <v>0</v>
      </c>
      <c r="E365" s="62">
        <v>1</v>
      </c>
      <c r="F365" s="63">
        <f>'Прайс для расчета'!E404</f>
        <v>1995</v>
      </c>
      <c r="G365" s="64">
        <f>F365*E365</f>
        <v>1995</v>
      </c>
      <c r="I365" s="135">
        <f>'Прайс для расчета (М)'!E404</f>
        <v>997.5</v>
      </c>
      <c r="J365" s="36">
        <f t="shared" si="65"/>
        <v>997.5</v>
      </c>
    </row>
    <row r="366" spans="2:10" ht="15.6" x14ac:dyDescent="0.25">
      <c r="B366" s="59"/>
      <c r="C366" s="69" t="s">
        <v>952</v>
      </c>
      <c r="D366" s="61" t="s">
        <v>0</v>
      </c>
      <c r="E366" s="62">
        <v>1</v>
      </c>
      <c r="F366" s="63">
        <f>'Прайс для расчета'!E405</f>
        <v>7350</v>
      </c>
      <c r="G366" s="64">
        <f t="shared" ref="G366:G372" si="66">F366*E366</f>
        <v>7350</v>
      </c>
      <c r="I366" s="135">
        <f>'Прайс для расчета (М)'!E405</f>
        <v>3675</v>
      </c>
      <c r="J366" s="36">
        <f t="shared" si="65"/>
        <v>3675</v>
      </c>
    </row>
    <row r="367" spans="2:10" ht="15.6" x14ac:dyDescent="0.25">
      <c r="B367" s="59"/>
      <c r="C367" s="69" t="s">
        <v>1084</v>
      </c>
      <c r="D367" s="61" t="s">
        <v>0</v>
      </c>
      <c r="E367" s="62">
        <v>1</v>
      </c>
      <c r="F367" s="63">
        <f>'Прайс для расчета'!E406</f>
        <v>4725</v>
      </c>
      <c r="G367" s="64">
        <f t="shared" si="66"/>
        <v>4725</v>
      </c>
      <c r="I367" s="135">
        <f>'Прайс для расчета (М)'!E406</f>
        <v>2362.5</v>
      </c>
      <c r="J367" s="36">
        <f t="shared" si="65"/>
        <v>2362.5</v>
      </c>
    </row>
    <row r="368" spans="2:10" ht="15.6" x14ac:dyDescent="0.25">
      <c r="B368" s="59"/>
      <c r="C368" s="69" t="s">
        <v>954</v>
      </c>
      <c r="D368" s="61" t="s">
        <v>0</v>
      </c>
      <c r="E368" s="62">
        <v>1</v>
      </c>
      <c r="F368" s="63">
        <f>'Прайс для расчета'!E407</f>
        <v>8200.5</v>
      </c>
      <c r="G368" s="64">
        <f t="shared" si="66"/>
        <v>8200.5</v>
      </c>
      <c r="I368" s="135">
        <f>'Прайс для расчета (М)'!E407</f>
        <v>4100.25</v>
      </c>
      <c r="J368" s="36">
        <f t="shared" si="65"/>
        <v>4100.25</v>
      </c>
    </row>
    <row r="369" spans="2:10" ht="15.6" x14ac:dyDescent="0.25">
      <c r="B369" s="59"/>
      <c r="C369" s="69" t="s">
        <v>544</v>
      </c>
      <c r="D369" s="61" t="s">
        <v>0</v>
      </c>
      <c r="E369" s="62">
        <v>1</v>
      </c>
      <c r="F369" s="63">
        <f>'Прайс для расчета'!E408</f>
        <v>1200.2549999999999</v>
      </c>
      <c r="G369" s="64">
        <f t="shared" si="66"/>
        <v>1200.2549999999999</v>
      </c>
      <c r="I369" s="135">
        <f>'Прайс для расчета (М)'!E408</f>
        <v>600.12749999999994</v>
      </c>
      <c r="J369" s="36">
        <f t="shared" si="65"/>
        <v>600.12749999999994</v>
      </c>
    </row>
    <row r="370" spans="2:10" ht="15.6" x14ac:dyDescent="0.25">
      <c r="B370" s="59"/>
      <c r="C370" s="69" t="s">
        <v>136</v>
      </c>
      <c r="D370" s="61" t="s">
        <v>0</v>
      </c>
      <c r="E370" s="62">
        <v>1</v>
      </c>
      <c r="F370" s="63">
        <f>'Прайс для расчета'!E409</f>
        <v>344.42099999999999</v>
      </c>
      <c r="G370" s="64">
        <f t="shared" si="66"/>
        <v>344.42099999999999</v>
      </c>
      <c r="I370" s="135">
        <f>'Прайс для расчета (М)'!E409</f>
        <v>172.2105</v>
      </c>
      <c r="J370" s="36">
        <f t="shared" si="65"/>
        <v>172.2105</v>
      </c>
    </row>
    <row r="371" spans="2:10" ht="15.6" x14ac:dyDescent="0.25">
      <c r="B371" s="59"/>
      <c r="C371" s="69" t="s">
        <v>449</v>
      </c>
      <c r="D371" s="61" t="s">
        <v>3</v>
      </c>
      <c r="E371" s="62">
        <v>1</v>
      </c>
      <c r="F371" s="63">
        <f>'Прайс для расчета'!E410</f>
        <v>240.05099999999999</v>
      </c>
      <c r="G371" s="64">
        <f t="shared" si="66"/>
        <v>240.05099999999999</v>
      </c>
      <c r="I371" s="135">
        <f>'Прайс для расчета (М)'!E410</f>
        <v>120.02549999999999</v>
      </c>
      <c r="J371" s="36">
        <f t="shared" si="65"/>
        <v>120.02549999999999</v>
      </c>
    </row>
    <row r="372" spans="2:10" ht="15.6" x14ac:dyDescent="0.25">
      <c r="B372" s="59"/>
      <c r="C372" s="69" t="s">
        <v>450</v>
      </c>
      <c r="D372" s="61" t="s">
        <v>3</v>
      </c>
      <c r="E372" s="62">
        <v>1</v>
      </c>
      <c r="F372" s="63">
        <f>'Прайс для расчета'!E411</f>
        <v>326.529</v>
      </c>
      <c r="G372" s="64">
        <f t="shared" si="66"/>
        <v>326.529</v>
      </c>
      <c r="I372" s="135">
        <f>'Прайс для расчета (М)'!E411</f>
        <v>163.2645</v>
      </c>
      <c r="J372" s="36">
        <f t="shared" si="65"/>
        <v>163.2645</v>
      </c>
    </row>
    <row r="373" spans="2:10" ht="15.6" x14ac:dyDescent="0.25">
      <c r="B373" s="110">
        <f>IF(SUM(B364:B372)&gt;0,1,0)</f>
        <v>0</v>
      </c>
      <c r="C373" s="245" t="s">
        <v>545</v>
      </c>
      <c r="D373" s="245"/>
      <c r="E373" s="245"/>
      <c r="F373" s="245"/>
      <c r="G373" s="157">
        <f>SUMIF(B364:B372,1,G364:G372)</f>
        <v>0</v>
      </c>
      <c r="J373" s="36">
        <f>SUMIF(B364:B372,1,J364:J372)</f>
        <v>0</v>
      </c>
    </row>
    <row r="374" spans="2:10" ht="15.6" x14ac:dyDescent="0.25">
      <c r="B374" s="153">
        <f>IF(SUM(B375:B382)&gt;0,1,0)</f>
        <v>0</v>
      </c>
      <c r="C374" s="148" t="s">
        <v>704</v>
      </c>
      <c r="D374" s="154" t="s">
        <v>179</v>
      </c>
      <c r="E374" s="154" t="s">
        <v>180</v>
      </c>
      <c r="F374" s="154" t="s">
        <v>1</v>
      </c>
      <c r="G374" s="154" t="s">
        <v>181</v>
      </c>
      <c r="I374" s="36" t="s">
        <v>1</v>
      </c>
      <c r="J374" s="36" t="s">
        <v>181</v>
      </c>
    </row>
    <row r="375" spans="2:10" ht="15.75" customHeight="1" x14ac:dyDescent="0.25">
      <c r="B375" s="59"/>
      <c r="C375" s="69" t="s">
        <v>1078</v>
      </c>
      <c r="D375" s="61" t="s">
        <v>2</v>
      </c>
      <c r="E375" s="62">
        <f>$A$4</f>
        <v>0</v>
      </c>
      <c r="F375" s="63">
        <f>'Прайс для расчета'!E412</f>
        <v>110.25</v>
      </c>
      <c r="G375" s="64">
        <f t="shared" ref="G375:G382" si="67">F375*E375</f>
        <v>0</v>
      </c>
      <c r="I375" s="135">
        <f>'Прайс для расчета (М)'!E412</f>
        <v>55.125</v>
      </c>
      <c r="J375" s="36">
        <f t="shared" ref="J375:J382" si="68">I375*E375</f>
        <v>0</v>
      </c>
    </row>
    <row r="376" spans="2:10" ht="15.6" x14ac:dyDescent="0.25">
      <c r="B376" s="59"/>
      <c r="C376" s="69" t="s">
        <v>688</v>
      </c>
      <c r="D376" s="61" t="s">
        <v>0</v>
      </c>
      <c r="E376" s="62">
        <v>1</v>
      </c>
      <c r="F376" s="63">
        <f>'Прайс для расчета'!E413</f>
        <v>1714.65</v>
      </c>
      <c r="G376" s="64">
        <f t="shared" si="67"/>
        <v>1714.65</v>
      </c>
      <c r="I376" s="135">
        <f>'Прайс для расчета (М)'!E413</f>
        <v>857.32500000000005</v>
      </c>
      <c r="J376" s="36">
        <f t="shared" si="68"/>
        <v>857.32500000000005</v>
      </c>
    </row>
    <row r="377" spans="2:10" ht="15.6" x14ac:dyDescent="0.25">
      <c r="B377" s="59"/>
      <c r="C377" s="69" t="s">
        <v>452</v>
      </c>
      <c r="D377" s="61" t="s">
        <v>0</v>
      </c>
      <c r="E377" s="62">
        <v>1</v>
      </c>
      <c r="F377" s="63">
        <f>'Прайс для расчета'!E414</f>
        <v>2571.9749999999999</v>
      </c>
      <c r="G377" s="64">
        <f t="shared" si="67"/>
        <v>2571.9749999999999</v>
      </c>
      <c r="I377" s="135">
        <f>'Прайс для расчета (М)'!E414</f>
        <v>1285.9875</v>
      </c>
      <c r="J377" s="36">
        <f t="shared" si="68"/>
        <v>1285.9875</v>
      </c>
    </row>
    <row r="378" spans="2:10" ht="15.6" x14ac:dyDescent="0.25">
      <c r="B378" s="59"/>
      <c r="C378" s="69" t="s">
        <v>453</v>
      </c>
      <c r="D378" s="61" t="s">
        <v>0</v>
      </c>
      <c r="E378" s="62">
        <v>1</v>
      </c>
      <c r="F378" s="63">
        <f>'Прайс для расчета'!E415</f>
        <v>857.32500000000005</v>
      </c>
      <c r="G378" s="64">
        <f t="shared" si="67"/>
        <v>857.32500000000005</v>
      </c>
      <c r="I378" s="135">
        <f>'Прайс для расчета (М)'!E415</f>
        <v>428.66250000000002</v>
      </c>
      <c r="J378" s="36">
        <f t="shared" si="68"/>
        <v>428.66250000000002</v>
      </c>
    </row>
    <row r="379" spans="2:10" ht="15.6" x14ac:dyDescent="0.25">
      <c r="B379" s="59"/>
      <c r="C379" s="69" t="s">
        <v>454</v>
      </c>
      <c r="D379" s="61" t="s">
        <v>885</v>
      </c>
      <c r="E379" s="62">
        <v>1</v>
      </c>
      <c r="F379" s="63">
        <f>'Прайс для расчета'!E416</f>
        <v>1470</v>
      </c>
      <c r="G379" s="64">
        <f t="shared" si="67"/>
        <v>1470</v>
      </c>
      <c r="I379" s="135">
        <f>'Прайс для расчета (М)'!E416</f>
        <v>735</v>
      </c>
      <c r="J379" s="36">
        <f t="shared" si="68"/>
        <v>735</v>
      </c>
    </row>
    <row r="380" spans="2:10" ht="15.6" x14ac:dyDescent="0.25">
      <c r="B380" s="59"/>
      <c r="C380" s="69" t="s">
        <v>455</v>
      </c>
      <c r="D380" s="61" t="s">
        <v>886</v>
      </c>
      <c r="E380" s="62">
        <v>1</v>
      </c>
      <c r="F380" s="63">
        <f>'Прайс для расчета'!E417</f>
        <v>315</v>
      </c>
      <c r="G380" s="64">
        <f t="shared" si="67"/>
        <v>315</v>
      </c>
      <c r="I380" s="135">
        <f>'Прайс для расчета (М)'!E417</f>
        <v>157.5</v>
      </c>
      <c r="J380" s="36">
        <f t="shared" si="68"/>
        <v>157.5</v>
      </c>
    </row>
    <row r="381" spans="2:10" ht="15.6" x14ac:dyDescent="0.25">
      <c r="B381" s="59"/>
      <c r="C381" s="69" t="s">
        <v>456</v>
      </c>
      <c r="D381" s="61" t="s">
        <v>886</v>
      </c>
      <c r="E381" s="62">
        <v>1</v>
      </c>
      <c r="F381" s="63">
        <f>'Прайс для расчета'!E418</f>
        <v>1575</v>
      </c>
      <c r="G381" s="64">
        <f t="shared" si="67"/>
        <v>1575</v>
      </c>
      <c r="I381" s="135">
        <f>'Прайс для расчета (М)'!E418</f>
        <v>787.5</v>
      </c>
      <c r="J381" s="36">
        <f t="shared" si="68"/>
        <v>787.5</v>
      </c>
    </row>
    <row r="382" spans="2:10" ht="15.6" x14ac:dyDescent="0.25">
      <c r="B382" s="59"/>
      <c r="C382" s="69" t="s">
        <v>689</v>
      </c>
      <c r="D382" s="61" t="s">
        <v>886</v>
      </c>
      <c r="E382" s="62">
        <v>1</v>
      </c>
      <c r="F382" s="63">
        <f>'Прайс для расчета'!E419</f>
        <v>315</v>
      </c>
      <c r="G382" s="64">
        <f t="shared" si="67"/>
        <v>315</v>
      </c>
      <c r="I382" s="135">
        <f>'Прайс для расчета (М)'!E419</f>
        <v>157.5</v>
      </c>
      <c r="J382" s="36">
        <f t="shared" si="68"/>
        <v>157.5</v>
      </c>
    </row>
    <row r="383" spans="2:10" ht="15.6" x14ac:dyDescent="0.25">
      <c r="B383" s="110">
        <f>IF(SUM(B375:B382)&gt;0,1,0)</f>
        <v>0</v>
      </c>
      <c r="C383" s="245" t="s">
        <v>546</v>
      </c>
      <c r="D383" s="245"/>
      <c r="E383" s="245"/>
      <c r="F383" s="245"/>
      <c r="G383" s="157">
        <f>SUMIF(B375:B382,1,G375:G382)</f>
        <v>0</v>
      </c>
      <c r="J383" s="36">
        <f>SUMIF(B375:B382,1,J375:J382)</f>
        <v>0</v>
      </c>
    </row>
    <row r="384" spans="2:10" ht="15.6" x14ac:dyDescent="0.25">
      <c r="B384" s="153">
        <f>IF(SUM(B10:B383)&gt;0,1,0)</f>
        <v>0</v>
      </c>
      <c r="C384" s="260" t="s">
        <v>191</v>
      </c>
      <c r="D384" s="260"/>
      <c r="E384" s="260"/>
      <c r="F384" s="260"/>
      <c r="G384" s="155">
        <f>G137+G248+G362+G373+G383</f>
        <v>0</v>
      </c>
      <c r="J384" s="36">
        <f>J137+J248+J362+J373+J383</f>
        <v>0</v>
      </c>
    </row>
    <row r="385" spans="2:10" ht="15.6" x14ac:dyDescent="0.25">
      <c r="B385" s="153" t="e">
        <f>IF(G385&gt;0,1,0)</f>
        <v>#REF!</v>
      </c>
      <c r="C385" s="260" t="s">
        <v>241</v>
      </c>
      <c r="D385" s="260"/>
      <c r="E385" s="260"/>
      <c r="F385" s="260"/>
      <c r="G385" s="156" t="e">
        <f>#REF!</f>
        <v>#REF!</v>
      </c>
      <c r="J385" s="136">
        <v>0</v>
      </c>
    </row>
    <row r="386" spans="2:10" ht="15.6" x14ac:dyDescent="0.25">
      <c r="B386" s="153" t="e">
        <f>IF(G386&gt;0,1,0)</f>
        <v>#REF!</v>
      </c>
      <c r="C386" s="260" t="s">
        <v>240</v>
      </c>
      <c r="D386" s="260"/>
      <c r="E386" s="260"/>
      <c r="F386" s="260"/>
      <c r="G386" s="155" t="e">
        <f>G384-(G384*G385)</f>
        <v>#REF!</v>
      </c>
      <c r="J386" s="36">
        <f>J384-(J384*J385)</f>
        <v>0</v>
      </c>
    </row>
    <row r="387" spans="2:10" x14ac:dyDescent="0.25">
      <c r="B387"/>
      <c r="C387" s="1"/>
      <c r="E387" s="15"/>
    </row>
    <row r="388" spans="2:10" ht="15.6" x14ac:dyDescent="0.25">
      <c r="B388"/>
      <c r="C388" s="3" t="s">
        <v>238</v>
      </c>
      <c r="E388" s="16" t="s">
        <v>239</v>
      </c>
    </row>
    <row r="389" spans="2:10" x14ac:dyDescent="0.25">
      <c r="B389"/>
      <c r="C389" s="1"/>
    </row>
    <row r="390" spans="2:10" x14ac:dyDescent="0.25">
      <c r="B390"/>
      <c r="C390" s="4" t="s">
        <v>185</v>
      </c>
      <c r="E390" s="17" t="s">
        <v>185</v>
      </c>
    </row>
    <row r="391" spans="2:10" x14ac:dyDescent="0.25">
      <c r="B391"/>
      <c r="C391" s="5" t="s">
        <v>690</v>
      </c>
      <c r="E391" s="15" t="s">
        <v>186</v>
      </c>
    </row>
    <row r="392" spans="2:10" x14ac:dyDescent="0.25">
      <c r="C392" s="1"/>
      <c r="E392" s="15"/>
    </row>
  </sheetData>
  <autoFilter ref="B9:H386"/>
  <mergeCells count="12">
    <mergeCell ref="C1:C4"/>
    <mergeCell ref="C385:F385"/>
    <mergeCell ref="C386:F386"/>
    <mergeCell ref="C384:F384"/>
    <mergeCell ref="C383:F383"/>
    <mergeCell ref="C373:F373"/>
    <mergeCell ref="C5:G5"/>
    <mergeCell ref="C6:C7"/>
    <mergeCell ref="C362:F362"/>
    <mergeCell ref="C248:F248"/>
    <mergeCell ref="C137:F137"/>
    <mergeCell ref="D8:G8"/>
  </mergeCells>
  <phoneticPr fontId="8" type="noConversion"/>
  <conditionalFormatting sqref="B151:D151 B144:B148 B149:E150 D144:E148 B152:E164 B287:G287 B251:B286 G251:G286 B312:G312 B320:G320 B313:E319 G313:G319 B334:G334 B321:E333 G321:G333 B335:E353 G335:G353 B288:B311 C306:E311 F302:F311 B165:G166 F144:G164 B220:E220 G220:G247 B354:G354 B355:B361 F355:G361 G365:G372 G288:G311 B373:G386 B362:G363 B248:G250 B10:G143 B172:G175 B167:B171 D167:G171 B187:G219 B176:B186 D176:G186 B222:E246 B221 D221:E221">
    <cfRule type="expression" dxfId="527" priority="50">
      <formula>$B10=0</formula>
    </cfRule>
  </conditionalFormatting>
  <conditionalFormatting sqref="B247:E247">
    <cfRule type="expression" dxfId="526" priority="39">
      <formula>$B247=0</formula>
    </cfRule>
  </conditionalFormatting>
  <conditionalFormatting sqref="E151">
    <cfRule type="expression" dxfId="525" priority="37">
      <formula>$B151=0</formula>
    </cfRule>
  </conditionalFormatting>
  <conditionalFormatting sqref="C144:C148">
    <cfRule type="expression" dxfId="524" priority="36">
      <formula>$B144=0</formula>
    </cfRule>
  </conditionalFormatting>
  <conditionalFormatting sqref="B365 B369:B372 E364">
    <cfRule type="expression" dxfId="523" priority="35">
      <formula>$B364=0</formula>
    </cfRule>
  </conditionalFormatting>
  <conditionalFormatting sqref="B366:B368">
    <cfRule type="expression" dxfId="522" priority="34">
      <formula>$B366=0</formula>
    </cfRule>
  </conditionalFormatting>
  <conditionalFormatting sqref="B364:C364 F364">
    <cfRule type="expression" dxfId="521" priority="33">
      <formula>$B364=0</formula>
    </cfRule>
  </conditionalFormatting>
  <conditionalFormatting sqref="D364">
    <cfRule type="expression" dxfId="520" priority="32">
      <formula>$B364=0</formula>
    </cfRule>
  </conditionalFormatting>
  <conditionalFormatting sqref="F220:F247">
    <cfRule type="expression" dxfId="519" priority="31">
      <formula>$B220=0</formula>
    </cfRule>
  </conditionalFormatting>
  <conditionalFormatting sqref="C251:C269">
    <cfRule type="expression" dxfId="518" priority="26">
      <formula>$B251=0</formula>
    </cfRule>
  </conditionalFormatting>
  <conditionalFormatting sqref="D251:D269">
    <cfRule type="expression" dxfId="517" priority="25">
      <formula>$B251=0</formula>
    </cfRule>
  </conditionalFormatting>
  <conditionalFormatting sqref="C302 C303:D305 E302:E305 C288:F293 C296:F301 D294:F295">
    <cfRule type="expression" dxfId="516" priority="24">
      <formula>$B288=0</formula>
    </cfRule>
  </conditionalFormatting>
  <conditionalFormatting sqref="E251:F251 C270:E286 E252:E269 F252:F286">
    <cfRule type="expression" dxfId="515" priority="27">
      <formula>$B251=0</formula>
    </cfRule>
  </conditionalFormatting>
  <conditionalFormatting sqref="F313:F319">
    <cfRule type="expression" dxfId="514" priority="23">
      <formula>$B313=0</formula>
    </cfRule>
  </conditionalFormatting>
  <conditionalFormatting sqref="F321:F333">
    <cfRule type="expression" dxfId="513" priority="22">
      <formula>$B321=0</formula>
    </cfRule>
  </conditionalFormatting>
  <conditionalFormatting sqref="F335:F353">
    <cfRule type="expression" dxfId="512" priority="21">
      <formula>$B335=0</formula>
    </cfRule>
  </conditionalFormatting>
  <conditionalFormatting sqref="D366:E368">
    <cfRule type="expression" dxfId="511" priority="14">
      <formula>$B366=0</formula>
    </cfRule>
  </conditionalFormatting>
  <conditionalFormatting sqref="G364">
    <cfRule type="expression" dxfId="510" priority="16">
      <formula>$B364=0</formula>
    </cfRule>
  </conditionalFormatting>
  <conditionalFormatting sqref="D369:E372 D365:F365 F366:F372">
    <cfRule type="expression" dxfId="509" priority="15">
      <formula>$B365=0</formula>
    </cfRule>
  </conditionalFormatting>
  <conditionalFormatting sqref="C355:E361">
    <cfRule type="expression" dxfId="508" priority="13">
      <formula>$B355=0</formula>
    </cfRule>
  </conditionalFormatting>
  <conditionalFormatting sqref="C366 C368">
    <cfRule type="expression" dxfId="507" priority="11">
      <formula>$B366=0</formula>
    </cfRule>
  </conditionalFormatting>
  <conditionalFormatting sqref="C369:C372 C365">
    <cfRule type="expression" dxfId="506" priority="12">
      <formula>$B365=0</formula>
    </cfRule>
  </conditionalFormatting>
  <conditionalFormatting sqref="C294:C295">
    <cfRule type="expression" dxfId="505" priority="10">
      <formula>$B294=0</formula>
    </cfRule>
  </conditionalFormatting>
  <conditionalFormatting sqref="C367">
    <cfRule type="expression" dxfId="504" priority="9">
      <formula>$B367=0</formula>
    </cfRule>
  </conditionalFormatting>
  <conditionalFormatting sqref="C183:C184">
    <cfRule type="expression" dxfId="503" priority="8">
      <formula>$B183=0</formula>
    </cfRule>
  </conditionalFormatting>
  <conditionalFormatting sqref="C167:C171">
    <cfRule type="expression" dxfId="502" priority="7">
      <formula>$B167=0</formula>
    </cfRule>
  </conditionalFormatting>
  <conditionalFormatting sqref="C186">
    <cfRule type="expression" dxfId="501" priority="6">
      <formula>$B186=0</formula>
    </cfRule>
  </conditionalFormatting>
  <conditionalFormatting sqref="C185">
    <cfRule type="expression" dxfId="500" priority="5">
      <formula>$B185=0</formula>
    </cfRule>
  </conditionalFormatting>
  <conditionalFormatting sqref="C176:C177 C179:C182">
    <cfRule type="expression" dxfId="499" priority="3">
      <formula>$B176=0</formula>
    </cfRule>
  </conditionalFormatting>
  <conditionalFormatting sqref="C178">
    <cfRule type="expression" dxfId="498" priority="2">
      <formula>$B178=0</formula>
    </cfRule>
  </conditionalFormatting>
  <conditionalFormatting sqref="C221">
    <cfRule type="expression" dxfId="497" priority="1">
      <formula>$B221=0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1111111">
    <tabColor rgb="FF00B050"/>
    <pageSetUpPr fitToPage="1"/>
  </sheetPr>
  <dimension ref="A1:U463"/>
  <sheetViews>
    <sheetView topLeftCell="A217" zoomScaleNormal="100" zoomScalePageLayoutView="110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G382</f>
        <v>0</v>
      </c>
      <c r="U3" s="35">
        <f>J382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f>G444</f>
        <v>0</v>
      </c>
      <c r="U5" s="35">
        <f>J444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G454</f>
        <v>0</v>
      </c>
      <c r="U6" s="35">
        <f>J454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G455</f>
        <v>0</v>
      </c>
      <c r="U7" s="35">
        <f>J455</f>
        <v>0</v>
      </c>
    </row>
    <row r="8" spans="1:21" x14ac:dyDescent="0.25">
      <c r="C8" s="70" t="s">
        <v>1015</v>
      </c>
      <c r="D8" s="255" t="e">
        <f>G457</f>
        <v>#REF!</v>
      </c>
      <c r="E8" s="256"/>
      <c r="F8" s="256"/>
      <c r="G8" s="257"/>
      <c r="H8" s="44" t="s">
        <v>760</v>
      </c>
      <c r="T8" s="35" t="e">
        <f>G457</f>
        <v>#REF!</v>
      </c>
      <c r="U8" s="35">
        <f>J457</f>
        <v>0</v>
      </c>
    </row>
    <row r="9" spans="1:21" ht="15.6" x14ac:dyDescent="0.3">
      <c r="B9" s="138"/>
      <c r="C9" s="137"/>
      <c r="D9" s="139"/>
      <c r="E9" s="139"/>
      <c r="F9" s="139"/>
      <c r="G9" s="139"/>
      <c r="U9" s="36"/>
    </row>
    <row r="10" spans="1:21" ht="15.6" x14ac:dyDescent="0.3">
      <c r="B10" s="158">
        <f>IF(SUM(B11:B136)&gt;0,1,0)</f>
        <v>0</v>
      </c>
      <c r="C10" s="159" t="s">
        <v>705</v>
      </c>
      <c r="D10" s="160" t="s">
        <v>179</v>
      </c>
      <c r="E10" s="160" t="s">
        <v>180</v>
      </c>
      <c r="F10" s="160" t="s">
        <v>1</v>
      </c>
      <c r="G10" s="160" t="s">
        <v>181</v>
      </c>
      <c r="I10" s="36" t="s">
        <v>1</v>
      </c>
      <c r="J10" s="36" t="s">
        <v>181</v>
      </c>
    </row>
    <row r="11" spans="1:21" ht="15.6" x14ac:dyDescent="0.3">
      <c r="B11" s="72">
        <f>IF(SUM(B12:B32)&gt;0,1,0)</f>
        <v>0</v>
      </c>
      <c r="C11" s="73" t="s">
        <v>877</v>
      </c>
      <c r="D11" s="74"/>
      <c r="E11" s="75"/>
      <c r="F11" s="76"/>
      <c r="G11" s="77"/>
    </row>
    <row r="12" spans="1:21" ht="15.6" x14ac:dyDescent="0.3">
      <c r="B12" s="72"/>
      <c r="C12" s="69" t="s">
        <v>305</v>
      </c>
      <c r="D12" s="61" t="s">
        <v>3</v>
      </c>
      <c r="E12" s="62">
        <f>A2</f>
        <v>0</v>
      </c>
      <c r="F12" s="63">
        <f>'Прайс для расчета'!E5</f>
        <v>89.25</v>
      </c>
      <c r="G12" s="77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3">
      <c r="B13" s="72"/>
      <c r="C13" s="69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77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3">
      <c r="B14" s="72"/>
      <c r="C14" s="69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77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3">
      <c r="B15" s="72"/>
      <c r="C15" s="69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77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3">
      <c r="B16" s="72"/>
      <c r="C16" s="69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77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3">
      <c r="B17" s="72"/>
      <c r="C17" s="69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77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3">
      <c r="B18" s="72"/>
      <c r="C18" s="69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77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3">
      <c r="B19" s="72"/>
      <c r="C19" s="69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77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3">
      <c r="B20" s="72"/>
      <c r="C20" s="69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77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3">
      <c r="B21" s="72"/>
      <c r="C21" s="69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77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3">
      <c r="B22" s="72"/>
      <c r="C22" s="69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77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3">
      <c r="B23" s="72"/>
      <c r="C23" s="69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77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3">
      <c r="B24" s="72"/>
      <c r="C24" s="69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77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3">
      <c r="B25" s="72"/>
      <c r="C25" s="69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77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3">
      <c r="B26" s="72"/>
      <c r="C26" s="69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77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3">
      <c r="B27" s="72"/>
      <c r="C27" s="69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77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3">
      <c r="B28" s="72"/>
      <c r="C28" s="69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77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3">
      <c r="B29" s="72"/>
      <c r="C29" s="69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77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3">
      <c r="B30" s="72"/>
      <c r="C30" s="69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77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3">
      <c r="B31" s="72"/>
      <c r="C31" s="69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77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3">
      <c r="B32" s="72"/>
      <c r="C32" s="69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77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3">
      <c r="B33" s="72">
        <f>IF(SUM(B34:B59)&gt;0,1,0)</f>
        <v>0</v>
      </c>
      <c r="C33" s="73" t="s">
        <v>878</v>
      </c>
      <c r="D33" s="74"/>
      <c r="E33" s="75"/>
      <c r="F33" s="76"/>
      <c r="G33" s="77"/>
    </row>
    <row r="34" spans="2:10" ht="15.6" x14ac:dyDescent="0.3">
      <c r="B34" s="72"/>
      <c r="C34" s="69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77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3">
      <c r="B35" s="72"/>
      <c r="C35" s="69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77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3">
      <c r="B36" s="72"/>
      <c r="C36" s="69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77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3">
      <c r="B37" s="72"/>
      <c r="C37" s="69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77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3">
      <c r="B38" s="72"/>
      <c r="C38" s="69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77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3">
      <c r="B39" s="72"/>
      <c r="C39" s="69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77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3">
      <c r="B40" s="72"/>
      <c r="C40" s="69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77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3">
      <c r="B41" s="72"/>
      <c r="C41" s="69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77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3">
      <c r="B42" s="72"/>
      <c r="C42" s="69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77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3">
      <c r="B43" s="72"/>
      <c r="C43" s="69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77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3">
      <c r="B44" s="72"/>
      <c r="C44" s="69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77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3">
      <c r="B45" s="72"/>
      <c r="C45" s="69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77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3">
      <c r="B46" s="72"/>
      <c r="C46" s="69" t="s">
        <v>328</v>
      </c>
      <c r="D46" s="61" t="s">
        <v>2</v>
      </c>
      <c r="E46" s="62" t="e">
        <f t="shared" ref="E46:E58" si="6">$A$6</f>
        <v>#REF!</v>
      </c>
      <c r="F46" s="63">
        <f>'Прайс для расчета'!E41</f>
        <v>315</v>
      </c>
      <c r="G46" s="77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3">
      <c r="B47" s="72"/>
      <c r="C47" s="69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77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3">
      <c r="B48" s="72"/>
      <c r="C48" s="69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77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3">
      <c r="B49" s="72"/>
      <c r="C49" s="69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77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3">
      <c r="B50" s="72"/>
      <c r="C50" s="69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77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3">
      <c r="B51" s="72"/>
      <c r="C51" s="69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77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3">
      <c r="B52" s="72"/>
      <c r="C52" s="69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77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3">
      <c r="B53" s="72"/>
      <c r="C53" s="69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77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3">
      <c r="B54" s="72"/>
      <c r="C54" s="69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77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3">
      <c r="B55" s="72"/>
      <c r="C55" s="69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77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3">
      <c r="B56" s="72"/>
      <c r="C56" s="69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77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3">
      <c r="B57" s="72"/>
      <c r="C57" s="69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77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3">
      <c r="B58" s="72"/>
      <c r="C58" s="69" t="s">
        <v>333</v>
      </c>
      <c r="D58" s="61" t="s">
        <v>2</v>
      </c>
      <c r="E58" s="62" t="e">
        <f t="shared" si="6"/>
        <v>#REF!</v>
      </c>
      <c r="F58" s="63">
        <f>'Прайс для расчета'!E53</f>
        <v>5093.2559999999994</v>
      </c>
      <c r="G58" s="77" t="e">
        <f t="shared" si="3"/>
        <v>#REF!</v>
      </c>
      <c r="I58" s="135">
        <f>'Прайс для расчета (М)'!E53</f>
        <v>2546.6279999999997</v>
      </c>
      <c r="J58" s="36" t="e">
        <f t="shared" si="4"/>
        <v>#REF!</v>
      </c>
    </row>
    <row r="59" spans="2:10" ht="15.6" x14ac:dyDescent="0.3">
      <c r="B59" s="72"/>
      <c r="C59" s="69" t="s">
        <v>692</v>
      </c>
      <c r="D59" s="61" t="s">
        <v>0</v>
      </c>
      <c r="E59" s="62">
        <v>1</v>
      </c>
      <c r="F59" s="63">
        <f>'Прайс для расчета'!E28</f>
        <v>1186.836</v>
      </c>
      <c r="G59" s="77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3">
      <c r="B60" s="72">
        <f>IF(SUM(B61:B68)&gt;0,1,0)</f>
        <v>0</v>
      </c>
      <c r="C60" s="79" t="s">
        <v>44</v>
      </c>
      <c r="D60" s="74"/>
      <c r="E60" s="75"/>
      <c r="F60" s="76"/>
      <c r="G60" s="77"/>
    </row>
    <row r="61" spans="2:10" ht="15.6" x14ac:dyDescent="0.3">
      <c r="B61" s="72"/>
      <c r="C61" s="78" t="s">
        <v>45</v>
      </c>
      <c r="D61" s="74" t="s">
        <v>3</v>
      </c>
      <c r="E61" s="75">
        <v>1</v>
      </c>
      <c r="F61" s="63">
        <f>'Прайс для расчета'!E54</f>
        <v>335.47500000000002</v>
      </c>
      <c r="G61" s="77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3">
      <c r="B62" s="72"/>
      <c r="C62" s="78" t="s">
        <v>46</v>
      </c>
      <c r="D62" s="74" t="s">
        <v>3</v>
      </c>
      <c r="E62" s="75">
        <v>1</v>
      </c>
      <c r="F62" s="63">
        <f>'Прайс для расчета'!E55</f>
        <v>137.172</v>
      </c>
      <c r="G62" s="77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3">
      <c r="B63" s="72"/>
      <c r="C63" s="78" t="s">
        <v>60</v>
      </c>
      <c r="D63" s="74" t="s">
        <v>3</v>
      </c>
      <c r="E63" s="75">
        <v>1</v>
      </c>
      <c r="F63" s="63">
        <f>'Прайс для расчета'!E56</f>
        <v>205.75799999999998</v>
      </c>
      <c r="G63" s="77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3">
      <c r="B64" s="72"/>
      <c r="C64" s="78" t="s">
        <v>47</v>
      </c>
      <c r="D64" s="74" t="s">
        <v>3</v>
      </c>
      <c r="E64" s="75">
        <v>1</v>
      </c>
      <c r="F64" s="63">
        <f>'Прайс для расчета'!E57</f>
        <v>137.172</v>
      </c>
      <c r="G64" s="77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3">
      <c r="B65" s="72"/>
      <c r="C65" s="78" t="s">
        <v>48</v>
      </c>
      <c r="D65" s="74" t="s">
        <v>3</v>
      </c>
      <c r="E65" s="75">
        <v>1</v>
      </c>
      <c r="F65" s="63">
        <f>'Прайс для расчета'!E58</f>
        <v>205.75799999999998</v>
      </c>
      <c r="G65" s="77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3">
      <c r="B66" s="72"/>
      <c r="C66" s="78" t="s">
        <v>49</v>
      </c>
      <c r="D66" s="74" t="s">
        <v>3</v>
      </c>
      <c r="E66" s="75">
        <v>1</v>
      </c>
      <c r="F66" s="63">
        <f>'Прайс для расчета'!E59</f>
        <v>43.239000000000004</v>
      </c>
      <c r="G66" s="77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3">
      <c r="B67" s="72"/>
      <c r="C67" s="78" t="s">
        <v>50</v>
      </c>
      <c r="D67" s="74" t="s">
        <v>3</v>
      </c>
      <c r="E67" s="75">
        <v>1</v>
      </c>
      <c r="F67" s="63">
        <f>'Прайс для расчета'!E60</f>
        <v>86.478000000000009</v>
      </c>
      <c r="G67" s="77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3">
      <c r="B68" s="72"/>
      <c r="C68" s="78" t="s">
        <v>51</v>
      </c>
      <c r="D68" s="74" t="s">
        <v>3</v>
      </c>
      <c r="E68" s="75">
        <v>1</v>
      </c>
      <c r="F68" s="63">
        <f>'Прайс для расчета'!E61</f>
        <v>43.239000000000004</v>
      </c>
      <c r="G68" s="77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3">
      <c r="B69" s="72">
        <f>IF(SUM(B70:B86)&gt;0,1,0)</f>
        <v>0</v>
      </c>
      <c r="C69" s="73" t="s">
        <v>879</v>
      </c>
      <c r="D69" s="74"/>
      <c r="E69" s="75"/>
      <c r="F69" s="76"/>
      <c r="G69" s="77"/>
    </row>
    <row r="70" spans="2:10" ht="15.6" x14ac:dyDescent="0.3">
      <c r="B70" s="72"/>
      <c r="C70" s="78" t="s">
        <v>334</v>
      </c>
      <c r="D70" s="74" t="s">
        <v>3</v>
      </c>
      <c r="E70" s="75">
        <f>$A$2</f>
        <v>0</v>
      </c>
      <c r="F70" s="76">
        <f>'Прайс для расчета'!E62</f>
        <v>110.25</v>
      </c>
      <c r="G70" s="77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3">
      <c r="B71" s="72"/>
      <c r="C71" s="78" t="s">
        <v>335</v>
      </c>
      <c r="D71" s="74" t="s">
        <v>2</v>
      </c>
      <c r="E71" s="75">
        <f t="shared" ref="E71:E76" si="11">$A$4</f>
        <v>0</v>
      </c>
      <c r="F71" s="76">
        <f>'Прайс для расчета'!E63</f>
        <v>248.99699999999999</v>
      </c>
      <c r="G71" s="77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3">
      <c r="B72" s="72"/>
      <c r="C72" s="78" t="s">
        <v>336</v>
      </c>
      <c r="D72" s="74" t="s">
        <v>2</v>
      </c>
      <c r="E72" s="75">
        <f t="shared" si="11"/>
        <v>0</v>
      </c>
      <c r="F72" s="76">
        <f>'Прайс для расчета'!E64</f>
        <v>205.75799999999998</v>
      </c>
      <c r="G72" s="77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3">
      <c r="B73" s="72"/>
      <c r="C73" s="78" t="s">
        <v>481</v>
      </c>
      <c r="D73" s="74" t="s">
        <v>2</v>
      </c>
      <c r="E73" s="75">
        <f t="shared" si="11"/>
        <v>0</v>
      </c>
      <c r="F73" s="76">
        <f>'Прайс для расчета'!E65</f>
        <v>155.06400000000002</v>
      </c>
      <c r="G73" s="77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3">
      <c r="B74" s="72"/>
      <c r="C74" s="78" t="s">
        <v>482</v>
      </c>
      <c r="D74" s="74" t="s">
        <v>2</v>
      </c>
      <c r="E74" s="75">
        <f t="shared" si="11"/>
        <v>0</v>
      </c>
      <c r="F74" s="76">
        <f>'Прайс для расчета'!E66</f>
        <v>137.172</v>
      </c>
      <c r="G74" s="77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3">
      <c r="B75" s="72"/>
      <c r="C75" s="78" t="s">
        <v>483</v>
      </c>
      <c r="D75" s="74" t="s">
        <v>2</v>
      </c>
      <c r="E75" s="75">
        <f t="shared" si="11"/>
        <v>0</v>
      </c>
      <c r="F75" s="76">
        <f>'Прайс для расчета'!E67</f>
        <v>86.478000000000009</v>
      </c>
      <c r="G75" s="77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3">
      <c r="B76" s="72"/>
      <c r="C76" s="78" t="s">
        <v>484</v>
      </c>
      <c r="D76" s="74" t="s">
        <v>2</v>
      </c>
      <c r="E76" s="75">
        <f t="shared" si="11"/>
        <v>0</v>
      </c>
      <c r="F76" s="76">
        <f>'Прайс для расчета'!E68</f>
        <v>102.87899999999999</v>
      </c>
      <c r="G76" s="77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3">
      <c r="B77" s="72"/>
      <c r="C77" s="78" t="s">
        <v>337</v>
      </c>
      <c r="D77" s="74" t="s">
        <v>0</v>
      </c>
      <c r="E77" s="75">
        <v>1</v>
      </c>
      <c r="F77" s="76">
        <f>'Прайс для расчета'!E69</f>
        <v>164.01</v>
      </c>
      <c r="G77" s="77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3">
      <c r="B78" s="72"/>
      <c r="C78" s="78" t="s">
        <v>661</v>
      </c>
      <c r="D78" s="74" t="s">
        <v>2</v>
      </c>
      <c r="E78" s="75">
        <f>$A$4</f>
        <v>0</v>
      </c>
      <c r="F78" s="76">
        <f>'Прайс для расчета'!E70</f>
        <v>377.22300000000001</v>
      </c>
      <c r="G78" s="77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3">
      <c r="B79" s="72"/>
      <c r="C79" s="78" t="s">
        <v>338</v>
      </c>
      <c r="D79" s="74" t="s">
        <v>3</v>
      </c>
      <c r="E79" s="75">
        <v>1</v>
      </c>
      <c r="F79" s="76">
        <f>'Прайс для расчета'!E71</f>
        <v>274.34399999999999</v>
      </c>
      <c r="G79" s="77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3">
      <c r="B80" s="72"/>
      <c r="C80" s="78" t="s">
        <v>138</v>
      </c>
      <c r="D80" s="74" t="s">
        <v>3</v>
      </c>
      <c r="E80" s="75">
        <f t="shared" ref="E80:E86" si="12">$A$4</f>
        <v>0</v>
      </c>
      <c r="F80" s="76">
        <f>'Прайс для расчета'!E72</f>
        <v>204.75</v>
      </c>
      <c r="G80" s="77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3">
      <c r="B81" s="72"/>
      <c r="C81" s="78" t="s">
        <v>339</v>
      </c>
      <c r="D81" s="74" t="s">
        <v>2</v>
      </c>
      <c r="E81" s="75">
        <f t="shared" si="12"/>
        <v>0</v>
      </c>
      <c r="F81" s="76">
        <f>'Прайс для расчета'!E73</f>
        <v>274.34399999999999</v>
      </c>
      <c r="G81" s="77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3">
      <c r="B82" s="72"/>
      <c r="C82" s="78" t="s">
        <v>156</v>
      </c>
      <c r="D82" s="74" t="s">
        <v>2</v>
      </c>
      <c r="E82" s="75">
        <f t="shared" si="12"/>
        <v>0</v>
      </c>
      <c r="F82" s="76">
        <f>'Прайс для расчета'!E74</f>
        <v>223.65</v>
      </c>
      <c r="G82" s="77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3">
      <c r="B83" s="72"/>
      <c r="C83" s="78" t="s">
        <v>340</v>
      </c>
      <c r="D83" s="74" t="s">
        <v>2</v>
      </c>
      <c r="E83" s="75">
        <f t="shared" si="12"/>
        <v>0</v>
      </c>
      <c r="F83" s="76">
        <f>'Прайс для расчета'!E75</f>
        <v>506.94</v>
      </c>
      <c r="G83" s="77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3">
      <c r="B84" s="72"/>
      <c r="C84" s="78" t="s">
        <v>54</v>
      </c>
      <c r="D84" s="74" t="s">
        <v>2</v>
      </c>
      <c r="E84" s="75">
        <f t="shared" si="12"/>
        <v>0</v>
      </c>
      <c r="F84" s="76">
        <f>'Прайс для расчета'!E76</f>
        <v>591.92700000000002</v>
      </c>
      <c r="G84" s="77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3">
      <c r="B85" s="72"/>
      <c r="C85" s="78" t="s">
        <v>221</v>
      </c>
      <c r="D85" s="74" t="s">
        <v>2</v>
      </c>
      <c r="E85" s="75">
        <f t="shared" si="12"/>
        <v>0</v>
      </c>
      <c r="F85" s="76">
        <f>'Прайс для расчета'!E77</f>
        <v>210</v>
      </c>
      <c r="G85" s="77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3">
      <c r="B86" s="72"/>
      <c r="C86" s="78" t="s">
        <v>157</v>
      </c>
      <c r="D86" s="74" t="s">
        <v>2</v>
      </c>
      <c r="E86" s="75">
        <f t="shared" si="12"/>
        <v>0</v>
      </c>
      <c r="F86" s="76">
        <f>'Прайс для расчета'!E78</f>
        <v>240.05099999999999</v>
      </c>
      <c r="G86" s="77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3">
      <c r="B87" s="72">
        <f>IF(SUM(B88:B96)&gt;0,1,0)</f>
        <v>0</v>
      </c>
      <c r="C87" s="73" t="s">
        <v>880</v>
      </c>
      <c r="D87" s="74"/>
      <c r="E87" s="75"/>
      <c r="F87" s="76"/>
      <c r="G87" s="77"/>
    </row>
    <row r="88" spans="2:10" ht="15.6" x14ac:dyDescent="0.3">
      <c r="B88" s="72"/>
      <c r="C88" s="78" t="s">
        <v>662</v>
      </c>
      <c r="D88" s="74" t="s">
        <v>3</v>
      </c>
      <c r="E88" s="75">
        <v>1</v>
      </c>
      <c r="F88" s="76">
        <f>'Прайс для расчета'!E79</f>
        <v>86.478000000000009</v>
      </c>
      <c r="G88" s="77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3">
      <c r="B89" s="72"/>
      <c r="C89" s="78" t="s">
        <v>485</v>
      </c>
      <c r="D89" s="74" t="s">
        <v>2</v>
      </c>
      <c r="E89" s="75">
        <v>1</v>
      </c>
      <c r="F89" s="76">
        <f>'Прайс для расчета'!E80</f>
        <v>420.46199999999999</v>
      </c>
      <c r="G89" s="77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3">
      <c r="B90" s="72"/>
      <c r="C90" s="78" t="s">
        <v>486</v>
      </c>
      <c r="D90" s="74" t="s">
        <v>2</v>
      </c>
      <c r="E90" s="75">
        <v>1</v>
      </c>
      <c r="F90" s="76">
        <f>'Прайс для расчета'!E81</f>
        <v>591.92700000000002</v>
      </c>
      <c r="G90" s="77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3">
      <c r="B91" s="72"/>
      <c r="C91" s="78" t="s">
        <v>341</v>
      </c>
      <c r="D91" s="74" t="s">
        <v>0</v>
      </c>
      <c r="E91" s="75">
        <v>1</v>
      </c>
      <c r="F91" s="76">
        <f>'Прайс для расчета'!E82</f>
        <v>335.47500000000002</v>
      </c>
      <c r="G91" s="77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3">
      <c r="B92" s="72"/>
      <c r="C92" s="78" t="s">
        <v>61</v>
      </c>
      <c r="D92" s="74" t="s">
        <v>3</v>
      </c>
      <c r="E92" s="75">
        <v>1</v>
      </c>
      <c r="F92" s="76">
        <f>'Прайс для расчета'!E83</f>
        <v>102.87899999999999</v>
      </c>
      <c r="G92" s="77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3">
      <c r="B93" s="72"/>
      <c r="C93" s="78" t="s">
        <v>342</v>
      </c>
      <c r="D93" s="74" t="s">
        <v>2</v>
      </c>
      <c r="E93" s="75">
        <v>1</v>
      </c>
      <c r="F93" s="76">
        <f>'Прайс для расчета'!E84</f>
        <v>644.11199999999997</v>
      </c>
      <c r="G93" s="77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3">
      <c r="B94" s="72"/>
      <c r="C94" s="78" t="s">
        <v>343</v>
      </c>
      <c r="D94" s="74" t="s">
        <v>2</v>
      </c>
      <c r="E94" s="75">
        <v>1</v>
      </c>
      <c r="F94" s="76">
        <f>'Прайс для расчета'!E85</f>
        <v>678.40500000000009</v>
      </c>
      <c r="G94" s="77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3">
      <c r="B95" s="72"/>
      <c r="C95" s="78" t="s">
        <v>663</v>
      </c>
      <c r="D95" s="74" t="s">
        <v>3</v>
      </c>
      <c r="E95" s="75">
        <v>1</v>
      </c>
      <c r="F95" s="76">
        <f>'Прайс для расчета'!E86</f>
        <v>395.11499999999995</v>
      </c>
      <c r="G95" s="77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3">
      <c r="B96" s="72"/>
      <c r="C96" s="78" t="s">
        <v>344</v>
      </c>
      <c r="D96" s="74" t="s">
        <v>2</v>
      </c>
      <c r="E96" s="75">
        <v>1</v>
      </c>
      <c r="F96" s="76">
        <f>'Прайс для расчета'!E87</f>
        <v>849.87</v>
      </c>
      <c r="G96" s="77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3">
      <c r="B97" s="72">
        <f>IF(SUM(B98:B104)&gt;0,1,0)</f>
        <v>0</v>
      </c>
      <c r="C97" s="73" t="s">
        <v>881</v>
      </c>
      <c r="D97" s="74"/>
      <c r="E97" s="75"/>
      <c r="F97" s="76"/>
      <c r="G97" s="77"/>
    </row>
    <row r="98" spans="2:10" ht="15.6" x14ac:dyDescent="0.3">
      <c r="B98" s="72"/>
      <c r="C98" s="78" t="s">
        <v>158</v>
      </c>
      <c r="D98" s="74" t="s">
        <v>2</v>
      </c>
      <c r="E98" s="75">
        <v>1</v>
      </c>
      <c r="F98" s="76">
        <f>'Прайс для расчета'!E88</f>
        <v>987.04200000000003</v>
      </c>
      <c r="G98" s="77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3">
      <c r="B99" s="72"/>
      <c r="C99" s="78" t="s">
        <v>345</v>
      </c>
      <c r="D99" s="74" t="s">
        <v>645</v>
      </c>
      <c r="E99" s="75">
        <f>E7</f>
        <v>0</v>
      </c>
      <c r="F99" s="76">
        <f>'Прайс для расчета'!E89</f>
        <v>248.99699999999999</v>
      </c>
      <c r="G99" s="77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3">
      <c r="B100" s="72"/>
      <c r="C100" s="78" t="s">
        <v>62</v>
      </c>
      <c r="D100" s="74" t="s">
        <v>0</v>
      </c>
      <c r="E100" s="75">
        <v>1</v>
      </c>
      <c r="F100" s="76">
        <f>'Прайс для расчета'!E90</f>
        <v>326.529</v>
      </c>
      <c r="G100" s="77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3">
      <c r="B101" s="72"/>
      <c r="C101" s="78" t="s">
        <v>487</v>
      </c>
      <c r="D101" s="74" t="s">
        <v>0</v>
      </c>
      <c r="E101" s="75">
        <v>1</v>
      </c>
      <c r="F101" s="76">
        <f>'Прайс для расчета'!E91</f>
        <v>1698.249</v>
      </c>
      <c r="G101" s="77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3">
      <c r="B102" s="72"/>
      <c r="C102" s="78" t="s">
        <v>346</v>
      </c>
      <c r="D102" s="74" t="s">
        <v>0</v>
      </c>
      <c r="E102" s="75">
        <v>1</v>
      </c>
      <c r="F102" s="76">
        <f>'Прайс для расчета'!E92</f>
        <v>335.47500000000002</v>
      </c>
      <c r="G102" s="77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3">
      <c r="B103" s="72"/>
      <c r="C103" s="78" t="s">
        <v>664</v>
      </c>
      <c r="D103" s="74" t="s">
        <v>645</v>
      </c>
      <c r="E103" s="75">
        <v>1</v>
      </c>
      <c r="F103" s="76">
        <f>'Прайс для расчета'!E93</f>
        <v>240.05099999999999</v>
      </c>
      <c r="G103" s="77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3">
      <c r="B104" s="72"/>
      <c r="C104" s="78" t="s">
        <v>665</v>
      </c>
      <c r="D104" s="74" t="s">
        <v>0</v>
      </c>
      <c r="E104" s="75">
        <v>1</v>
      </c>
      <c r="F104" s="76">
        <f>'Прайс для расчета'!E94</f>
        <v>102.87899999999999</v>
      </c>
      <c r="G104" s="77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3">
      <c r="B105" s="72">
        <f>IF(SUM(B106:B125)&gt;0,1,0)</f>
        <v>0</v>
      </c>
      <c r="C105" s="73" t="s">
        <v>882</v>
      </c>
      <c r="D105" s="74"/>
      <c r="E105" s="75"/>
      <c r="F105" s="76"/>
      <c r="G105" s="77"/>
    </row>
    <row r="106" spans="2:10" ht="15.6" x14ac:dyDescent="0.3">
      <c r="B106" s="72"/>
      <c r="C106" s="78" t="s">
        <v>666</v>
      </c>
      <c r="D106" s="74" t="s">
        <v>0</v>
      </c>
      <c r="E106" s="75">
        <v>1</v>
      </c>
      <c r="F106" s="76">
        <f>'Прайс для расчета'!E95</f>
        <v>472.5</v>
      </c>
      <c r="G106" s="77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3">
      <c r="B107" s="72"/>
      <c r="C107" s="78" t="s">
        <v>159</v>
      </c>
      <c r="D107" s="74" t="s">
        <v>0</v>
      </c>
      <c r="E107" s="75">
        <v>1</v>
      </c>
      <c r="F107" s="76">
        <f>'Прайс для расчета'!E96</f>
        <v>840</v>
      </c>
      <c r="G107" s="77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3">
      <c r="B108" s="72"/>
      <c r="C108" s="78" t="s">
        <v>63</v>
      </c>
      <c r="D108" s="74" t="s">
        <v>2</v>
      </c>
      <c r="E108" s="75">
        <v>1</v>
      </c>
      <c r="F108" s="76">
        <f>'Прайс для расчета'!E97</f>
        <v>420.46199999999999</v>
      </c>
      <c r="G108" s="77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3">
      <c r="B109" s="72"/>
      <c r="C109" s="78" t="s">
        <v>488</v>
      </c>
      <c r="D109" s="74" t="s">
        <v>0</v>
      </c>
      <c r="E109" s="75">
        <v>1</v>
      </c>
      <c r="F109" s="76">
        <f>'Прайс для расчета'!E98</f>
        <v>1021.3349999999999</v>
      </c>
      <c r="G109" s="77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3">
      <c r="B110" s="72"/>
      <c r="C110" s="78" t="s">
        <v>489</v>
      </c>
      <c r="D110" s="74" t="s">
        <v>0</v>
      </c>
      <c r="E110" s="75">
        <v>1</v>
      </c>
      <c r="F110" s="76">
        <f>'Прайс для расчета'!E99</f>
        <v>4179</v>
      </c>
      <c r="G110" s="77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3">
      <c r="B111" s="72"/>
      <c r="C111" s="78" t="s">
        <v>490</v>
      </c>
      <c r="D111" s="74" t="s">
        <v>0</v>
      </c>
      <c r="E111" s="75">
        <v>1</v>
      </c>
      <c r="F111" s="76">
        <f>'Прайс для расчета'!E100</f>
        <v>1183.854</v>
      </c>
      <c r="G111" s="77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3">
      <c r="B112" s="72"/>
      <c r="C112" s="78" t="s">
        <v>491</v>
      </c>
      <c r="D112" s="74" t="s">
        <v>0</v>
      </c>
      <c r="E112" s="75">
        <v>1</v>
      </c>
      <c r="F112" s="76">
        <f>'Прайс для расчета'!E101</f>
        <v>3129</v>
      </c>
      <c r="G112" s="77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3">
      <c r="B113" s="72"/>
      <c r="C113" s="78" t="s">
        <v>667</v>
      </c>
      <c r="D113" s="74" t="s">
        <v>0</v>
      </c>
      <c r="E113" s="75">
        <v>1</v>
      </c>
      <c r="F113" s="76">
        <f>'Прайс для расчета'!E102</f>
        <v>591.92700000000002</v>
      </c>
      <c r="G113" s="77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3">
      <c r="B114" s="72"/>
      <c r="C114" s="78" t="s">
        <v>347</v>
      </c>
      <c r="D114" s="74" t="s">
        <v>0</v>
      </c>
      <c r="E114" s="75">
        <v>1</v>
      </c>
      <c r="F114" s="76">
        <f>'Прайс для расчета'!E103</f>
        <v>678.40500000000009</v>
      </c>
      <c r="G114" s="77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3">
      <c r="B115" s="72"/>
      <c r="C115" s="78" t="s">
        <v>348</v>
      </c>
      <c r="D115" s="74" t="s">
        <v>0</v>
      </c>
      <c r="E115" s="75">
        <v>1</v>
      </c>
      <c r="F115" s="76">
        <f>'Прайс для расчета'!E104</f>
        <v>849.87</v>
      </c>
      <c r="G115" s="77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3">
      <c r="B116" s="72"/>
      <c r="C116" s="78" t="s">
        <v>349</v>
      </c>
      <c r="D116" s="74" t="s">
        <v>0</v>
      </c>
      <c r="E116" s="75">
        <v>1</v>
      </c>
      <c r="F116" s="76">
        <f>'Прайс для расчета'!E105</f>
        <v>849.87</v>
      </c>
      <c r="G116" s="77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3">
      <c r="B117" s="72"/>
      <c r="C117" s="78" t="s">
        <v>668</v>
      </c>
      <c r="D117" s="74" t="s">
        <v>0</v>
      </c>
      <c r="E117" s="75">
        <v>1</v>
      </c>
      <c r="F117" s="76">
        <f>'Прайс для расчета'!E106</f>
        <v>678.40500000000009</v>
      </c>
      <c r="G117" s="77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3">
      <c r="B118" s="72"/>
      <c r="C118" s="78" t="s">
        <v>669</v>
      </c>
      <c r="D118" s="74" t="s">
        <v>0</v>
      </c>
      <c r="E118" s="75">
        <v>1</v>
      </c>
      <c r="F118" s="76">
        <f>'Прайс для расчета'!E107</f>
        <v>1106.3219999999999</v>
      </c>
      <c r="G118" s="77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3">
      <c r="B119" s="72"/>
      <c r="C119" s="78" t="s">
        <v>670</v>
      </c>
      <c r="D119" s="74" t="s">
        <v>0</v>
      </c>
      <c r="E119" s="75">
        <v>1</v>
      </c>
      <c r="F119" s="76">
        <f>'Прайс для расчета'!E108</f>
        <v>892.5</v>
      </c>
      <c r="G119" s="77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3">
      <c r="B120" s="72"/>
      <c r="C120" s="78" t="s">
        <v>350</v>
      </c>
      <c r="D120" s="74" t="s">
        <v>0</v>
      </c>
      <c r="E120" s="75">
        <v>1</v>
      </c>
      <c r="F120" s="76">
        <f>'Прайс для расчета'!E109</f>
        <v>164.01</v>
      </c>
      <c r="G120" s="77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3">
      <c r="B121" s="72"/>
      <c r="C121" s="78" t="s">
        <v>351</v>
      </c>
      <c r="D121" s="74" t="s">
        <v>0</v>
      </c>
      <c r="E121" s="75">
        <v>1</v>
      </c>
      <c r="F121" s="76">
        <f>'Прайс для расчета'!E110</f>
        <v>102.87899999999999</v>
      </c>
      <c r="G121" s="77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3">
      <c r="B122" s="72"/>
      <c r="C122" s="78" t="s">
        <v>352</v>
      </c>
      <c r="D122" s="74" t="s">
        <v>3</v>
      </c>
      <c r="E122" s="75">
        <v>1</v>
      </c>
      <c r="F122" s="76">
        <f>'Прайс для расчета'!E111</f>
        <v>248.99699999999999</v>
      </c>
      <c r="G122" s="77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3">
      <c r="B123" s="72"/>
      <c r="C123" s="78" t="s">
        <v>353</v>
      </c>
      <c r="D123" s="74" t="s">
        <v>3</v>
      </c>
      <c r="E123" s="75">
        <v>1</v>
      </c>
      <c r="F123" s="76">
        <f>'Прайс для расчета'!E112</f>
        <v>395.11499999999995</v>
      </c>
      <c r="G123" s="77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3">
      <c r="B124" s="72"/>
      <c r="C124" s="78" t="s">
        <v>492</v>
      </c>
      <c r="D124" s="74" t="s">
        <v>3</v>
      </c>
      <c r="E124" s="75">
        <v>1</v>
      </c>
      <c r="F124" s="76">
        <f>'Прайс для расчета'!E113</f>
        <v>978.096</v>
      </c>
      <c r="G124" s="77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3">
      <c r="B125" s="72"/>
      <c r="C125" s="78" t="s">
        <v>493</v>
      </c>
      <c r="D125" s="74" t="s">
        <v>3</v>
      </c>
      <c r="E125" s="75">
        <v>1</v>
      </c>
      <c r="F125" s="76">
        <f>'Прайс для расчета'!E114</f>
        <v>1183.854</v>
      </c>
      <c r="G125" s="77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3">
      <c r="B126" s="72">
        <f>IF(SUM(B127:B136)&gt;0,1,0)</f>
        <v>0</v>
      </c>
      <c r="C126" s="73" t="s">
        <v>883</v>
      </c>
      <c r="D126" s="74"/>
      <c r="E126" s="75"/>
      <c r="F126" s="76"/>
      <c r="G126" s="77"/>
    </row>
    <row r="127" spans="2:10" ht="15.6" x14ac:dyDescent="0.3">
      <c r="B127" s="72"/>
      <c r="C127" s="78" t="s">
        <v>354</v>
      </c>
      <c r="D127" s="74" t="s">
        <v>0</v>
      </c>
      <c r="E127" s="75">
        <v>1</v>
      </c>
      <c r="F127" s="76">
        <f>'Прайс для расчета'!E115</f>
        <v>146.11799999999999</v>
      </c>
      <c r="G127" s="77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3">
      <c r="B128" s="72"/>
      <c r="C128" s="78" t="s">
        <v>671</v>
      </c>
      <c r="D128" s="74" t="s">
        <v>0</v>
      </c>
      <c r="E128" s="75">
        <v>1</v>
      </c>
      <c r="F128" s="76">
        <f>'Прайс для расчета'!E116</f>
        <v>164.01</v>
      </c>
      <c r="G128" s="77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3">
      <c r="B129" s="72"/>
      <c r="C129" s="78" t="s">
        <v>146</v>
      </c>
      <c r="D129" s="74" t="s">
        <v>0</v>
      </c>
      <c r="E129" s="75">
        <v>1</v>
      </c>
      <c r="F129" s="76">
        <f>'Прайс для расчета'!E117</f>
        <v>335.47500000000002</v>
      </c>
      <c r="G129" s="77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3">
      <c r="B130" s="72"/>
      <c r="C130" s="78" t="s">
        <v>64</v>
      </c>
      <c r="D130" s="74" t="s">
        <v>0</v>
      </c>
      <c r="E130" s="75">
        <v>1</v>
      </c>
      <c r="F130" s="76">
        <f>'Прайс для расчета'!E118</f>
        <v>1021.3349999999999</v>
      </c>
      <c r="G130" s="77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3">
      <c r="B131" s="72"/>
      <c r="C131" s="78" t="s">
        <v>672</v>
      </c>
      <c r="D131" s="74" t="s">
        <v>645</v>
      </c>
      <c r="E131" s="75">
        <v>1</v>
      </c>
      <c r="F131" s="76">
        <f>'Прайс для расчета'!E119</f>
        <v>34.292999999999999</v>
      </c>
      <c r="G131" s="77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3">
      <c r="B132" s="72"/>
      <c r="C132" s="78" t="s">
        <v>177</v>
      </c>
      <c r="D132" s="74" t="s">
        <v>0</v>
      </c>
      <c r="E132" s="75">
        <v>1</v>
      </c>
      <c r="F132" s="76">
        <f>'Прайс для расчета'!E120</f>
        <v>164.01</v>
      </c>
      <c r="G132" s="77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3">
      <c r="B133" s="72"/>
      <c r="C133" s="78" t="s">
        <v>355</v>
      </c>
      <c r="D133" s="74" t="s">
        <v>0</v>
      </c>
      <c r="E133" s="75">
        <v>1</v>
      </c>
      <c r="F133" s="76">
        <f>'Прайс для расчета'!E121</f>
        <v>600.87300000000005</v>
      </c>
      <c r="G133" s="77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3">
      <c r="B134" s="72"/>
      <c r="C134" s="78" t="s">
        <v>494</v>
      </c>
      <c r="D134" s="74" t="s">
        <v>0</v>
      </c>
      <c r="E134" s="75">
        <v>1</v>
      </c>
      <c r="F134" s="76">
        <f>'Прайс для расчета'!E122</f>
        <v>3936.24</v>
      </c>
      <c r="G134" s="77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3">
      <c r="B135" s="72"/>
      <c r="C135" s="78" t="s">
        <v>495</v>
      </c>
      <c r="D135" s="74" t="s">
        <v>0</v>
      </c>
      <c r="E135" s="75">
        <v>1</v>
      </c>
      <c r="F135" s="76">
        <f>'Прайс для расчета'!E123</f>
        <v>5093.2559999999994</v>
      </c>
      <c r="G135" s="77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3">
      <c r="B136" s="72"/>
      <c r="C136" s="78" t="s">
        <v>496</v>
      </c>
      <c r="D136" s="74" t="s">
        <v>0</v>
      </c>
      <c r="E136" s="75">
        <v>1</v>
      </c>
      <c r="F136" s="76">
        <f>'Прайс для расчета'!E124</f>
        <v>4244.8769999999995</v>
      </c>
      <c r="G136" s="77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3">
      <c r="B137" s="138">
        <f>IF(SUM(B11:B136)&gt;0,1,0)</f>
        <v>0</v>
      </c>
      <c r="C137" s="264" t="s">
        <v>497</v>
      </c>
      <c r="D137" s="264"/>
      <c r="E137" s="264"/>
      <c r="F137" s="264"/>
      <c r="G137" s="163">
        <f>SUMIF(B12:B136,1,G12:G136)</f>
        <v>0</v>
      </c>
      <c r="J137" s="36">
        <f>SUMIF(B12:B136,1,J12:J136)</f>
        <v>0</v>
      </c>
    </row>
    <row r="138" spans="2:10" ht="15.6" x14ac:dyDescent="0.3">
      <c r="B138" s="158">
        <f>IF(SUM(B139:B247)&gt;0,1,0)</f>
        <v>0</v>
      </c>
      <c r="C138" s="159" t="s">
        <v>650</v>
      </c>
      <c r="D138" s="160" t="s">
        <v>179</v>
      </c>
      <c r="E138" s="160" t="s">
        <v>180</v>
      </c>
      <c r="F138" s="160" t="s">
        <v>1</v>
      </c>
      <c r="G138" s="160" t="s">
        <v>181</v>
      </c>
      <c r="I138" s="36" t="s">
        <v>1</v>
      </c>
      <c r="J138" s="36" t="s">
        <v>181</v>
      </c>
    </row>
    <row r="139" spans="2:10" ht="15.6" x14ac:dyDescent="0.3">
      <c r="B139" s="72">
        <f>IF(SUM(B140:B164)&gt;0,1,0)</f>
        <v>0</v>
      </c>
      <c r="C139" s="73" t="s">
        <v>877</v>
      </c>
      <c r="D139" s="74"/>
      <c r="E139" s="75"/>
      <c r="F139" s="76"/>
      <c r="G139" s="77"/>
    </row>
    <row r="140" spans="2:10" ht="15.6" x14ac:dyDescent="0.3">
      <c r="B140" s="72"/>
      <c r="C140" s="78" t="s">
        <v>1018</v>
      </c>
      <c r="D140" s="74" t="s">
        <v>2</v>
      </c>
      <c r="E140" s="75">
        <f t="shared" ref="E140:E164" si="21">$A$4</f>
        <v>0</v>
      </c>
      <c r="F140" s="76">
        <f>'Прайс для расчета'!E125</f>
        <v>94.5</v>
      </c>
      <c r="G140" s="77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3">
      <c r="B141" s="72"/>
      <c r="C141" s="69" t="s">
        <v>1128</v>
      </c>
      <c r="D141" s="74" t="s">
        <v>2</v>
      </c>
      <c r="E141" s="75">
        <f t="shared" si="21"/>
        <v>0</v>
      </c>
      <c r="F141" s="76">
        <f>'Прайс для расчета'!E126</f>
        <v>157.5</v>
      </c>
      <c r="G141" s="77">
        <f t="shared" si="22"/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3">
      <c r="B142" s="72"/>
      <c r="C142" s="78" t="s">
        <v>1019</v>
      </c>
      <c r="D142" s="74" t="s">
        <v>2</v>
      </c>
      <c r="E142" s="75">
        <f t="shared" si="21"/>
        <v>0</v>
      </c>
      <c r="F142" s="76">
        <f>'Прайс для расчета'!E127</f>
        <v>114.45</v>
      </c>
      <c r="G142" s="77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3">
      <c r="B143" s="72"/>
      <c r="C143" s="78" t="s">
        <v>1034</v>
      </c>
      <c r="D143" s="74" t="s">
        <v>2</v>
      </c>
      <c r="E143" s="75">
        <f t="shared" si="21"/>
        <v>0</v>
      </c>
      <c r="F143" s="76">
        <f>'Прайс для расчета'!E128</f>
        <v>0</v>
      </c>
      <c r="G143" s="77">
        <f t="shared" ref="G143" si="24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72"/>
      <c r="C144" s="69" t="s">
        <v>930</v>
      </c>
      <c r="D144" s="74" t="s">
        <v>2</v>
      </c>
      <c r="E144" s="75">
        <f t="shared" si="21"/>
        <v>0</v>
      </c>
      <c r="F144" s="76">
        <f>'Прайс для расчета'!E129</f>
        <v>576.45000000000005</v>
      </c>
      <c r="G144" s="77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3">
      <c r="B145" s="72"/>
      <c r="C145" s="69" t="s">
        <v>931</v>
      </c>
      <c r="D145" s="74" t="s">
        <v>2</v>
      </c>
      <c r="E145" s="75">
        <f t="shared" si="21"/>
        <v>0</v>
      </c>
      <c r="F145" s="76">
        <f>'Прайс для расчета'!E130</f>
        <v>681.45</v>
      </c>
      <c r="G145" s="77">
        <f t="shared" si="22"/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3">
      <c r="B146" s="72"/>
      <c r="C146" s="69" t="s">
        <v>932</v>
      </c>
      <c r="D146" s="74" t="s">
        <v>2</v>
      </c>
      <c r="E146" s="75">
        <f t="shared" si="21"/>
        <v>0</v>
      </c>
      <c r="F146" s="76">
        <f>'Прайс для расчета'!E131</f>
        <v>891.45</v>
      </c>
      <c r="G146" s="77">
        <f t="shared" si="22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3">
      <c r="B147" s="72"/>
      <c r="C147" s="69" t="s">
        <v>357</v>
      </c>
      <c r="D147" s="74" t="s">
        <v>2</v>
      </c>
      <c r="E147" s="75">
        <f t="shared" si="21"/>
        <v>0</v>
      </c>
      <c r="F147" s="76">
        <f>'Прайс для расчета'!E132</f>
        <v>996.45</v>
      </c>
      <c r="G147" s="77">
        <f t="shared" si="22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3">
      <c r="B148" s="72"/>
      <c r="C148" s="69" t="s">
        <v>1127</v>
      </c>
      <c r="D148" s="74" t="s">
        <v>2</v>
      </c>
      <c r="E148" s="75">
        <f t="shared" si="21"/>
        <v>0</v>
      </c>
      <c r="F148" s="76">
        <f>'Прайс для расчета'!E133</f>
        <v>1101.45</v>
      </c>
      <c r="G148" s="77">
        <f t="shared" si="22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3">
      <c r="B149" s="72"/>
      <c r="C149" s="78" t="s">
        <v>151</v>
      </c>
      <c r="D149" s="74" t="s">
        <v>2</v>
      </c>
      <c r="E149" s="75">
        <f t="shared" si="21"/>
        <v>0</v>
      </c>
      <c r="F149" s="76">
        <f>'Прайс для расчета'!E134</f>
        <v>271.95</v>
      </c>
      <c r="G149" s="77">
        <f t="shared" si="22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3">
      <c r="B150" s="72"/>
      <c r="C150" s="78" t="s">
        <v>499</v>
      </c>
      <c r="D150" s="74" t="s">
        <v>2</v>
      </c>
      <c r="E150" s="75">
        <f t="shared" si="21"/>
        <v>0</v>
      </c>
      <c r="F150" s="76">
        <f>'Прайс для расчета'!E135</f>
        <v>262.5</v>
      </c>
      <c r="G150" s="77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3">
      <c r="B151" s="72"/>
      <c r="C151" s="78" t="s">
        <v>500</v>
      </c>
      <c r="D151" s="74" t="s">
        <v>3</v>
      </c>
      <c r="E151" s="62">
        <f>$A$2</f>
        <v>0</v>
      </c>
      <c r="F151" s="76">
        <f>'Прайс для расчета'!E136</f>
        <v>250.95000000000002</v>
      </c>
      <c r="G151" s="77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3">
      <c r="B152" s="72"/>
      <c r="C152" s="78" t="s">
        <v>1024</v>
      </c>
      <c r="D152" s="74" t="s">
        <v>2</v>
      </c>
      <c r="E152" s="75">
        <f t="shared" si="21"/>
        <v>0</v>
      </c>
      <c r="F152" s="76">
        <f>'Прайс для расчета'!E137</f>
        <v>204.75</v>
      </c>
      <c r="G152" s="77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3">
      <c r="B153" s="72"/>
      <c r="C153" s="78" t="s">
        <v>359</v>
      </c>
      <c r="D153" s="74" t="s">
        <v>2</v>
      </c>
      <c r="E153" s="75">
        <f t="shared" si="21"/>
        <v>0</v>
      </c>
      <c r="F153" s="76">
        <f>'Прайс для расчета'!E138</f>
        <v>299.25</v>
      </c>
      <c r="G153" s="77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3">
      <c r="B154" s="72"/>
      <c r="C154" s="78" t="s">
        <v>360</v>
      </c>
      <c r="D154" s="74" t="s">
        <v>2</v>
      </c>
      <c r="E154" s="75">
        <f t="shared" si="21"/>
        <v>0</v>
      </c>
      <c r="F154" s="76">
        <f>'Прайс для расчета'!E139</f>
        <v>104.36999999999999</v>
      </c>
      <c r="G154" s="77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3">
      <c r="B155" s="72"/>
      <c r="C155" s="78" t="s">
        <v>361</v>
      </c>
      <c r="D155" s="74" t="s">
        <v>2</v>
      </c>
      <c r="E155" s="75">
        <f t="shared" si="21"/>
        <v>0</v>
      </c>
      <c r="F155" s="76">
        <f>'Прайс для расчета'!E140</f>
        <v>498.75</v>
      </c>
      <c r="G155" s="77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3">
      <c r="B156" s="72"/>
      <c r="C156" s="78" t="s">
        <v>501</v>
      </c>
      <c r="D156" s="74" t="s">
        <v>2</v>
      </c>
      <c r="E156" s="75">
        <f t="shared" si="21"/>
        <v>0</v>
      </c>
      <c r="F156" s="76">
        <f>'Прайс для расчета'!E141</f>
        <v>460.95000000000005</v>
      </c>
      <c r="G156" s="77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3">
      <c r="B157" s="72"/>
      <c r="C157" s="78" t="s">
        <v>362</v>
      </c>
      <c r="D157" s="74" t="s">
        <v>2</v>
      </c>
      <c r="E157" s="75">
        <f t="shared" si="21"/>
        <v>0</v>
      </c>
      <c r="F157" s="76">
        <f>'Прайс для расчета'!E142</f>
        <v>1942.5</v>
      </c>
      <c r="G157" s="77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3">
      <c r="B158" s="72"/>
      <c r="C158" s="78" t="s">
        <v>227</v>
      </c>
      <c r="D158" s="74" t="s">
        <v>2</v>
      </c>
      <c r="E158" s="75">
        <f t="shared" si="21"/>
        <v>0</v>
      </c>
      <c r="F158" s="76">
        <f>'Прайс для расчета'!E143</f>
        <v>362.25</v>
      </c>
      <c r="G158" s="77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3">
      <c r="B159" s="72"/>
      <c r="C159" s="78" t="s">
        <v>224</v>
      </c>
      <c r="D159" s="74" t="s">
        <v>2</v>
      </c>
      <c r="E159" s="75">
        <f t="shared" si="21"/>
        <v>0</v>
      </c>
      <c r="F159" s="76">
        <f>'Прайс для расчета'!E144</f>
        <v>271.95</v>
      </c>
      <c r="G159" s="77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3">
      <c r="B160" s="72"/>
      <c r="C160" s="78" t="s">
        <v>1025</v>
      </c>
      <c r="D160" s="74" t="s">
        <v>2</v>
      </c>
      <c r="E160" s="75">
        <f t="shared" si="21"/>
        <v>0</v>
      </c>
      <c r="F160" s="76">
        <f>'Прайс для расчета'!E145</f>
        <v>509.25</v>
      </c>
      <c r="G160" s="77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3">
      <c r="B161" s="72"/>
      <c r="C161" s="78" t="s">
        <v>363</v>
      </c>
      <c r="D161" s="74" t="s">
        <v>3</v>
      </c>
      <c r="E161" s="75">
        <f t="shared" si="21"/>
        <v>0</v>
      </c>
      <c r="F161" s="76">
        <f>'Прайс для расчета'!E146</f>
        <v>472.5</v>
      </c>
      <c r="G161" s="77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3">
      <c r="B162" s="72"/>
      <c r="C162" s="78" t="s">
        <v>364</v>
      </c>
      <c r="D162" s="74" t="s">
        <v>2</v>
      </c>
      <c r="E162" s="75">
        <f t="shared" si="21"/>
        <v>0</v>
      </c>
      <c r="F162" s="76">
        <f>'Прайс для расчета'!E147</f>
        <v>404.06100000000004</v>
      </c>
      <c r="G162" s="77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3">
      <c r="B163" s="72"/>
      <c r="C163" s="78" t="s">
        <v>365</v>
      </c>
      <c r="D163" s="74" t="s">
        <v>2</v>
      </c>
      <c r="E163" s="75">
        <f t="shared" si="21"/>
        <v>0</v>
      </c>
      <c r="F163" s="76">
        <f>'Прайс для расчета'!E148</f>
        <v>304.5</v>
      </c>
      <c r="G163" s="77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3">
      <c r="B164" s="72"/>
      <c r="C164" s="78" t="s">
        <v>366</v>
      </c>
      <c r="D164" s="74" t="s">
        <v>2</v>
      </c>
      <c r="E164" s="75">
        <f t="shared" si="21"/>
        <v>0</v>
      </c>
      <c r="F164" s="76">
        <f>'Прайс для расчета'!E149</f>
        <v>472.5</v>
      </c>
      <c r="G164" s="77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3">
      <c r="B165" s="72">
        <f>IF(SUM(B166:B208)&gt;0,1,0)</f>
        <v>0</v>
      </c>
      <c r="C165" s="73" t="s">
        <v>878</v>
      </c>
      <c r="D165" s="74"/>
      <c r="E165" s="75"/>
      <c r="F165" s="76"/>
      <c r="G165" s="77"/>
    </row>
    <row r="166" spans="2:10" ht="15.6" x14ac:dyDescent="0.3">
      <c r="B166" s="72"/>
      <c r="C166" s="78" t="s">
        <v>1020</v>
      </c>
      <c r="D166" s="74" t="s">
        <v>2</v>
      </c>
      <c r="E166" s="75" t="e">
        <f t="shared" ref="E166:E182" si="25">$A$6</f>
        <v>#REF!</v>
      </c>
      <c r="F166" s="76">
        <f>'Прайс для расчета'!E150</f>
        <v>124.95</v>
      </c>
      <c r="G166" s="77" t="e">
        <f t="shared" ref="G166:G208" si="26">F166*E166</f>
        <v>#REF!</v>
      </c>
      <c r="I166" s="135">
        <f>'Прайс для расчета (М)'!E150</f>
        <v>62.475000000000001</v>
      </c>
      <c r="J166" s="36" t="e">
        <f t="shared" ref="J166:J208" si="27">I166*E166</f>
        <v>#REF!</v>
      </c>
    </row>
    <row r="167" spans="2:10" ht="15.6" x14ac:dyDescent="0.3">
      <c r="B167" s="72"/>
      <c r="C167" s="69" t="s">
        <v>1107</v>
      </c>
      <c r="D167" s="74" t="s">
        <v>2</v>
      </c>
      <c r="E167" s="75" t="e">
        <f t="shared" si="25"/>
        <v>#REF!</v>
      </c>
      <c r="F167" s="76">
        <f>'Прайс для расчета'!E151</f>
        <v>892.5</v>
      </c>
      <c r="G167" s="77" t="e">
        <f t="shared" ref="G167" si="28">F167*E167</f>
        <v>#REF!</v>
      </c>
      <c r="I167" s="135">
        <f>'Прайс для расчета (М)'!E151</f>
        <v>446.25</v>
      </c>
      <c r="J167" s="36" t="e">
        <f t="shared" si="27"/>
        <v>#REF!</v>
      </c>
    </row>
    <row r="168" spans="2:10" ht="15.6" x14ac:dyDescent="0.3">
      <c r="B168" s="72"/>
      <c r="C168" s="69" t="s">
        <v>1108</v>
      </c>
      <c r="D168" s="74" t="s">
        <v>2</v>
      </c>
      <c r="E168" s="75" t="e">
        <f t="shared" si="25"/>
        <v>#REF!</v>
      </c>
      <c r="F168" s="76">
        <f>'Прайс для расчета'!E152</f>
        <v>1207.5</v>
      </c>
      <c r="G168" s="77" t="e">
        <f t="shared" si="26"/>
        <v>#REF!</v>
      </c>
      <c r="I168" s="135">
        <f>'Прайс для расчета (М)'!E152</f>
        <v>603.75</v>
      </c>
      <c r="J168" s="36" t="e">
        <f t="shared" si="27"/>
        <v>#REF!</v>
      </c>
    </row>
    <row r="169" spans="2:10" ht="15.6" x14ac:dyDescent="0.3">
      <c r="B169" s="72"/>
      <c r="C169" s="69" t="s">
        <v>1109</v>
      </c>
      <c r="D169" s="74" t="s">
        <v>2</v>
      </c>
      <c r="E169" s="75" t="e">
        <f t="shared" si="25"/>
        <v>#REF!</v>
      </c>
      <c r="F169" s="76">
        <f>'Прайс для расчета'!E153</f>
        <v>624.75</v>
      </c>
      <c r="G169" s="77" t="e">
        <f t="shared" si="26"/>
        <v>#REF!</v>
      </c>
      <c r="I169" s="135">
        <f>'Прайс для расчета (М)'!E153</f>
        <v>312.375</v>
      </c>
      <c r="J169" s="36" t="e">
        <f t="shared" si="27"/>
        <v>#REF!</v>
      </c>
    </row>
    <row r="170" spans="2:10" ht="15.6" x14ac:dyDescent="0.3">
      <c r="B170" s="72"/>
      <c r="C170" s="69" t="s">
        <v>1110</v>
      </c>
      <c r="D170" s="74" t="s">
        <v>2</v>
      </c>
      <c r="E170" s="75" t="e">
        <f t="shared" si="25"/>
        <v>#REF!</v>
      </c>
      <c r="F170" s="76">
        <f>'Прайс для расчета'!E154</f>
        <v>729.75</v>
      </c>
      <c r="G170" s="77" t="e">
        <f t="shared" si="26"/>
        <v>#REF!</v>
      </c>
      <c r="I170" s="135">
        <f>'Прайс для расчета (М)'!E154</f>
        <v>364.875</v>
      </c>
      <c r="J170" s="36" t="e">
        <f t="shared" si="27"/>
        <v>#REF!</v>
      </c>
    </row>
    <row r="171" spans="2:10" ht="15.6" x14ac:dyDescent="0.3">
      <c r="B171" s="72"/>
      <c r="C171" s="69" t="s">
        <v>1115</v>
      </c>
      <c r="D171" s="74" t="s">
        <v>2</v>
      </c>
      <c r="E171" s="75" t="e">
        <f t="shared" si="25"/>
        <v>#REF!</v>
      </c>
      <c r="F171" s="76">
        <f>'Прайс для расчета'!E155</f>
        <v>943.95</v>
      </c>
      <c r="G171" s="77" t="e">
        <f t="shared" si="26"/>
        <v>#REF!</v>
      </c>
      <c r="I171" s="135">
        <f>'Прайс для расчета (М)'!E155</f>
        <v>471.97500000000002</v>
      </c>
      <c r="J171" s="36" t="e">
        <f t="shared" si="27"/>
        <v>#REF!</v>
      </c>
    </row>
    <row r="172" spans="2:10" ht="15.6" x14ac:dyDescent="0.3">
      <c r="B172" s="72"/>
      <c r="C172" s="78" t="s">
        <v>1028</v>
      </c>
      <c r="D172" s="74" t="s">
        <v>2</v>
      </c>
      <c r="E172" s="75" t="e">
        <f t="shared" si="25"/>
        <v>#REF!</v>
      </c>
      <c r="F172" s="76">
        <f>'Прайс для расчета'!E156</f>
        <v>787.5</v>
      </c>
      <c r="G172" s="77" t="e">
        <f t="shared" si="26"/>
        <v>#REF!</v>
      </c>
      <c r="I172" s="135">
        <f>'Прайс для расчета (М)'!E156</f>
        <v>393.75</v>
      </c>
      <c r="J172" s="36" t="e">
        <f t="shared" si="27"/>
        <v>#REF!</v>
      </c>
    </row>
    <row r="173" spans="2:10" ht="15.6" x14ac:dyDescent="0.3">
      <c r="B173" s="72"/>
      <c r="C173" s="78" t="s">
        <v>1029</v>
      </c>
      <c r="D173" s="74" t="s">
        <v>3</v>
      </c>
      <c r="E173" s="75" t="e">
        <f t="shared" si="25"/>
        <v>#REF!</v>
      </c>
      <c r="F173" s="76">
        <f>'Прайс для расчета'!E157</f>
        <v>651</v>
      </c>
      <c r="G173" s="77" t="e">
        <f t="shared" si="26"/>
        <v>#REF!</v>
      </c>
      <c r="I173" s="135">
        <f>'Прайс для расчета (М)'!E157</f>
        <v>325.5</v>
      </c>
      <c r="J173" s="36" t="e">
        <f t="shared" si="27"/>
        <v>#REF!</v>
      </c>
    </row>
    <row r="174" spans="2:10" ht="15.6" x14ac:dyDescent="0.3">
      <c r="B174" s="72"/>
      <c r="C174" s="78" t="s">
        <v>674</v>
      </c>
      <c r="D174" s="74" t="s">
        <v>2</v>
      </c>
      <c r="E174" s="75" t="e">
        <f t="shared" si="25"/>
        <v>#REF!</v>
      </c>
      <c r="F174" s="76">
        <f>'Прайс для расчета'!E158</f>
        <v>267.75</v>
      </c>
      <c r="G174" s="77" t="e">
        <f t="shared" si="26"/>
        <v>#REF!</v>
      </c>
      <c r="I174" s="135">
        <f>'Прайс для расчета (М)'!E158</f>
        <v>133.875</v>
      </c>
      <c r="J174" s="36" t="e">
        <f t="shared" si="27"/>
        <v>#REF!</v>
      </c>
    </row>
    <row r="175" spans="2:10" ht="15.6" x14ac:dyDescent="0.3">
      <c r="B175" s="72"/>
      <c r="C175" s="200" t="s">
        <v>1007</v>
      </c>
      <c r="D175" s="74" t="s">
        <v>2</v>
      </c>
      <c r="E175" s="75" t="e">
        <f t="shared" si="25"/>
        <v>#REF!</v>
      </c>
      <c r="F175" s="76">
        <f>'Прайс для расчета'!E159</f>
        <v>2992.5</v>
      </c>
      <c r="G175" s="77" t="e">
        <f t="shared" si="26"/>
        <v>#REF!</v>
      </c>
      <c r="I175" s="135">
        <f>'Прайс для расчета (М)'!E159</f>
        <v>1496.25</v>
      </c>
      <c r="J175" s="36" t="e">
        <f t="shared" si="27"/>
        <v>#REF!</v>
      </c>
    </row>
    <row r="176" spans="2:10" ht="15.6" x14ac:dyDescent="0.3">
      <c r="B176" s="72"/>
      <c r="C176" s="69" t="s">
        <v>1021</v>
      </c>
      <c r="D176" s="74" t="s">
        <v>2</v>
      </c>
      <c r="E176" s="75" t="e">
        <f t="shared" si="25"/>
        <v>#REF!</v>
      </c>
      <c r="F176" s="76">
        <f>'Прайс для расчета'!E160</f>
        <v>94.5</v>
      </c>
      <c r="G176" s="77" t="e">
        <f t="shared" si="26"/>
        <v>#REF!</v>
      </c>
      <c r="I176" s="135">
        <f>'Прайс для расчета (М)'!E160</f>
        <v>47.25</v>
      </c>
      <c r="J176" s="36" t="e">
        <f t="shared" si="27"/>
        <v>#REF!</v>
      </c>
    </row>
    <row r="177" spans="2:10" ht="15.6" x14ac:dyDescent="0.3">
      <c r="B177" s="72"/>
      <c r="C177" s="69" t="s">
        <v>1125</v>
      </c>
      <c r="D177" s="74" t="s">
        <v>2</v>
      </c>
      <c r="E177" s="75" t="e">
        <f t="shared" si="25"/>
        <v>#REF!</v>
      </c>
      <c r="F177" s="76">
        <f>'Прайс для расчета'!E161</f>
        <v>157.5</v>
      </c>
      <c r="G177" s="77" t="e">
        <f t="shared" ref="G177" si="29">F177*E177</f>
        <v>#REF!</v>
      </c>
      <c r="I177" s="135">
        <f>'Прайс для расчета (М)'!E161</f>
        <v>78.75</v>
      </c>
      <c r="J177" s="36" t="e">
        <f t="shared" si="27"/>
        <v>#REF!</v>
      </c>
    </row>
    <row r="178" spans="2:10" ht="15.6" x14ac:dyDescent="0.3">
      <c r="B178" s="72"/>
      <c r="C178" s="69" t="s">
        <v>1126</v>
      </c>
      <c r="D178" s="74" t="s">
        <v>2</v>
      </c>
      <c r="E178" s="75" t="e">
        <f t="shared" si="25"/>
        <v>#REF!</v>
      </c>
      <c r="F178" s="76">
        <f>'Прайс для расчета'!E162</f>
        <v>519.75</v>
      </c>
      <c r="G178" s="77" t="e">
        <f t="shared" si="26"/>
        <v>#REF!</v>
      </c>
      <c r="I178" s="135">
        <f>'Прайс для расчета (М)'!E162</f>
        <v>259.875</v>
      </c>
      <c r="J178" s="36" t="e">
        <f t="shared" si="27"/>
        <v>#REF!</v>
      </c>
    </row>
    <row r="179" spans="2:10" ht="15.6" x14ac:dyDescent="0.3">
      <c r="B179" s="72"/>
      <c r="C179" s="69" t="s">
        <v>1119</v>
      </c>
      <c r="D179" s="74" t="s">
        <v>2</v>
      </c>
      <c r="E179" s="75" t="e">
        <f t="shared" si="25"/>
        <v>#REF!</v>
      </c>
      <c r="F179" s="76">
        <f>'Прайс для расчета'!E163</f>
        <v>687.75</v>
      </c>
      <c r="G179" s="77" t="e">
        <f t="shared" si="26"/>
        <v>#REF!</v>
      </c>
      <c r="I179" s="135">
        <f>'Прайс для расчета (М)'!E163</f>
        <v>343.875</v>
      </c>
      <c r="J179" s="36" t="e">
        <f t="shared" si="27"/>
        <v>#REF!</v>
      </c>
    </row>
    <row r="180" spans="2:10" ht="15.6" x14ac:dyDescent="0.3">
      <c r="B180" s="72"/>
      <c r="C180" s="69" t="s">
        <v>1121</v>
      </c>
      <c r="D180" s="74" t="s">
        <v>2</v>
      </c>
      <c r="E180" s="75" t="e">
        <f t="shared" si="25"/>
        <v>#REF!</v>
      </c>
      <c r="F180" s="76">
        <f>'Прайс для расчета'!E164</f>
        <v>420</v>
      </c>
      <c r="G180" s="77" t="e">
        <f t="shared" si="26"/>
        <v>#REF!</v>
      </c>
      <c r="I180" s="135">
        <f>'Прайс для расчета (М)'!E164</f>
        <v>210</v>
      </c>
      <c r="J180" s="36" t="e">
        <f t="shared" si="27"/>
        <v>#REF!</v>
      </c>
    </row>
    <row r="181" spans="2:10" ht="15.6" x14ac:dyDescent="0.3">
      <c r="B181" s="72"/>
      <c r="C181" s="69" t="s">
        <v>1122</v>
      </c>
      <c r="D181" s="74" t="s">
        <v>2</v>
      </c>
      <c r="E181" s="75" t="e">
        <f t="shared" si="25"/>
        <v>#REF!</v>
      </c>
      <c r="F181" s="76">
        <f>'Прайс для расчета'!E165</f>
        <v>829.5</v>
      </c>
      <c r="G181" s="77" t="e">
        <f t="shared" si="26"/>
        <v>#REF!</v>
      </c>
      <c r="I181" s="135">
        <f>'Прайс для расчета (М)'!E165</f>
        <v>414.75</v>
      </c>
      <c r="J181" s="36" t="e">
        <f t="shared" si="27"/>
        <v>#REF!</v>
      </c>
    </row>
    <row r="182" spans="2:10" ht="15.6" x14ac:dyDescent="0.3">
      <c r="B182" s="72"/>
      <c r="C182" s="69" t="s">
        <v>1120</v>
      </c>
      <c r="D182" s="74" t="s">
        <v>2</v>
      </c>
      <c r="E182" s="75" t="e">
        <f t="shared" si="25"/>
        <v>#REF!</v>
      </c>
      <c r="F182" s="76">
        <f>'Прайс для расчета'!E166</f>
        <v>204.75</v>
      </c>
      <c r="G182" s="77" t="e">
        <f t="shared" si="26"/>
        <v>#REF!</v>
      </c>
      <c r="I182" s="135">
        <f>'Прайс для расчета (М)'!E166</f>
        <v>102.375</v>
      </c>
      <c r="J182" s="36" t="e">
        <f t="shared" si="27"/>
        <v>#REF!</v>
      </c>
    </row>
    <row r="183" spans="2:10" ht="15.6" x14ac:dyDescent="0.3">
      <c r="B183" s="72"/>
      <c r="C183" s="69" t="s">
        <v>1105</v>
      </c>
      <c r="D183" s="74" t="s">
        <v>3</v>
      </c>
      <c r="E183" s="75">
        <v>1</v>
      </c>
      <c r="F183" s="76">
        <f>'Прайс для расчета'!E167</f>
        <v>157.5</v>
      </c>
      <c r="G183" s="77">
        <f t="shared" si="26"/>
        <v>157.5</v>
      </c>
      <c r="I183" s="135">
        <f>'Прайс для расчета (М)'!E167</f>
        <v>78.75</v>
      </c>
      <c r="J183" s="36">
        <f t="shared" si="27"/>
        <v>78.75</v>
      </c>
    </row>
    <row r="184" spans="2:10" ht="15.6" x14ac:dyDescent="0.3">
      <c r="B184" s="72"/>
      <c r="C184" s="69" t="s">
        <v>1106</v>
      </c>
      <c r="D184" s="74" t="s">
        <v>3</v>
      </c>
      <c r="E184" s="75">
        <v>1</v>
      </c>
      <c r="F184" s="76">
        <f>'Прайс для расчета'!E168</f>
        <v>157.5</v>
      </c>
      <c r="G184" s="77">
        <f t="shared" si="26"/>
        <v>157.5</v>
      </c>
      <c r="I184" s="135">
        <f>'Прайс для расчета (М)'!E168</f>
        <v>78.75</v>
      </c>
      <c r="J184" s="36">
        <f t="shared" si="27"/>
        <v>78.75</v>
      </c>
    </row>
    <row r="185" spans="2:10" ht="15.6" x14ac:dyDescent="0.3">
      <c r="B185" s="72"/>
      <c r="C185" s="69" t="s">
        <v>1117</v>
      </c>
      <c r="D185" s="74" t="s">
        <v>2</v>
      </c>
      <c r="E185" s="75" t="e">
        <f t="shared" ref="E185:E191" si="30">$A$6</f>
        <v>#REF!</v>
      </c>
      <c r="F185" s="76">
        <f>'Прайс для расчета'!E169</f>
        <v>204.75</v>
      </c>
      <c r="G185" s="77" t="e">
        <f t="shared" si="26"/>
        <v>#REF!</v>
      </c>
      <c r="I185" s="135">
        <f>'Прайс для расчета (М)'!E169</f>
        <v>102.375</v>
      </c>
      <c r="J185" s="36" t="e">
        <f t="shared" si="27"/>
        <v>#REF!</v>
      </c>
    </row>
    <row r="186" spans="2:10" ht="15.6" x14ac:dyDescent="0.3">
      <c r="B186" s="72"/>
      <c r="C186" s="69" t="s">
        <v>1116</v>
      </c>
      <c r="D186" s="74" t="s">
        <v>2</v>
      </c>
      <c r="E186" s="75" t="e">
        <f t="shared" si="30"/>
        <v>#REF!</v>
      </c>
      <c r="F186" s="76">
        <f>'Прайс для расчета'!E170</f>
        <v>204.75</v>
      </c>
      <c r="G186" s="77" t="e">
        <f t="shared" si="26"/>
        <v>#REF!</v>
      </c>
      <c r="I186" s="135">
        <f>'Прайс для расчета (М)'!E170</f>
        <v>102.375</v>
      </c>
      <c r="J186" s="36" t="e">
        <f t="shared" si="27"/>
        <v>#REF!</v>
      </c>
    </row>
    <row r="187" spans="2:10" ht="15.6" x14ac:dyDescent="0.3">
      <c r="B187" s="72"/>
      <c r="C187" s="78" t="s">
        <v>376</v>
      </c>
      <c r="D187" s="74" t="s">
        <v>2</v>
      </c>
      <c r="E187" s="75" t="e">
        <f t="shared" si="30"/>
        <v>#REF!</v>
      </c>
      <c r="F187" s="76">
        <f>'Прайс для расчета'!E171</f>
        <v>1559.586</v>
      </c>
      <c r="G187" s="77" t="e">
        <f t="shared" si="26"/>
        <v>#REF!</v>
      </c>
      <c r="I187" s="135">
        <f>'Прайс для расчета (М)'!E171</f>
        <v>779.79300000000001</v>
      </c>
      <c r="J187" s="36" t="e">
        <f t="shared" si="27"/>
        <v>#REF!</v>
      </c>
    </row>
    <row r="188" spans="2:10" ht="15.6" x14ac:dyDescent="0.3">
      <c r="B188" s="72"/>
      <c r="C188" s="78" t="s">
        <v>377</v>
      </c>
      <c r="D188" s="74" t="s">
        <v>2</v>
      </c>
      <c r="E188" s="75" t="e">
        <f t="shared" si="30"/>
        <v>#REF!</v>
      </c>
      <c r="F188" s="76">
        <f>'Прайс для расчета'!E172</f>
        <v>1616.2440000000001</v>
      </c>
      <c r="G188" s="77" t="e">
        <f t="shared" si="26"/>
        <v>#REF!</v>
      </c>
      <c r="I188" s="135">
        <f>'Прайс для расчета (М)'!E172</f>
        <v>808.12200000000007</v>
      </c>
      <c r="J188" s="36" t="e">
        <f t="shared" si="27"/>
        <v>#REF!</v>
      </c>
    </row>
    <row r="189" spans="2:10" ht="15.6" x14ac:dyDescent="0.3">
      <c r="B189" s="72"/>
      <c r="C189" s="78" t="s">
        <v>378</v>
      </c>
      <c r="D189" s="74" t="s">
        <v>2</v>
      </c>
      <c r="E189" s="75" t="e">
        <f t="shared" si="30"/>
        <v>#REF!</v>
      </c>
      <c r="F189" s="76">
        <f>'Прайс для расчета'!E173</f>
        <v>1131.6690000000001</v>
      </c>
      <c r="G189" s="77" t="e">
        <f t="shared" si="26"/>
        <v>#REF!</v>
      </c>
      <c r="I189" s="135">
        <f>'Прайс для расчета (М)'!E173</f>
        <v>565.83450000000005</v>
      </c>
      <c r="J189" s="36" t="e">
        <f t="shared" si="27"/>
        <v>#REF!</v>
      </c>
    </row>
    <row r="190" spans="2:10" ht="15.6" x14ac:dyDescent="0.3">
      <c r="B190" s="72"/>
      <c r="C190" s="78" t="s">
        <v>379</v>
      </c>
      <c r="D190" s="74" t="s">
        <v>2</v>
      </c>
      <c r="E190" s="75" t="e">
        <f t="shared" si="30"/>
        <v>#REF!</v>
      </c>
      <c r="F190" s="76">
        <f>'Прайс для расчета'!E174</f>
        <v>1191.309</v>
      </c>
      <c r="G190" s="77" t="e">
        <f t="shared" si="26"/>
        <v>#REF!</v>
      </c>
      <c r="I190" s="135">
        <f>'Прайс для расчета (М)'!E174</f>
        <v>595.65449999999998</v>
      </c>
      <c r="J190" s="36" t="e">
        <f t="shared" si="27"/>
        <v>#REF!</v>
      </c>
    </row>
    <row r="191" spans="2:10" ht="15.6" x14ac:dyDescent="0.3">
      <c r="B191" s="72"/>
      <c r="C191" s="78" t="s">
        <v>380</v>
      </c>
      <c r="D191" s="74" t="s">
        <v>2</v>
      </c>
      <c r="E191" s="75" t="e">
        <f t="shared" si="30"/>
        <v>#REF!</v>
      </c>
      <c r="F191" s="76">
        <f>'Прайс для расчета'!E175</f>
        <v>1265.8589999999999</v>
      </c>
      <c r="G191" s="77" t="e">
        <f t="shared" si="26"/>
        <v>#REF!</v>
      </c>
      <c r="I191" s="135">
        <f>'Прайс для расчета (М)'!E175</f>
        <v>632.92949999999996</v>
      </c>
      <c r="J191" s="36" t="e">
        <f t="shared" si="27"/>
        <v>#REF!</v>
      </c>
    </row>
    <row r="192" spans="2:10" ht="15.6" x14ac:dyDescent="0.3">
      <c r="B192" s="72"/>
      <c r="C192" s="78" t="s">
        <v>1044</v>
      </c>
      <c r="D192" s="74" t="s">
        <v>0</v>
      </c>
      <c r="E192" s="75">
        <v>1</v>
      </c>
      <c r="F192" s="76">
        <f>'Прайс для расчета'!E176</f>
        <v>1417.5</v>
      </c>
      <c r="G192" s="77">
        <f t="shared" si="26"/>
        <v>1417.5</v>
      </c>
      <c r="I192" s="135">
        <f>'Прайс для расчета (М)'!E176</f>
        <v>708.75</v>
      </c>
      <c r="J192" s="36">
        <f t="shared" si="27"/>
        <v>708.75</v>
      </c>
    </row>
    <row r="193" spans="2:10" ht="15.6" x14ac:dyDescent="0.3">
      <c r="B193" s="72"/>
      <c r="C193" s="78" t="s">
        <v>1047</v>
      </c>
      <c r="D193" s="74" t="s">
        <v>0</v>
      </c>
      <c r="E193" s="75">
        <v>1</v>
      </c>
      <c r="F193" s="76">
        <f>'Прайс для расчета'!E177</f>
        <v>1837.5</v>
      </c>
      <c r="G193" s="77">
        <f t="shared" si="26"/>
        <v>1837.5</v>
      </c>
      <c r="I193" s="135">
        <f>'Прайс для расчета (М)'!E177</f>
        <v>918.75</v>
      </c>
      <c r="J193" s="36">
        <f t="shared" si="27"/>
        <v>918.75</v>
      </c>
    </row>
    <row r="194" spans="2:10" ht="15.6" x14ac:dyDescent="0.3">
      <c r="B194" s="72"/>
      <c r="C194" s="78" t="s">
        <v>381</v>
      </c>
      <c r="D194" s="74" t="s">
        <v>3</v>
      </c>
      <c r="E194" s="75">
        <v>1</v>
      </c>
      <c r="F194" s="76">
        <f>'Прайс для расчета'!E178</f>
        <v>183.75</v>
      </c>
      <c r="G194" s="77">
        <f t="shared" si="26"/>
        <v>183.75</v>
      </c>
      <c r="I194" s="135">
        <f>'Прайс для расчета (М)'!E178</f>
        <v>91.875</v>
      </c>
      <c r="J194" s="36">
        <f t="shared" si="27"/>
        <v>91.875</v>
      </c>
    </row>
    <row r="195" spans="2:10" ht="15.6" x14ac:dyDescent="0.3">
      <c r="B195" s="72"/>
      <c r="C195" s="78" t="s">
        <v>382</v>
      </c>
      <c r="D195" s="74" t="s">
        <v>3</v>
      </c>
      <c r="E195" s="75">
        <v>1</v>
      </c>
      <c r="F195" s="76">
        <f>'Прайс для расчета'!E179</f>
        <v>367.5</v>
      </c>
      <c r="G195" s="77">
        <f t="shared" si="26"/>
        <v>367.5</v>
      </c>
      <c r="I195" s="135">
        <f>'Прайс для расчета (М)'!E179</f>
        <v>183.75</v>
      </c>
      <c r="J195" s="36">
        <f t="shared" si="27"/>
        <v>183.75</v>
      </c>
    </row>
    <row r="196" spans="2:10" ht="15.6" x14ac:dyDescent="0.3">
      <c r="B196" s="72"/>
      <c r="C196" s="78" t="s">
        <v>508</v>
      </c>
      <c r="D196" s="74" t="s">
        <v>2</v>
      </c>
      <c r="E196" s="75" t="e">
        <f t="shared" ref="E196:E201" si="31">$A$6</f>
        <v>#REF!</v>
      </c>
      <c r="F196" s="76">
        <f>'Прайс для расчета'!E180</f>
        <v>481.95000000000005</v>
      </c>
      <c r="G196" s="77" t="e">
        <f t="shared" si="26"/>
        <v>#REF!</v>
      </c>
      <c r="I196" s="135">
        <f>'Прайс для расчета (М)'!E180</f>
        <v>240.97500000000002</v>
      </c>
      <c r="J196" s="36" t="e">
        <f t="shared" si="27"/>
        <v>#REF!</v>
      </c>
    </row>
    <row r="197" spans="2:10" ht="15.6" x14ac:dyDescent="0.3">
      <c r="B197" s="72"/>
      <c r="C197" s="78" t="s">
        <v>383</v>
      </c>
      <c r="D197" s="74" t="s">
        <v>2</v>
      </c>
      <c r="E197" s="75" t="e">
        <f t="shared" si="31"/>
        <v>#REF!</v>
      </c>
      <c r="F197" s="76">
        <f>'Прайс для расчета'!E181</f>
        <v>1506.75</v>
      </c>
      <c r="G197" s="77" t="e">
        <f t="shared" si="26"/>
        <v>#REF!</v>
      </c>
      <c r="I197" s="135">
        <f>'Прайс для расчета (М)'!E181</f>
        <v>753.375</v>
      </c>
      <c r="J197" s="36" t="e">
        <f t="shared" si="27"/>
        <v>#REF!</v>
      </c>
    </row>
    <row r="198" spans="2:10" ht="15.6" x14ac:dyDescent="0.3">
      <c r="B198" s="72"/>
      <c r="C198" s="78" t="s">
        <v>384</v>
      </c>
      <c r="D198" s="74" t="s">
        <v>2</v>
      </c>
      <c r="E198" s="75" t="e">
        <f t="shared" si="31"/>
        <v>#REF!</v>
      </c>
      <c r="F198" s="76">
        <f>'Прайс для расчета'!E182</f>
        <v>1821.75</v>
      </c>
      <c r="G198" s="77" t="e">
        <f t="shared" si="26"/>
        <v>#REF!</v>
      </c>
      <c r="I198" s="135">
        <f>'Прайс для расчета (М)'!E182</f>
        <v>910.875</v>
      </c>
      <c r="J198" s="36" t="e">
        <f t="shared" si="27"/>
        <v>#REF!</v>
      </c>
    </row>
    <row r="199" spans="2:10" ht="15.6" x14ac:dyDescent="0.3">
      <c r="B199" s="72"/>
      <c r="C199" s="78" t="s">
        <v>385</v>
      </c>
      <c r="D199" s="74" t="s">
        <v>2</v>
      </c>
      <c r="E199" s="75" t="e">
        <f t="shared" si="31"/>
        <v>#REF!</v>
      </c>
      <c r="F199" s="76">
        <f>'Прайс для расчета'!E183</f>
        <v>1149.75</v>
      </c>
      <c r="G199" s="77" t="e">
        <f t="shared" si="26"/>
        <v>#REF!</v>
      </c>
      <c r="I199" s="135">
        <f>'Прайс для расчета (М)'!E183</f>
        <v>574.875</v>
      </c>
      <c r="J199" s="36" t="e">
        <f t="shared" si="27"/>
        <v>#REF!</v>
      </c>
    </row>
    <row r="200" spans="2:10" ht="15.6" x14ac:dyDescent="0.3">
      <c r="B200" s="72"/>
      <c r="C200" s="78" t="s">
        <v>509</v>
      </c>
      <c r="D200" s="74" t="s">
        <v>2</v>
      </c>
      <c r="E200" s="75" t="e">
        <f t="shared" si="31"/>
        <v>#REF!</v>
      </c>
      <c r="F200" s="76">
        <f>'Прайс для расчета'!E184</f>
        <v>1527.75</v>
      </c>
      <c r="G200" s="77" t="e">
        <f t="shared" si="26"/>
        <v>#REF!</v>
      </c>
      <c r="I200" s="135">
        <f>'Прайс для расчета (М)'!E184</f>
        <v>763.875</v>
      </c>
      <c r="J200" s="36" t="e">
        <f t="shared" si="27"/>
        <v>#REF!</v>
      </c>
    </row>
    <row r="201" spans="2:10" ht="15.6" x14ac:dyDescent="0.3">
      <c r="B201" s="72"/>
      <c r="C201" s="78" t="s">
        <v>510</v>
      </c>
      <c r="D201" s="74" t="s">
        <v>2</v>
      </c>
      <c r="E201" s="75" t="e">
        <f t="shared" si="31"/>
        <v>#REF!</v>
      </c>
      <c r="F201" s="76">
        <f>'Прайс для расчета'!E185</f>
        <v>1737.75</v>
      </c>
      <c r="G201" s="77" t="e">
        <f t="shared" si="26"/>
        <v>#REF!</v>
      </c>
      <c r="I201" s="135">
        <f>'Прайс для расчета (М)'!E185</f>
        <v>868.875</v>
      </c>
      <c r="J201" s="36" t="e">
        <f t="shared" si="27"/>
        <v>#REF!</v>
      </c>
    </row>
    <row r="202" spans="2:10" ht="15.6" x14ac:dyDescent="0.3">
      <c r="B202" s="72"/>
      <c r="C202" s="78" t="s">
        <v>43</v>
      </c>
      <c r="D202" s="74" t="s">
        <v>3</v>
      </c>
      <c r="E202" s="75" t="e">
        <f>ROUND(A6*1.25,0)</f>
        <v>#REF!</v>
      </c>
      <c r="F202" s="76">
        <f>'Прайс для расчета'!E186</f>
        <v>194.25</v>
      </c>
      <c r="G202" s="77" t="e">
        <f t="shared" si="26"/>
        <v>#REF!</v>
      </c>
      <c r="I202" s="135">
        <f>'Прайс для расчета (М)'!E186</f>
        <v>97.125</v>
      </c>
      <c r="J202" s="36" t="e">
        <f t="shared" si="27"/>
        <v>#REF!</v>
      </c>
    </row>
    <row r="203" spans="2:10" ht="15.6" x14ac:dyDescent="0.3">
      <c r="B203" s="72"/>
      <c r="C203" s="78" t="s">
        <v>386</v>
      </c>
      <c r="D203" s="74" t="s">
        <v>646</v>
      </c>
      <c r="E203" s="75">
        <v>1</v>
      </c>
      <c r="F203" s="76">
        <f>'Прайс для расчета'!E187</f>
        <v>2089.5</v>
      </c>
      <c r="G203" s="77">
        <f t="shared" si="26"/>
        <v>2089.5</v>
      </c>
      <c r="I203" s="135">
        <f>'Прайс для расчета (М)'!E187</f>
        <v>1044.75</v>
      </c>
      <c r="J203" s="36">
        <f t="shared" si="27"/>
        <v>1044.75</v>
      </c>
    </row>
    <row r="204" spans="2:10" ht="15.6" x14ac:dyDescent="0.3">
      <c r="B204" s="72"/>
      <c r="C204" s="78" t="s">
        <v>387</v>
      </c>
      <c r="D204" s="74" t="s">
        <v>2</v>
      </c>
      <c r="E204" s="75">
        <v>1</v>
      </c>
      <c r="F204" s="76">
        <f>'Прайс для расчета'!E188</f>
        <v>3097.5</v>
      </c>
      <c r="G204" s="77">
        <f t="shared" si="26"/>
        <v>3097.5</v>
      </c>
      <c r="I204" s="135">
        <f>'Прайс для расчета (М)'!E188</f>
        <v>1548.75</v>
      </c>
      <c r="J204" s="36">
        <f t="shared" si="27"/>
        <v>1548.75</v>
      </c>
    </row>
    <row r="205" spans="2:10" ht="15.6" x14ac:dyDescent="0.3">
      <c r="B205" s="72"/>
      <c r="C205" s="78" t="s">
        <v>388</v>
      </c>
      <c r="D205" s="74" t="s">
        <v>0</v>
      </c>
      <c r="E205" s="75">
        <v>1</v>
      </c>
      <c r="F205" s="76">
        <f>'Прайс для расчета'!E189</f>
        <v>2992.5</v>
      </c>
      <c r="G205" s="77">
        <f t="shared" si="26"/>
        <v>2992.5</v>
      </c>
      <c r="I205" s="135">
        <f>'Прайс для расчета (М)'!E189</f>
        <v>1496.25</v>
      </c>
      <c r="J205" s="36">
        <f t="shared" si="27"/>
        <v>1496.25</v>
      </c>
    </row>
    <row r="206" spans="2:10" ht="15.6" x14ac:dyDescent="0.3">
      <c r="B206" s="72"/>
      <c r="C206" s="78" t="s">
        <v>230</v>
      </c>
      <c r="D206" s="74" t="s">
        <v>2</v>
      </c>
      <c r="E206" s="75" t="e">
        <f>$A$6</f>
        <v>#REF!</v>
      </c>
      <c r="F206" s="76">
        <f>'Прайс для расчета'!E190</f>
        <v>404.06100000000004</v>
      </c>
      <c r="G206" s="77" t="e">
        <f t="shared" si="26"/>
        <v>#REF!</v>
      </c>
      <c r="I206" s="135">
        <f>'Прайс для расчета (М)'!E190</f>
        <v>202.03050000000002</v>
      </c>
      <c r="J206" s="36" t="e">
        <f t="shared" si="27"/>
        <v>#REF!</v>
      </c>
    </row>
    <row r="207" spans="2:10" ht="15.6" x14ac:dyDescent="0.3">
      <c r="B207" s="72"/>
      <c r="C207" s="78" t="s">
        <v>225</v>
      </c>
      <c r="D207" s="74" t="s">
        <v>2</v>
      </c>
      <c r="E207" s="75" t="e">
        <f>$A$6</f>
        <v>#REF!</v>
      </c>
      <c r="F207" s="76">
        <f>'Прайс для расчета'!E191</f>
        <v>282.45</v>
      </c>
      <c r="G207" s="77" t="e">
        <f t="shared" si="26"/>
        <v>#REF!</v>
      </c>
      <c r="I207" s="135">
        <f>'Прайс для расчета (М)'!E191</f>
        <v>141.22499999999999</v>
      </c>
      <c r="J207" s="36" t="e">
        <f t="shared" si="27"/>
        <v>#REF!</v>
      </c>
    </row>
    <row r="208" spans="2:10" ht="15.6" x14ac:dyDescent="0.3">
      <c r="B208" s="72"/>
      <c r="C208" s="78" t="s">
        <v>1026</v>
      </c>
      <c r="D208" s="74" t="s">
        <v>2</v>
      </c>
      <c r="E208" s="75" t="e">
        <f>$A$6</f>
        <v>#REF!</v>
      </c>
      <c r="F208" s="76">
        <f>'Прайс для расчета'!E192</f>
        <v>614.25</v>
      </c>
      <c r="G208" s="77" t="e">
        <f t="shared" si="26"/>
        <v>#REF!</v>
      </c>
      <c r="I208" s="135">
        <f>'Прайс для расчета (М)'!E192</f>
        <v>307.125</v>
      </c>
      <c r="J208" s="36" t="e">
        <f t="shared" si="27"/>
        <v>#REF!</v>
      </c>
    </row>
    <row r="209" spans="2:10" ht="15.6" x14ac:dyDescent="0.3">
      <c r="B209" s="72">
        <f>IF(SUM(B210:B218)&gt;0,1,0)</f>
        <v>0</v>
      </c>
      <c r="C209" s="73" t="s">
        <v>884</v>
      </c>
      <c r="D209" s="74"/>
      <c r="E209" s="75"/>
      <c r="F209" s="76"/>
      <c r="G209" s="77"/>
    </row>
    <row r="210" spans="2:10" ht="15.6" x14ac:dyDescent="0.3">
      <c r="B210" s="72"/>
      <c r="C210" s="78" t="s">
        <v>389</v>
      </c>
      <c r="D210" s="74" t="s">
        <v>3</v>
      </c>
      <c r="E210" s="75">
        <v>1</v>
      </c>
      <c r="F210" s="76">
        <f>'Прайс для расчета'!E193</f>
        <v>84</v>
      </c>
      <c r="G210" s="77">
        <f t="shared" ref="G210:G218" si="32">F210*E210</f>
        <v>84</v>
      </c>
      <c r="I210" s="135">
        <f>'Прайс для расчета (М)'!E193</f>
        <v>42</v>
      </c>
      <c r="J210" s="36">
        <f t="shared" ref="J210:J218" si="33">I210*E210</f>
        <v>42</v>
      </c>
    </row>
    <row r="211" spans="2:10" ht="15.6" x14ac:dyDescent="0.3">
      <c r="B211" s="72"/>
      <c r="C211" s="78" t="s">
        <v>390</v>
      </c>
      <c r="D211" s="74" t="s">
        <v>3</v>
      </c>
      <c r="E211" s="75">
        <f>E210</f>
        <v>1</v>
      </c>
      <c r="F211" s="76">
        <f>'Прайс для расчета'!E194</f>
        <v>787.5</v>
      </c>
      <c r="G211" s="77">
        <f t="shared" si="32"/>
        <v>787.5</v>
      </c>
      <c r="I211" s="135">
        <f>'Прайс для расчета (М)'!E194</f>
        <v>393.75</v>
      </c>
      <c r="J211" s="36">
        <f t="shared" si="33"/>
        <v>393.75</v>
      </c>
    </row>
    <row r="212" spans="2:10" ht="15.6" x14ac:dyDescent="0.3">
      <c r="B212" s="72"/>
      <c r="C212" s="78" t="s">
        <v>391</v>
      </c>
      <c r="D212" s="74" t="s">
        <v>3</v>
      </c>
      <c r="E212" s="75">
        <f>E210</f>
        <v>1</v>
      </c>
      <c r="F212" s="76">
        <f>'Прайс для расчета'!E195</f>
        <v>892.5</v>
      </c>
      <c r="G212" s="77">
        <f t="shared" si="32"/>
        <v>892.5</v>
      </c>
      <c r="I212" s="135">
        <f>'Прайс для расчета (М)'!E195</f>
        <v>446.25</v>
      </c>
      <c r="J212" s="36">
        <f t="shared" si="33"/>
        <v>446.25</v>
      </c>
    </row>
    <row r="213" spans="2:10" ht="15.6" x14ac:dyDescent="0.3">
      <c r="B213" s="72"/>
      <c r="C213" s="78" t="s">
        <v>392</v>
      </c>
      <c r="D213" s="74" t="s">
        <v>3</v>
      </c>
      <c r="E213" s="75">
        <f>E210</f>
        <v>1</v>
      </c>
      <c r="F213" s="76">
        <f>'Прайс для расчета'!E196</f>
        <v>997.5</v>
      </c>
      <c r="G213" s="77">
        <f t="shared" si="32"/>
        <v>997.5</v>
      </c>
      <c r="I213" s="135">
        <f>'Прайс для расчета (М)'!E196</f>
        <v>498.75</v>
      </c>
      <c r="J213" s="36">
        <f t="shared" si="33"/>
        <v>498.75</v>
      </c>
    </row>
    <row r="214" spans="2:10" ht="15.6" x14ac:dyDescent="0.3">
      <c r="B214" s="72"/>
      <c r="C214" s="78" t="s">
        <v>393</v>
      </c>
      <c r="D214" s="74" t="s">
        <v>3</v>
      </c>
      <c r="E214" s="75">
        <f>E210</f>
        <v>1</v>
      </c>
      <c r="F214" s="76">
        <f>'Прайс для расчета'!E197</f>
        <v>787.5</v>
      </c>
      <c r="G214" s="77">
        <f t="shared" si="32"/>
        <v>787.5</v>
      </c>
      <c r="I214" s="135">
        <f>'Прайс для расчета (М)'!E197</f>
        <v>393.75</v>
      </c>
      <c r="J214" s="36">
        <f t="shared" si="33"/>
        <v>393.75</v>
      </c>
    </row>
    <row r="215" spans="2:10" ht="15.6" x14ac:dyDescent="0.3">
      <c r="B215" s="72"/>
      <c r="C215" s="78" t="s">
        <v>52</v>
      </c>
      <c r="D215" s="74" t="s">
        <v>3</v>
      </c>
      <c r="E215" s="75">
        <f>E210</f>
        <v>1</v>
      </c>
      <c r="F215" s="76">
        <f>'Прайс для расчета'!E198</f>
        <v>204.75</v>
      </c>
      <c r="G215" s="77">
        <f t="shared" si="32"/>
        <v>204.75</v>
      </c>
      <c r="I215" s="135">
        <f>'Прайс для расчета (М)'!E198</f>
        <v>102.375</v>
      </c>
      <c r="J215" s="36">
        <f t="shared" si="33"/>
        <v>102.375</v>
      </c>
    </row>
    <row r="216" spans="2:10" ht="15.6" x14ac:dyDescent="0.3">
      <c r="B216" s="72"/>
      <c r="C216" s="78" t="s">
        <v>53</v>
      </c>
      <c r="D216" s="74" t="s">
        <v>3</v>
      </c>
      <c r="E216" s="75">
        <f>E210</f>
        <v>1</v>
      </c>
      <c r="F216" s="76">
        <f>'Прайс для расчета'!E199</f>
        <v>194.25</v>
      </c>
      <c r="G216" s="77">
        <f t="shared" si="32"/>
        <v>194.25</v>
      </c>
      <c r="I216" s="135">
        <f>'Прайс для расчета (М)'!E199</f>
        <v>97.125</v>
      </c>
      <c r="J216" s="36">
        <f t="shared" si="33"/>
        <v>97.125</v>
      </c>
    </row>
    <row r="217" spans="2:10" ht="15.6" x14ac:dyDescent="0.3">
      <c r="B217" s="72"/>
      <c r="C217" s="78" t="s">
        <v>394</v>
      </c>
      <c r="D217" s="74" t="s">
        <v>3</v>
      </c>
      <c r="E217" s="75">
        <f>E210</f>
        <v>1</v>
      </c>
      <c r="F217" s="76">
        <f>'Прайс для расчета'!E200</f>
        <v>866.25</v>
      </c>
      <c r="G217" s="77">
        <f t="shared" si="32"/>
        <v>866.25</v>
      </c>
      <c r="I217" s="135">
        <f>'Прайс для расчета (М)'!E200</f>
        <v>433.125</v>
      </c>
      <c r="J217" s="36">
        <f t="shared" si="33"/>
        <v>433.125</v>
      </c>
    </row>
    <row r="218" spans="2:10" ht="15.6" x14ac:dyDescent="0.3">
      <c r="B218" s="72"/>
      <c r="C218" s="78" t="s">
        <v>395</v>
      </c>
      <c r="D218" s="74" t="s">
        <v>3</v>
      </c>
      <c r="E218" s="75">
        <f>E210</f>
        <v>1</v>
      </c>
      <c r="F218" s="76">
        <f>'Прайс для расчета'!E201</f>
        <v>262.5</v>
      </c>
      <c r="G218" s="77">
        <f t="shared" si="32"/>
        <v>262.5</v>
      </c>
      <c r="I218" s="135">
        <f>'Прайс для расчета (М)'!E201</f>
        <v>131.25</v>
      </c>
      <c r="J218" s="36">
        <f t="shared" si="33"/>
        <v>131.25</v>
      </c>
    </row>
    <row r="219" spans="2:10" ht="15.6" x14ac:dyDescent="0.3">
      <c r="B219" s="72">
        <f>IF(SUM(B220:B247)&gt;0,1,0)</f>
        <v>0</v>
      </c>
      <c r="C219" s="73" t="s">
        <v>879</v>
      </c>
      <c r="D219" s="74"/>
      <c r="E219" s="75"/>
      <c r="F219" s="76"/>
      <c r="G219" s="77"/>
    </row>
    <row r="220" spans="2:10" ht="15.6" x14ac:dyDescent="0.3">
      <c r="B220" s="72"/>
      <c r="C220" s="69" t="s">
        <v>1022</v>
      </c>
      <c r="D220" s="61" t="s">
        <v>2</v>
      </c>
      <c r="E220" s="62">
        <f t="shared" ref="E220:E226" si="34">$A$4</f>
        <v>0</v>
      </c>
      <c r="F220" s="63">
        <f>'Прайс для расчета'!E202</f>
        <v>135.45000000000002</v>
      </c>
      <c r="G220" s="77">
        <f t="shared" ref="G220:G246" si="35">F220*E220</f>
        <v>0</v>
      </c>
      <c r="I220" s="135">
        <f>'Прайс для расчета (М)'!E202</f>
        <v>67.725000000000009</v>
      </c>
      <c r="J220" s="36">
        <f t="shared" ref="J220:J247" si="36">I220*E220</f>
        <v>0</v>
      </c>
    </row>
    <row r="221" spans="2:10" ht="15.6" x14ac:dyDescent="0.3">
      <c r="B221" s="72"/>
      <c r="C221" s="69" t="s">
        <v>1105</v>
      </c>
      <c r="D221" s="61" t="s">
        <v>3</v>
      </c>
      <c r="E221" s="62">
        <f t="shared" si="34"/>
        <v>0</v>
      </c>
      <c r="F221" s="63">
        <f>'Прайс для расчета'!E203</f>
        <v>210</v>
      </c>
      <c r="G221" s="77">
        <f t="shared" ref="G221" si="37">F221*E221</f>
        <v>0</v>
      </c>
      <c r="I221" s="135">
        <f>'Прайс для расчета (М)'!E203</f>
        <v>105</v>
      </c>
      <c r="J221" s="36">
        <f t="shared" si="36"/>
        <v>0</v>
      </c>
    </row>
    <row r="222" spans="2:10" ht="15.6" x14ac:dyDescent="0.3">
      <c r="B222" s="72"/>
      <c r="C222" s="78" t="s">
        <v>1032</v>
      </c>
      <c r="D222" s="61" t="s">
        <v>2</v>
      </c>
      <c r="E222" s="62">
        <f t="shared" si="34"/>
        <v>0</v>
      </c>
      <c r="F222" s="63">
        <f>'Прайс для расчета'!E204</f>
        <v>892.5</v>
      </c>
      <c r="G222" s="77">
        <f t="shared" si="35"/>
        <v>0</v>
      </c>
      <c r="I222" s="135">
        <f>'Прайс для расчета (М)'!E204</f>
        <v>446.25</v>
      </c>
      <c r="J222" s="36">
        <f t="shared" si="36"/>
        <v>0</v>
      </c>
    </row>
    <row r="223" spans="2:10" ht="15.6" x14ac:dyDescent="0.3">
      <c r="B223" s="72"/>
      <c r="C223" s="69" t="s">
        <v>1030</v>
      </c>
      <c r="D223" s="61" t="s">
        <v>2</v>
      </c>
      <c r="E223" s="62">
        <f t="shared" si="34"/>
        <v>0</v>
      </c>
      <c r="F223" s="63">
        <f>'Прайс для расчета'!E205</f>
        <v>1102.5</v>
      </c>
      <c r="G223" s="77">
        <f t="shared" si="35"/>
        <v>0</v>
      </c>
      <c r="I223" s="135">
        <f>'Прайс для расчета (М)'!E205</f>
        <v>551.25</v>
      </c>
      <c r="J223" s="36">
        <f t="shared" si="36"/>
        <v>0</v>
      </c>
    </row>
    <row r="224" spans="2:10" ht="15.6" x14ac:dyDescent="0.3">
      <c r="B224" s="72"/>
      <c r="C224" s="69" t="s">
        <v>1031</v>
      </c>
      <c r="D224" s="61" t="s">
        <v>2</v>
      </c>
      <c r="E224" s="62">
        <f t="shared" si="34"/>
        <v>0</v>
      </c>
      <c r="F224" s="63">
        <f>'Прайс для расчета'!E206</f>
        <v>892.5</v>
      </c>
      <c r="G224" s="77">
        <f t="shared" si="35"/>
        <v>0</v>
      </c>
      <c r="I224" s="135">
        <f>'Прайс для расчета (М)'!E206</f>
        <v>446.25</v>
      </c>
      <c r="J224" s="36">
        <f t="shared" si="36"/>
        <v>0</v>
      </c>
    </row>
    <row r="225" spans="2:10" ht="15.6" x14ac:dyDescent="0.3">
      <c r="B225" s="72"/>
      <c r="C225" s="69" t="s">
        <v>1106</v>
      </c>
      <c r="D225" s="61" t="s">
        <v>3</v>
      </c>
      <c r="E225" s="62">
        <f t="shared" si="34"/>
        <v>0</v>
      </c>
      <c r="F225" s="63">
        <f>'Прайс для расчета'!E207</f>
        <v>210</v>
      </c>
      <c r="G225" s="77">
        <f t="shared" si="35"/>
        <v>0</v>
      </c>
      <c r="I225" s="135">
        <f>'Прайс для расчета (М)'!E207</f>
        <v>105</v>
      </c>
      <c r="J225" s="36">
        <f t="shared" si="36"/>
        <v>0</v>
      </c>
    </row>
    <row r="226" spans="2:10" ht="15.6" x14ac:dyDescent="0.3">
      <c r="B226" s="72"/>
      <c r="C226" s="201" t="s">
        <v>1009</v>
      </c>
      <c r="D226" s="61" t="s">
        <v>2</v>
      </c>
      <c r="E226" s="62">
        <f t="shared" si="34"/>
        <v>0</v>
      </c>
      <c r="F226" s="63">
        <f>'Прайс для расчета'!E208</f>
        <v>3097.5</v>
      </c>
      <c r="G226" s="77">
        <f t="shared" si="35"/>
        <v>0</v>
      </c>
      <c r="I226" s="135">
        <f>'Прайс для расчета (М)'!E208</f>
        <v>1548.75</v>
      </c>
      <c r="J226" s="36">
        <f t="shared" si="36"/>
        <v>0</v>
      </c>
    </row>
    <row r="227" spans="2:10" ht="15.6" x14ac:dyDescent="0.3">
      <c r="B227" s="72"/>
      <c r="C227" s="69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77">
        <f t="shared" si="35"/>
        <v>240.05099999999999</v>
      </c>
      <c r="I227" s="135">
        <f>'Прайс для расчета (М)'!E209</f>
        <v>120.02549999999999</v>
      </c>
      <c r="J227" s="36">
        <f t="shared" si="36"/>
        <v>120.02549999999999</v>
      </c>
    </row>
    <row r="228" spans="2:10" ht="15.6" x14ac:dyDescent="0.3">
      <c r="B228" s="72"/>
      <c r="C228" s="69" t="s">
        <v>401</v>
      </c>
      <c r="D228" s="61" t="s">
        <v>3</v>
      </c>
      <c r="E228" s="62">
        <f>ROUND(A4*1.25,0)</f>
        <v>0</v>
      </c>
      <c r="F228" s="63">
        <f>'Прайс для расчета'!E210</f>
        <v>164.01</v>
      </c>
      <c r="G228" s="77">
        <f t="shared" si="35"/>
        <v>0</v>
      </c>
      <c r="I228" s="135">
        <f>'Прайс для расчета (М)'!E210</f>
        <v>82.004999999999995</v>
      </c>
      <c r="J228" s="36">
        <f t="shared" si="36"/>
        <v>0</v>
      </c>
    </row>
    <row r="229" spans="2:10" ht="15.6" x14ac:dyDescent="0.3">
      <c r="B229" s="72"/>
      <c r="C229" s="69" t="s">
        <v>675</v>
      </c>
      <c r="D229" s="61" t="s">
        <v>2</v>
      </c>
      <c r="E229" s="62">
        <f t="shared" ref="E229:E238" si="38">$A$4</f>
        <v>0</v>
      </c>
      <c r="F229" s="63">
        <f>'Прайс для расчета'!E211</f>
        <v>477.12</v>
      </c>
      <c r="G229" s="77">
        <f t="shared" si="35"/>
        <v>0</v>
      </c>
      <c r="I229" s="135">
        <f>'Прайс для расчета (М)'!E211</f>
        <v>238.56</v>
      </c>
      <c r="J229" s="36">
        <f t="shared" si="36"/>
        <v>0</v>
      </c>
    </row>
    <row r="230" spans="2:10" ht="15.6" x14ac:dyDescent="0.3">
      <c r="B230" s="72"/>
      <c r="C230" s="69" t="s">
        <v>1023</v>
      </c>
      <c r="D230" s="61" t="s">
        <v>2</v>
      </c>
      <c r="E230" s="62">
        <f t="shared" si="38"/>
        <v>0</v>
      </c>
      <c r="F230" s="63">
        <f>'Прайс для расчета'!E212</f>
        <v>124.95</v>
      </c>
      <c r="G230" s="77">
        <f t="shared" si="35"/>
        <v>0</v>
      </c>
      <c r="I230" s="135">
        <f>'Прайс для расчета (М)'!E212</f>
        <v>62.475000000000001</v>
      </c>
      <c r="J230" s="36">
        <f t="shared" si="36"/>
        <v>0</v>
      </c>
    </row>
    <row r="231" spans="2:10" ht="15.6" x14ac:dyDescent="0.3">
      <c r="B231" s="72"/>
      <c r="C231" s="69" t="s">
        <v>1132</v>
      </c>
      <c r="D231" s="61" t="s">
        <v>2</v>
      </c>
      <c r="E231" s="62">
        <f t="shared" si="38"/>
        <v>0</v>
      </c>
      <c r="F231" s="63">
        <f>'Прайс для расчета'!E213</f>
        <v>199.5</v>
      </c>
      <c r="G231" s="77">
        <f t="shared" ref="G231" si="39">F231*E231</f>
        <v>0</v>
      </c>
      <c r="I231" s="135">
        <f>'Прайс для расчета (М)'!E213</f>
        <v>99.75</v>
      </c>
      <c r="J231" s="36">
        <f t="shared" si="36"/>
        <v>0</v>
      </c>
    </row>
    <row r="232" spans="2:10" ht="15.6" x14ac:dyDescent="0.3">
      <c r="B232" s="72"/>
      <c r="C232" s="69" t="s">
        <v>676</v>
      </c>
      <c r="D232" s="61" t="s">
        <v>2</v>
      </c>
      <c r="E232" s="62">
        <f t="shared" si="38"/>
        <v>0</v>
      </c>
      <c r="F232" s="63">
        <f>'Прайс для расчета'!E214</f>
        <v>299.25</v>
      </c>
      <c r="G232" s="77">
        <f t="shared" si="35"/>
        <v>0</v>
      </c>
      <c r="I232" s="135">
        <f>'Прайс для расчета (М)'!E214</f>
        <v>149.625</v>
      </c>
      <c r="J232" s="36">
        <f t="shared" si="36"/>
        <v>0</v>
      </c>
    </row>
    <row r="233" spans="2:10" ht="15.6" x14ac:dyDescent="0.3">
      <c r="B233" s="72"/>
      <c r="C233" s="69" t="s">
        <v>403</v>
      </c>
      <c r="D233" s="61" t="s">
        <v>647</v>
      </c>
      <c r="E233" s="62">
        <f t="shared" si="38"/>
        <v>0</v>
      </c>
      <c r="F233" s="63">
        <f>'Прайс для расчета'!E215</f>
        <v>236.25</v>
      </c>
      <c r="G233" s="77">
        <f t="shared" si="35"/>
        <v>0</v>
      </c>
      <c r="I233" s="135">
        <f>'Прайс для расчета (М)'!E215</f>
        <v>118.125</v>
      </c>
      <c r="J233" s="36">
        <f t="shared" si="36"/>
        <v>0</v>
      </c>
    </row>
    <row r="234" spans="2:10" ht="15.6" x14ac:dyDescent="0.3">
      <c r="B234" s="72"/>
      <c r="C234" s="69" t="s">
        <v>1035</v>
      </c>
      <c r="D234" s="61" t="s">
        <v>2</v>
      </c>
      <c r="E234" s="62">
        <f t="shared" si="38"/>
        <v>0</v>
      </c>
      <c r="F234" s="63">
        <f>'Прайс для расчета'!E216</f>
        <v>624.75</v>
      </c>
      <c r="G234" s="77">
        <f t="shared" si="35"/>
        <v>0</v>
      </c>
      <c r="I234" s="135">
        <f>'Прайс для расчета (М)'!E216</f>
        <v>312.375</v>
      </c>
      <c r="J234" s="36">
        <f t="shared" si="36"/>
        <v>0</v>
      </c>
    </row>
    <row r="235" spans="2:10" ht="15.6" x14ac:dyDescent="0.3">
      <c r="B235" s="72"/>
      <c r="C235" s="69" t="s">
        <v>1041</v>
      </c>
      <c r="D235" s="61" t="s">
        <v>2</v>
      </c>
      <c r="E235" s="62">
        <f t="shared" si="38"/>
        <v>0</v>
      </c>
      <c r="F235" s="63">
        <f>'Прайс для расчета'!E217</f>
        <v>787.5</v>
      </c>
      <c r="G235" s="77">
        <f t="shared" si="35"/>
        <v>0</v>
      </c>
      <c r="I235" s="135">
        <f>'Прайс для расчета (М)'!E217</f>
        <v>393.75</v>
      </c>
      <c r="J235" s="36">
        <f t="shared" si="36"/>
        <v>0</v>
      </c>
    </row>
    <row r="236" spans="2:10" ht="15.6" x14ac:dyDescent="0.3">
      <c r="B236" s="72"/>
      <c r="C236" s="69" t="s">
        <v>1137</v>
      </c>
      <c r="D236" s="61" t="s">
        <v>2</v>
      </c>
      <c r="E236" s="62">
        <f t="shared" si="38"/>
        <v>0</v>
      </c>
      <c r="F236" s="63">
        <f>'Прайс для расчета'!E218</f>
        <v>1207.5</v>
      </c>
      <c r="G236" s="77">
        <f t="shared" si="35"/>
        <v>0</v>
      </c>
      <c r="I236" s="135">
        <f>'Прайс для расчета (М)'!E218</f>
        <v>603.75</v>
      </c>
      <c r="J236" s="36">
        <f t="shared" si="36"/>
        <v>0</v>
      </c>
    </row>
    <row r="237" spans="2:10" ht="15.6" x14ac:dyDescent="0.3">
      <c r="B237" s="72"/>
      <c r="C237" s="69" t="s">
        <v>1139</v>
      </c>
      <c r="D237" s="61" t="s">
        <v>2</v>
      </c>
      <c r="E237" s="62">
        <f t="shared" si="38"/>
        <v>0</v>
      </c>
      <c r="F237" s="63">
        <f>'Прайс для расчета'!E219</f>
        <v>262.5</v>
      </c>
      <c r="G237" s="77">
        <f t="shared" si="35"/>
        <v>0</v>
      </c>
      <c r="I237" s="135">
        <f>'Прайс для расчета (М)'!E219</f>
        <v>131.25</v>
      </c>
      <c r="J237" s="36">
        <f t="shared" si="36"/>
        <v>0</v>
      </c>
    </row>
    <row r="238" spans="2:10" ht="15.6" x14ac:dyDescent="0.3">
      <c r="B238" s="72"/>
      <c r="C238" s="69" t="s">
        <v>1142</v>
      </c>
      <c r="D238" s="61" t="s">
        <v>2</v>
      </c>
      <c r="E238" s="62">
        <f t="shared" si="38"/>
        <v>0</v>
      </c>
      <c r="F238" s="63">
        <f>'Прайс для расчета'!E220</f>
        <v>997.5</v>
      </c>
      <c r="G238" s="77">
        <f t="shared" si="35"/>
        <v>0</v>
      </c>
      <c r="I238" s="135">
        <f>'Прайс для расчета (М)'!E220</f>
        <v>498.75</v>
      </c>
      <c r="J238" s="36">
        <f t="shared" si="36"/>
        <v>0</v>
      </c>
    </row>
    <row r="239" spans="2:10" ht="15.6" x14ac:dyDescent="0.3">
      <c r="B239" s="72"/>
      <c r="C239" s="69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77">
        <f t="shared" si="35"/>
        <v>735</v>
      </c>
      <c r="I239" s="135">
        <f>'Прайс для расчета (М)'!E221</f>
        <v>367.5</v>
      </c>
      <c r="J239" s="36">
        <f t="shared" si="36"/>
        <v>367.5</v>
      </c>
    </row>
    <row r="240" spans="2:10" ht="15.6" x14ac:dyDescent="0.3">
      <c r="B240" s="72"/>
      <c r="C240" s="69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77">
        <f t="shared" si="35"/>
        <v>0</v>
      </c>
      <c r="I240" s="135">
        <f>'Прайс для расчета (М)'!E222</f>
        <v>52.5</v>
      </c>
      <c r="J240" s="36">
        <f t="shared" si="36"/>
        <v>0</v>
      </c>
    </row>
    <row r="241" spans="2:10" ht="15.6" x14ac:dyDescent="0.3">
      <c r="B241" s="72"/>
      <c r="C241" s="69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77">
        <f t="shared" si="35"/>
        <v>0</v>
      </c>
      <c r="I241" s="135">
        <f>'Прайс для расчета (М)'!E223</f>
        <v>146.47499999999999</v>
      </c>
      <c r="J241" s="36">
        <f t="shared" si="36"/>
        <v>0</v>
      </c>
    </row>
    <row r="242" spans="2:10" ht="15.6" x14ac:dyDescent="0.3">
      <c r="B242" s="72"/>
      <c r="C242" s="69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77">
        <f t="shared" si="35"/>
        <v>0</v>
      </c>
      <c r="I242" s="135">
        <f>'Прайс для расчета (М)'!E224</f>
        <v>359.625</v>
      </c>
      <c r="J242" s="36">
        <f t="shared" si="36"/>
        <v>0</v>
      </c>
    </row>
    <row r="243" spans="2:10" ht="15.6" x14ac:dyDescent="0.3">
      <c r="B243" s="72"/>
      <c r="C243" s="69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77">
        <f t="shared" si="35"/>
        <v>2299.5</v>
      </c>
      <c r="I243" s="135">
        <f>'Прайс для расчета (М)'!E225</f>
        <v>1149.75</v>
      </c>
      <c r="J243" s="36">
        <f t="shared" si="36"/>
        <v>1149.75</v>
      </c>
    </row>
    <row r="244" spans="2:10" ht="15.6" x14ac:dyDescent="0.3">
      <c r="B244" s="72"/>
      <c r="C244" s="69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77">
        <f t="shared" si="35"/>
        <v>0</v>
      </c>
      <c r="I244" s="135">
        <f>'Прайс для расчета (М)'!E226</f>
        <v>971.25</v>
      </c>
      <c r="J244" s="36">
        <f t="shared" si="36"/>
        <v>0</v>
      </c>
    </row>
    <row r="245" spans="2:10" ht="15.6" x14ac:dyDescent="0.3">
      <c r="B245" s="72"/>
      <c r="C245" s="69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77">
        <f t="shared" si="35"/>
        <v>0</v>
      </c>
      <c r="I245" s="135">
        <f>'Прайс для расчета (М)'!E227</f>
        <v>1023.75</v>
      </c>
      <c r="J245" s="36">
        <f t="shared" si="36"/>
        <v>0</v>
      </c>
    </row>
    <row r="246" spans="2:10" ht="15.6" x14ac:dyDescent="0.3">
      <c r="B246" s="72"/>
      <c r="C246" s="69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77">
        <f t="shared" si="35"/>
        <v>2467.5</v>
      </c>
      <c r="I246" s="135">
        <f>'Прайс для расчета (М)'!E228</f>
        <v>1233.75</v>
      </c>
      <c r="J246" s="36">
        <f t="shared" si="36"/>
        <v>1233.75</v>
      </c>
    </row>
    <row r="247" spans="2:10" ht="15.6" x14ac:dyDescent="0.3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77">
        <f t="shared" ref="G247" si="40">F247*E247</f>
        <v>2677.5</v>
      </c>
      <c r="I247" s="135">
        <f>'Прайс для расчета (М)'!E229</f>
        <v>1338.75</v>
      </c>
      <c r="J247" s="36">
        <f t="shared" si="36"/>
        <v>1338.75</v>
      </c>
    </row>
    <row r="248" spans="2:10" ht="15.6" x14ac:dyDescent="0.3">
      <c r="B248" s="138">
        <f>IF(SUM(B139:B247)&gt;0,1,0)</f>
        <v>0</v>
      </c>
      <c r="C248" s="264" t="s">
        <v>514</v>
      </c>
      <c r="D248" s="264"/>
      <c r="E248" s="264"/>
      <c r="F248" s="264"/>
      <c r="G248" s="163">
        <f>SUMIF(B140:B247,1,G140:G247)</f>
        <v>0</v>
      </c>
      <c r="J248" s="36">
        <f>SUMIF(B140:B247,1,J140:J247)</f>
        <v>0</v>
      </c>
    </row>
    <row r="249" spans="2:10" ht="15.6" x14ac:dyDescent="0.3">
      <c r="B249" s="158">
        <f>IF(SUM(B250:B381)&gt;0,1,0)</f>
        <v>0</v>
      </c>
      <c r="C249" s="159" t="s">
        <v>651</v>
      </c>
      <c r="D249" s="160" t="s">
        <v>179</v>
      </c>
      <c r="E249" s="160" t="s">
        <v>180</v>
      </c>
      <c r="F249" s="160" t="s">
        <v>1</v>
      </c>
      <c r="G249" s="160" t="s">
        <v>181</v>
      </c>
      <c r="I249" s="36" t="s">
        <v>1</v>
      </c>
      <c r="J249" s="36" t="s">
        <v>181</v>
      </c>
    </row>
    <row r="250" spans="2:10" ht="15.6" x14ac:dyDescent="0.3">
      <c r="B250" s="72">
        <f>IF(SUM(B251:B286)&gt;0,1,0)</f>
        <v>0</v>
      </c>
      <c r="C250" s="73" t="s">
        <v>877</v>
      </c>
      <c r="D250" s="74"/>
      <c r="E250" s="75"/>
      <c r="F250" s="76"/>
      <c r="G250" s="77"/>
    </row>
    <row r="251" spans="2:10" ht="15.6" x14ac:dyDescent="0.3">
      <c r="B251" s="72"/>
      <c r="C251" s="78" t="s">
        <v>1054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77">
        <f t="shared" ref="G251:G286" si="41">F251*E251</f>
        <v>0</v>
      </c>
      <c r="I251" s="135">
        <f>'Прайс для расчета (М)'!E230</f>
        <v>1259.4750000000001</v>
      </c>
      <c r="J251" s="36">
        <f t="shared" ref="J251:J286" si="42">I251*E251</f>
        <v>0</v>
      </c>
    </row>
    <row r="252" spans="2:10" ht="15.6" x14ac:dyDescent="0.3">
      <c r="B252" s="72"/>
      <c r="C252" s="78" t="s">
        <v>1056</v>
      </c>
      <c r="D252" s="74" t="s">
        <v>3</v>
      </c>
      <c r="E252" s="62">
        <f t="shared" ref="E252:E267" si="43">$A$4</f>
        <v>0</v>
      </c>
      <c r="F252" s="63">
        <f>'Прайс для расчета'!E231</f>
        <v>509.25</v>
      </c>
      <c r="G252" s="77">
        <f t="shared" si="41"/>
        <v>0</v>
      </c>
      <c r="I252" s="135">
        <f>'Прайс для расчета (М)'!E231</f>
        <v>254.625</v>
      </c>
      <c r="J252" s="36">
        <f t="shared" si="42"/>
        <v>0</v>
      </c>
    </row>
    <row r="253" spans="2:10" ht="15.6" x14ac:dyDescent="0.3">
      <c r="B253" s="72"/>
      <c r="C253" s="78" t="s">
        <v>409</v>
      </c>
      <c r="D253" s="74" t="s">
        <v>2</v>
      </c>
      <c r="E253" s="62">
        <f t="shared" si="43"/>
        <v>0</v>
      </c>
      <c r="F253" s="63">
        <f>'Прайс для расчета'!E232</f>
        <v>2718.4500000000003</v>
      </c>
      <c r="G253" s="77">
        <f t="shared" si="41"/>
        <v>0</v>
      </c>
      <c r="I253" s="135">
        <f>'Прайс для расчета (М)'!E232</f>
        <v>1359.2250000000001</v>
      </c>
      <c r="J253" s="36">
        <f t="shared" si="42"/>
        <v>0</v>
      </c>
    </row>
    <row r="254" spans="2:10" ht="15.6" x14ac:dyDescent="0.3">
      <c r="B254" s="72"/>
      <c r="C254" s="78" t="s">
        <v>1059</v>
      </c>
      <c r="D254" s="74" t="s">
        <v>2</v>
      </c>
      <c r="E254" s="62">
        <f t="shared" si="43"/>
        <v>0</v>
      </c>
      <c r="F254" s="63">
        <f>'Прайс для расчета'!E233</f>
        <v>1260</v>
      </c>
      <c r="G254" s="77">
        <f t="shared" si="41"/>
        <v>0</v>
      </c>
      <c r="I254" s="135">
        <f>'Прайс для расчета (М)'!E233</f>
        <v>630</v>
      </c>
      <c r="J254" s="36">
        <f t="shared" si="42"/>
        <v>0</v>
      </c>
    </row>
    <row r="255" spans="2:10" ht="15.6" x14ac:dyDescent="0.3">
      <c r="B255" s="72"/>
      <c r="C255" s="78" t="s">
        <v>411</v>
      </c>
      <c r="D255" s="74" t="s">
        <v>2</v>
      </c>
      <c r="E255" s="62">
        <f t="shared" si="43"/>
        <v>0</v>
      </c>
      <c r="F255" s="63">
        <f>'Прайс для расчета'!E234</f>
        <v>3033.4500000000003</v>
      </c>
      <c r="G255" s="77">
        <f t="shared" si="41"/>
        <v>0</v>
      </c>
      <c r="I255" s="135">
        <f>'Прайс для расчета (М)'!E234</f>
        <v>1516.7250000000001</v>
      </c>
      <c r="J255" s="36">
        <f t="shared" si="42"/>
        <v>0</v>
      </c>
    </row>
    <row r="256" spans="2:10" ht="15.6" x14ac:dyDescent="0.3">
      <c r="B256" s="72"/>
      <c r="C256" s="78" t="s">
        <v>1062</v>
      </c>
      <c r="D256" s="74" t="s">
        <v>3</v>
      </c>
      <c r="E256" s="62">
        <f t="shared" si="43"/>
        <v>0</v>
      </c>
      <c r="F256" s="63">
        <f>'Прайс для расчета'!E235</f>
        <v>971.25</v>
      </c>
      <c r="G256" s="77">
        <f t="shared" si="41"/>
        <v>0</v>
      </c>
      <c r="I256" s="135">
        <f>'Прайс для расчета (М)'!E235</f>
        <v>485.625</v>
      </c>
      <c r="J256" s="36">
        <f t="shared" si="42"/>
        <v>0</v>
      </c>
    </row>
    <row r="257" spans="2:10" ht="15.6" x14ac:dyDescent="0.3">
      <c r="B257" s="72"/>
      <c r="C257" s="78" t="s">
        <v>1064</v>
      </c>
      <c r="D257" s="74" t="s">
        <v>2</v>
      </c>
      <c r="E257" s="62">
        <f t="shared" si="43"/>
        <v>0</v>
      </c>
      <c r="F257" s="63">
        <f>'Прайс для расчета'!E236</f>
        <v>3412.5</v>
      </c>
      <c r="G257" s="77">
        <f t="shared" si="41"/>
        <v>0</v>
      </c>
      <c r="I257" s="135">
        <f>'Прайс для расчета (М)'!E236</f>
        <v>1706.25</v>
      </c>
      <c r="J257" s="36">
        <f t="shared" si="42"/>
        <v>0</v>
      </c>
    </row>
    <row r="258" spans="2:10" ht="15.6" x14ac:dyDescent="0.3">
      <c r="B258" s="72"/>
      <c r="C258" s="78" t="s">
        <v>988</v>
      </c>
      <c r="D258" s="74" t="s">
        <v>2</v>
      </c>
      <c r="E258" s="62">
        <f t="shared" si="43"/>
        <v>0</v>
      </c>
      <c r="F258" s="63">
        <f>'Прайс для расчета'!E237</f>
        <v>2938.9500000000003</v>
      </c>
      <c r="G258" s="77">
        <f t="shared" si="41"/>
        <v>0</v>
      </c>
      <c r="I258" s="135">
        <f>'Прайс для расчета (М)'!E237</f>
        <v>1469.4750000000001</v>
      </c>
      <c r="J258" s="36">
        <f t="shared" si="42"/>
        <v>0</v>
      </c>
    </row>
    <row r="259" spans="2:10" ht="15.6" x14ac:dyDescent="0.3">
      <c r="B259" s="72"/>
      <c r="C259" s="78" t="s">
        <v>922</v>
      </c>
      <c r="D259" s="74" t="s">
        <v>2</v>
      </c>
      <c r="E259" s="62">
        <f t="shared" si="43"/>
        <v>0</v>
      </c>
      <c r="F259" s="63">
        <f>'Прайс для расчета'!E238</f>
        <v>3097.5</v>
      </c>
      <c r="G259" s="77">
        <f t="shared" si="41"/>
        <v>0</v>
      </c>
      <c r="I259" s="135">
        <f>'Прайс для расчета (М)'!E238</f>
        <v>1548.75</v>
      </c>
      <c r="J259" s="36">
        <f t="shared" si="42"/>
        <v>0</v>
      </c>
    </row>
    <row r="260" spans="2:10" ht="15.6" x14ac:dyDescent="0.3">
      <c r="B260" s="72"/>
      <c r="C260" s="78" t="s">
        <v>989</v>
      </c>
      <c r="D260" s="74" t="s">
        <v>2</v>
      </c>
      <c r="E260" s="62">
        <f t="shared" si="43"/>
        <v>0</v>
      </c>
      <c r="F260" s="63">
        <f>'Прайс для расчета'!E239</f>
        <v>3717</v>
      </c>
      <c r="G260" s="77">
        <f t="shared" si="41"/>
        <v>0</v>
      </c>
      <c r="I260" s="135">
        <f>'Прайс для расчета (М)'!E239</f>
        <v>1858.5</v>
      </c>
      <c r="J260" s="36">
        <f t="shared" si="42"/>
        <v>0</v>
      </c>
    </row>
    <row r="261" spans="2:10" ht="15.6" x14ac:dyDescent="0.3">
      <c r="B261" s="72"/>
      <c r="C261" s="78" t="s">
        <v>936</v>
      </c>
      <c r="D261" s="74" t="s">
        <v>2</v>
      </c>
      <c r="E261" s="62">
        <f t="shared" si="43"/>
        <v>0</v>
      </c>
      <c r="F261" s="63">
        <f>'Прайс для расчета'!E240</f>
        <v>6237</v>
      </c>
      <c r="G261" s="77">
        <f t="shared" si="41"/>
        <v>0</v>
      </c>
      <c r="I261" s="135">
        <f>'Прайс для расчета (М)'!E240</f>
        <v>3118.5</v>
      </c>
      <c r="J261" s="36">
        <f t="shared" si="42"/>
        <v>0</v>
      </c>
    </row>
    <row r="262" spans="2:10" ht="15.6" x14ac:dyDescent="0.3">
      <c r="B262" s="72"/>
      <c r="C262" s="78" t="s">
        <v>1065</v>
      </c>
      <c r="D262" s="74" t="s">
        <v>2</v>
      </c>
      <c r="E262" s="62">
        <f t="shared" si="43"/>
        <v>0</v>
      </c>
      <c r="F262" s="63">
        <f>'Прайс для расчета'!E241</f>
        <v>3622.5</v>
      </c>
      <c r="G262" s="77">
        <f t="shared" si="41"/>
        <v>0</v>
      </c>
      <c r="I262" s="135">
        <f>'Прайс для расчета (М)'!E241</f>
        <v>1811.25</v>
      </c>
      <c r="J262" s="36">
        <f t="shared" si="42"/>
        <v>0</v>
      </c>
    </row>
    <row r="263" spans="2:10" ht="15.6" x14ac:dyDescent="0.3">
      <c r="B263" s="72"/>
      <c r="C263" s="78" t="s">
        <v>1066</v>
      </c>
      <c r="D263" s="74" t="s">
        <v>2</v>
      </c>
      <c r="E263" s="62">
        <f t="shared" si="43"/>
        <v>0</v>
      </c>
      <c r="F263" s="63">
        <f>'Прайс для расчета'!E242</f>
        <v>5197.5</v>
      </c>
      <c r="G263" s="77">
        <f t="shared" si="41"/>
        <v>0</v>
      </c>
      <c r="I263" s="135">
        <f>'Прайс для расчета (М)'!E242</f>
        <v>2598.75</v>
      </c>
      <c r="J263" s="36">
        <f t="shared" si="42"/>
        <v>0</v>
      </c>
    </row>
    <row r="264" spans="2:10" ht="15.6" x14ac:dyDescent="0.3">
      <c r="B264" s="72"/>
      <c r="C264" s="78" t="s">
        <v>1067</v>
      </c>
      <c r="D264" s="74" t="s">
        <v>2</v>
      </c>
      <c r="E264" s="62">
        <f t="shared" si="43"/>
        <v>0</v>
      </c>
      <c r="F264" s="63">
        <f>'Прайс для расчета'!E243</f>
        <v>3097.5</v>
      </c>
      <c r="G264" s="77">
        <f t="shared" si="41"/>
        <v>0</v>
      </c>
      <c r="I264" s="135">
        <f>'Прайс для расчета (М)'!E243</f>
        <v>1548.75</v>
      </c>
      <c r="J264" s="36">
        <f t="shared" si="42"/>
        <v>0</v>
      </c>
    </row>
    <row r="265" spans="2:10" ht="15.6" x14ac:dyDescent="0.3">
      <c r="B265" s="72"/>
      <c r="C265" s="78" t="s">
        <v>412</v>
      </c>
      <c r="D265" s="74" t="s">
        <v>2</v>
      </c>
      <c r="E265" s="62">
        <f t="shared" si="43"/>
        <v>0</v>
      </c>
      <c r="F265" s="63">
        <f>'Прайс для расчета'!E244</f>
        <v>404.25</v>
      </c>
      <c r="G265" s="77">
        <f t="shared" si="41"/>
        <v>0</v>
      </c>
      <c r="I265" s="135">
        <f>'Прайс для расчета (М)'!E244</f>
        <v>202.125</v>
      </c>
      <c r="J265" s="36">
        <f t="shared" si="42"/>
        <v>0</v>
      </c>
    </row>
    <row r="266" spans="2:10" ht="15.6" x14ac:dyDescent="0.3">
      <c r="B266" s="72"/>
      <c r="C266" s="78" t="s">
        <v>937</v>
      </c>
      <c r="D266" s="74" t="s">
        <v>2</v>
      </c>
      <c r="E266" s="62">
        <f t="shared" si="43"/>
        <v>0</v>
      </c>
      <c r="F266" s="63">
        <f>'Прайс для расчета'!E245</f>
        <v>1244.25</v>
      </c>
      <c r="G266" s="77">
        <f t="shared" si="41"/>
        <v>0</v>
      </c>
      <c r="I266" s="135">
        <f>'Прайс для расчета (М)'!E245</f>
        <v>622.125</v>
      </c>
      <c r="J266" s="36">
        <f t="shared" si="42"/>
        <v>0</v>
      </c>
    </row>
    <row r="267" spans="2:10" ht="15.6" x14ac:dyDescent="0.3">
      <c r="B267" s="72"/>
      <c r="C267" s="78" t="s">
        <v>938</v>
      </c>
      <c r="D267" s="74" t="s">
        <v>2</v>
      </c>
      <c r="E267" s="62">
        <f t="shared" si="43"/>
        <v>0</v>
      </c>
      <c r="F267" s="63">
        <f>'Прайс для расчета'!E246</f>
        <v>929.25</v>
      </c>
      <c r="G267" s="77">
        <f t="shared" si="41"/>
        <v>0</v>
      </c>
      <c r="I267" s="135">
        <f>'Прайс для расчета (М)'!E246</f>
        <v>464.625</v>
      </c>
      <c r="J267" s="36">
        <f t="shared" si="42"/>
        <v>0</v>
      </c>
    </row>
    <row r="268" spans="2:10" ht="15.6" x14ac:dyDescent="0.3">
      <c r="B268" s="72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77">
        <f t="shared" si="41"/>
        <v>0</v>
      </c>
      <c r="I268" s="135">
        <f>'Прайс для расчета (М)'!E247</f>
        <v>286.125</v>
      </c>
      <c r="J268" s="36">
        <f t="shared" si="42"/>
        <v>0</v>
      </c>
    </row>
    <row r="269" spans="2:10" ht="15.6" x14ac:dyDescent="0.3">
      <c r="B269" s="72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77">
        <f t="shared" si="41"/>
        <v>0</v>
      </c>
      <c r="I269" s="135">
        <f>'Прайс для расчета (М)'!E248</f>
        <v>511.875</v>
      </c>
      <c r="J269" s="36">
        <f t="shared" si="42"/>
        <v>0</v>
      </c>
    </row>
    <row r="270" spans="2:10" ht="15.6" x14ac:dyDescent="0.3">
      <c r="B270" s="72"/>
      <c r="C270" s="69" t="s">
        <v>414</v>
      </c>
      <c r="D270" s="61" t="s">
        <v>2</v>
      </c>
      <c r="E270" s="62">
        <f t="shared" ref="E270:E280" si="44">$A$4</f>
        <v>0</v>
      </c>
      <c r="F270" s="63">
        <f>'Прайс для расчета'!E249</f>
        <v>715.68</v>
      </c>
      <c r="G270" s="77">
        <f t="shared" si="41"/>
        <v>0</v>
      </c>
      <c r="I270" s="135">
        <f>'Прайс для расчета (М)'!E249</f>
        <v>357.84</v>
      </c>
      <c r="J270" s="36">
        <f t="shared" si="42"/>
        <v>0</v>
      </c>
    </row>
    <row r="271" spans="2:10" ht="15.6" x14ac:dyDescent="0.3">
      <c r="B271" s="72"/>
      <c r="C271" s="69" t="s">
        <v>145</v>
      </c>
      <c r="D271" s="61" t="s">
        <v>2</v>
      </c>
      <c r="E271" s="62">
        <f t="shared" si="44"/>
        <v>0</v>
      </c>
      <c r="F271" s="63">
        <f>'Прайс для расчета'!E250</f>
        <v>819</v>
      </c>
      <c r="G271" s="77">
        <f t="shared" si="41"/>
        <v>0</v>
      </c>
      <c r="I271" s="135">
        <f>'Прайс для расчета (М)'!E250</f>
        <v>409.5</v>
      </c>
      <c r="J271" s="36">
        <f t="shared" si="42"/>
        <v>0</v>
      </c>
    </row>
    <row r="272" spans="2:10" ht="15.6" x14ac:dyDescent="0.3">
      <c r="B272" s="72"/>
      <c r="C272" s="69" t="s">
        <v>1072</v>
      </c>
      <c r="D272" s="61" t="s">
        <v>2</v>
      </c>
      <c r="E272" s="62">
        <f t="shared" si="44"/>
        <v>0</v>
      </c>
      <c r="F272" s="63">
        <f>'Прайс для расчета'!E251</f>
        <v>876.75</v>
      </c>
      <c r="G272" s="77">
        <f t="shared" si="41"/>
        <v>0</v>
      </c>
      <c r="I272" s="135">
        <f>'Прайс для расчета (М)'!E251</f>
        <v>438.375</v>
      </c>
      <c r="J272" s="36">
        <f t="shared" si="42"/>
        <v>0</v>
      </c>
    </row>
    <row r="273" spans="2:10" ht="15.6" x14ac:dyDescent="0.3">
      <c r="B273" s="72"/>
      <c r="C273" s="69" t="s">
        <v>1073</v>
      </c>
      <c r="D273" s="61" t="s">
        <v>2</v>
      </c>
      <c r="E273" s="62">
        <f t="shared" si="44"/>
        <v>0</v>
      </c>
      <c r="F273" s="63">
        <f>'Прайс для расчета'!E252</f>
        <v>1097.25</v>
      </c>
      <c r="G273" s="77">
        <f t="shared" si="41"/>
        <v>0</v>
      </c>
      <c r="I273" s="135">
        <f>'Прайс для расчета (М)'!E252</f>
        <v>548.625</v>
      </c>
      <c r="J273" s="36">
        <f t="shared" si="42"/>
        <v>0</v>
      </c>
    </row>
    <row r="274" spans="2:10" ht="15.6" x14ac:dyDescent="0.3">
      <c r="B274" s="72"/>
      <c r="C274" s="69" t="s">
        <v>893</v>
      </c>
      <c r="D274" s="61" t="s">
        <v>2</v>
      </c>
      <c r="E274" s="62">
        <f t="shared" si="44"/>
        <v>0</v>
      </c>
      <c r="F274" s="63">
        <f>'Прайс для расчета'!E253</f>
        <v>299.25</v>
      </c>
      <c r="G274" s="77">
        <f t="shared" si="41"/>
        <v>0</v>
      </c>
      <c r="I274" s="135">
        <f>'Прайс для расчета (М)'!E253</f>
        <v>149.625</v>
      </c>
      <c r="J274" s="36">
        <f t="shared" si="42"/>
        <v>0</v>
      </c>
    </row>
    <row r="275" spans="2:10" ht="15.6" x14ac:dyDescent="0.3">
      <c r="B275" s="72"/>
      <c r="C275" s="69" t="s">
        <v>415</v>
      </c>
      <c r="D275" s="61" t="s">
        <v>2</v>
      </c>
      <c r="E275" s="62">
        <f t="shared" si="44"/>
        <v>0</v>
      </c>
      <c r="F275" s="63">
        <f>'Прайс для расчета'!E254</f>
        <v>1044.75</v>
      </c>
      <c r="G275" s="77">
        <f t="shared" si="41"/>
        <v>0</v>
      </c>
      <c r="I275" s="135">
        <f>'Прайс для расчета (М)'!E254</f>
        <v>522.375</v>
      </c>
      <c r="J275" s="36">
        <f t="shared" si="42"/>
        <v>0</v>
      </c>
    </row>
    <row r="276" spans="2:10" ht="15.6" x14ac:dyDescent="0.3">
      <c r="B276" s="72"/>
      <c r="C276" s="69" t="s">
        <v>519</v>
      </c>
      <c r="D276" s="61" t="s">
        <v>2</v>
      </c>
      <c r="E276" s="62">
        <f t="shared" si="44"/>
        <v>0</v>
      </c>
      <c r="F276" s="63">
        <f>'Прайс для расчета'!E255</f>
        <v>1401.75</v>
      </c>
      <c r="G276" s="77">
        <f t="shared" si="41"/>
        <v>0</v>
      </c>
      <c r="I276" s="135">
        <f>'Прайс для расчета (М)'!E255</f>
        <v>700.875</v>
      </c>
      <c r="J276" s="36">
        <f t="shared" si="42"/>
        <v>0</v>
      </c>
    </row>
    <row r="277" spans="2:10" ht="15.6" x14ac:dyDescent="0.3">
      <c r="B277" s="72"/>
      <c r="C277" s="69" t="s">
        <v>891</v>
      </c>
      <c r="D277" s="61" t="s">
        <v>2</v>
      </c>
      <c r="E277" s="62">
        <f t="shared" si="44"/>
        <v>0</v>
      </c>
      <c r="F277" s="63">
        <f>'Прайс для расчета'!E256</f>
        <v>2982</v>
      </c>
      <c r="G277" s="77">
        <f t="shared" si="41"/>
        <v>0</v>
      </c>
      <c r="I277" s="135">
        <f>'Прайс для расчета (М)'!E256</f>
        <v>1491</v>
      </c>
      <c r="J277" s="36">
        <f t="shared" si="42"/>
        <v>0</v>
      </c>
    </row>
    <row r="278" spans="2:10" ht="15.6" x14ac:dyDescent="0.3">
      <c r="B278" s="72"/>
      <c r="C278" s="69" t="s">
        <v>416</v>
      </c>
      <c r="D278" s="61" t="s">
        <v>2</v>
      </c>
      <c r="E278" s="62">
        <f t="shared" si="44"/>
        <v>0</v>
      </c>
      <c r="F278" s="63">
        <f>'Прайс для расчета'!E257</f>
        <v>1155</v>
      </c>
      <c r="G278" s="77">
        <f t="shared" si="41"/>
        <v>0</v>
      </c>
      <c r="I278" s="135">
        <f>'Прайс для расчета (М)'!E257</f>
        <v>577.5</v>
      </c>
      <c r="J278" s="36">
        <f t="shared" si="42"/>
        <v>0</v>
      </c>
    </row>
    <row r="279" spans="2:10" ht="15.6" x14ac:dyDescent="0.3">
      <c r="B279" s="72"/>
      <c r="C279" s="69" t="s">
        <v>149</v>
      </c>
      <c r="D279" s="61" t="s">
        <v>2</v>
      </c>
      <c r="E279" s="62">
        <f t="shared" si="44"/>
        <v>0</v>
      </c>
      <c r="F279" s="63">
        <f>'Прайс для расчета'!E258</f>
        <v>441</v>
      </c>
      <c r="G279" s="77">
        <f t="shared" si="41"/>
        <v>0</v>
      </c>
      <c r="I279" s="135">
        <f>'Прайс для расчета (М)'!E258</f>
        <v>220.5</v>
      </c>
      <c r="J279" s="36">
        <f t="shared" si="42"/>
        <v>0</v>
      </c>
    </row>
    <row r="280" spans="2:10" ht="15.6" x14ac:dyDescent="0.3">
      <c r="B280" s="72"/>
      <c r="C280" s="69" t="s">
        <v>150</v>
      </c>
      <c r="D280" s="61" t="s">
        <v>2</v>
      </c>
      <c r="E280" s="62">
        <f t="shared" si="44"/>
        <v>0</v>
      </c>
      <c r="F280" s="63">
        <f>'Прайс для расчета'!E259</f>
        <v>514.5</v>
      </c>
      <c r="G280" s="77">
        <f t="shared" si="41"/>
        <v>0</v>
      </c>
      <c r="I280" s="135">
        <f>'Прайс для расчета (М)'!E259</f>
        <v>257.25</v>
      </c>
      <c r="J280" s="36">
        <f t="shared" si="42"/>
        <v>0</v>
      </c>
    </row>
    <row r="281" spans="2:10" ht="15.6" x14ac:dyDescent="0.3">
      <c r="B281" s="72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77">
        <f t="shared" si="41"/>
        <v>0</v>
      </c>
      <c r="I281" s="135">
        <f>'Прайс для расчета (М)'!E260</f>
        <v>112.35000000000001</v>
      </c>
      <c r="J281" s="36">
        <f t="shared" si="42"/>
        <v>0</v>
      </c>
    </row>
    <row r="282" spans="2:10" ht="15.6" x14ac:dyDescent="0.3">
      <c r="B282" s="72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77">
        <f t="shared" si="41"/>
        <v>0</v>
      </c>
      <c r="I282" s="135">
        <f>'Прайс для расчета (М)'!E261</f>
        <v>325.5</v>
      </c>
      <c r="J282" s="36">
        <f t="shared" si="42"/>
        <v>0</v>
      </c>
    </row>
    <row r="283" spans="2:10" ht="15.6" x14ac:dyDescent="0.3">
      <c r="B283" s="72"/>
      <c r="C283" s="69" t="s">
        <v>890</v>
      </c>
      <c r="D283" s="61" t="s">
        <v>3</v>
      </c>
      <c r="E283" s="62">
        <f t="shared" ref="E283:E285" si="45">$A$2</f>
        <v>0</v>
      </c>
      <c r="F283" s="63">
        <f>'Прайс для расчета'!E262</f>
        <v>834.75</v>
      </c>
      <c r="G283" s="77">
        <f t="shared" si="41"/>
        <v>0</v>
      </c>
      <c r="I283" s="135">
        <f>'Прайс для расчета (М)'!E262</f>
        <v>417.375</v>
      </c>
      <c r="J283" s="36">
        <f t="shared" si="42"/>
        <v>0</v>
      </c>
    </row>
    <row r="284" spans="2:10" ht="15.6" x14ac:dyDescent="0.3">
      <c r="B284" s="72"/>
      <c r="C284" s="69" t="s">
        <v>418</v>
      </c>
      <c r="D284" s="61" t="s">
        <v>0</v>
      </c>
      <c r="E284" s="62">
        <f t="shared" si="45"/>
        <v>0</v>
      </c>
      <c r="F284" s="63">
        <f>'Прайс для расчета'!E263</f>
        <v>787.5</v>
      </c>
      <c r="G284" s="77">
        <f t="shared" si="41"/>
        <v>0</v>
      </c>
      <c r="I284" s="135">
        <f>'Прайс для расчета (М)'!E263</f>
        <v>393.75</v>
      </c>
      <c r="J284" s="36">
        <f t="shared" si="42"/>
        <v>0</v>
      </c>
    </row>
    <row r="285" spans="2:10" ht="15.6" x14ac:dyDescent="0.3">
      <c r="B285" s="72"/>
      <c r="C285" s="69" t="s">
        <v>137</v>
      </c>
      <c r="D285" s="61" t="s">
        <v>0</v>
      </c>
      <c r="E285" s="62">
        <f t="shared" si="45"/>
        <v>0</v>
      </c>
      <c r="F285" s="63">
        <f>'Прайс для расчета'!E264</f>
        <v>2551.5</v>
      </c>
      <c r="G285" s="77">
        <f t="shared" si="41"/>
        <v>0</v>
      </c>
      <c r="I285" s="135">
        <f>'Прайс для расчета (М)'!E264</f>
        <v>1275.75</v>
      </c>
      <c r="J285" s="36">
        <f t="shared" si="42"/>
        <v>0</v>
      </c>
    </row>
    <row r="286" spans="2:10" ht="15.6" x14ac:dyDescent="0.3">
      <c r="B286" s="72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77">
        <f t="shared" si="41"/>
        <v>0</v>
      </c>
      <c r="I286" s="135">
        <f>'Прайс для расчета (М)'!E265</f>
        <v>76.125</v>
      </c>
      <c r="J286" s="36">
        <f t="shared" si="42"/>
        <v>0</v>
      </c>
    </row>
    <row r="287" spans="2:10" ht="15.6" x14ac:dyDescent="0.3">
      <c r="B287" s="72">
        <f>IF(SUM(B288:B330)&gt;0,1,0)</f>
        <v>0</v>
      </c>
      <c r="C287" s="73" t="s">
        <v>878</v>
      </c>
      <c r="D287" s="74"/>
      <c r="E287" s="75"/>
      <c r="F287" s="76"/>
      <c r="G287" s="77"/>
    </row>
    <row r="288" spans="2:10" ht="15.6" x14ac:dyDescent="0.3">
      <c r="B288" s="72"/>
      <c r="C288" s="69" t="s">
        <v>1055</v>
      </c>
      <c r="D288" s="61" t="s">
        <v>2</v>
      </c>
      <c r="E288" s="62" t="e">
        <f t="shared" ref="E288:E297" si="46">$A$6</f>
        <v>#REF!</v>
      </c>
      <c r="F288" s="63">
        <f>'Прайс для расчета'!E266</f>
        <v>2623.9500000000003</v>
      </c>
      <c r="G288" s="77" t="e">
        <f t="shared" ref="G288:G329" si="47">F288*E288</f>
        <v>#REF!</v>
      </c>
      <c r="I288" s="135">
        <f>'Прайс для расчета (М)'!E266</f>
        <v>1311.9750000000001</v>
      </c>
      <c r="J288" s="36" t="e">
        <f t="shared" ref="J288:J330" si="48">I288*E288</f>
        <v>#REF!</v>
      </c>
    </row>
    <row r="289" spans="2:10" ht="15.6" x14ac:dyDescent="0.3">
      <c r="B289" s="72"/>
      <c r="C289" s="78" t="s">
        <v>988</v>
      </c>
      <c r="D289" s="61" t="s">
        <v>2</v>
      </c>
      <c r="E289" s="62" t="e">
        <f t="shared" si="46"/>
        <v>#REF!</v>
      </c>
      <c r="F289" s="63">
        <f>'Прайс для расчета'!E267</f>
        <v>3043.9500000000003</v>
      </c>
      <c r="G289" s="77" t="e">
        <f t="shared" si="47"/>
        <v>#REF!</v>
      </c>
      <c r="I289" s="135">
        <f>'Прайс для расчета (М)'!E267</f>
        <v>1521.9750000000001</v>
      </c>
      <c r="J289" s="36" t="e">
        <f t="shared" si="48"/>
        <v>#REF!</v>
      </c>
    </row>
    <row r="290" spans="2:10" ht="15.6" x14ac:dyDescent="0.3">
      <c r="B290" s="72"/>
      <c r="C290" s="69" t="s">
        <v>941</v>
      </c>
      <c r="D290" s="61" t="s">
        <v>2</v>
      </c>
      <c r="E290" s="62" t="e">
        <f t="shared" si="46"/>
        <v>#REF!</v>
      </c>
      <c r="F290" s="63">
        <f>'Прайс для расчета'!E268</f>
        <v>3202.5</v>
      </c>
      <c r="G290" s="77" t="e">
        <f t="shared" si="47"/>
        <v>#REF!</v>
      </c>
      <c r="I290" s="135">
        <f>'Прайс для расчета (М)'!E268</f>
        <v>1601.25</v>
      </c>
      <c r="J290" s="36" t="e">
        <f t="shared" si="48"/>
        <v>#REF!</v>
      </c>
    </row>
    <row r="291" spans="2:10" ht="15.6" x14ac:dyDescent="0.3">
      <c r="B291" s="72"/>
      <c r="C291" s="78" t="s">
        <v>989</v>
      </c>
      <c r="D291" s="61" t="s">
        <v>2</v>
      </c>
      <c r="E291" s="62" t="e">
        <f t="shared" si="46"/>
        <v>#REF!</v>
      </c>
      <c r="F291" s="63">
        <f>'Прайс для расчета'!E269</f>
        <v>3927</v>
      </c>
      <c r="G291" s="77" t="e">
        <f t="shared" si="47"/>
        <v>#REF!</v>
      </c>
      <c r="I291" s="135">
        <f>'Прайс для расчета (М)'!E269</f>
        <v>1963.5</v>
      </c>
      <c r="J291" s="36" t="e">
        <f t="shared" si="48"/>
        <v>#REF!</v>
      </c>
    </row>
    <row r="292" spans="2:10" ht="15.6" x14ac:dyDescent="0.3">
      <c r="B292" s="72"/>
      <c r="C292" s="78" t="s">
        <v>936</v>
      </c>
      <c r="D292" s="61" t="s">
        <v>2</v>
      </c>
      <c r="E292" s="62" t="e">
        <f t="shared" si="46"/>
        <v>#REF!</v>
      </c>
      <c r="F292" s="63">
        <f>'Прайс для расчета'!E270</f>
        <v>6762</v>
      </c>
      <c r="G292" s="77" t="e">
        <f t="shared" si="47"/>
        <v>#REF!</v>
      </c>
      <c r="I292" s="135">
        <f>'Прайс для расчета (М)'!E270</f>
        <v>3381</v>
      </c>
      <c r="J292" s="36" t="e">
        <f t="shared" si="48"/>
        <v>#REF!</v>
      </c>
    </row>
    <row r="293" spans="2:10" ht="15.6" x14ac:dyDescent="0.3">
      <c r="B293" s="72"/>
      <c r="C293" s="69" t="s">
        <v>419</v>
      </c>
      <c r="D293" s="61" t="s">
        <v>2</v>
      </c>
      <c r="E293" s="62" t="e">
        <f t="shared" si="46"/>
        <v>#REF!</v>
      </c>
      <c r="F293" s="63">
        <f>'Прайс для расчета'!E271</f>
        <v>2823.4500000000003</v>
      </c>
      <c r="G293" s="77" t="e">
        <f t="shared" si="47"/>
        <v>#REF!</v>
      </c>
      <c r="I293" s="135">
        <f>'Прайс для расчета (М)'!E271</f>
        <v>1411.7250000000001</v>
      </c>
      <c r="J293" s="36" t="e">
        <f t="shared" si="48"/>
        <v>#REF!</v>
      </c>
    </row>
    <row r="294" spans="2:10" ht="15.6" x14ac:dyDescent="0.3">
      <c r="B294" s="72"/>
      <c r="C294" s="69" t="s">
        <v>1059</v>
      </c>
      <c r="D294" s="61" t="s">
        <v>2</v>
      </c>
      <c r="E294" s="62" t="e">
        <f t="shared" si="46"/>
        <v>#REF!</v>
      </c>
      <c r="F294" s="63">
        <f>'Прайс для расчета'!E272</f>
        <v>1365</v>
      </c>
      <c r="G294" s="77" t="e">
        <f t="shared" si="47"/>
        <v>#REF!</v>
      </c>
      <c r="I294" s="135">
        <f>'Прайс для расчета (М)'!E272</f>
        <v>682.5</v>
      </c>
      <c r="J294" s="36" t="e">
        <f t="shared" si="48"/>
        <v>#REF!</v>
      </c>
    </row>
    <row r="295" spans="2:10" ht="15.6" x14ac:dyDescent="0.3">
      <c r="B295" s="72"/>
      <c r="C295" s="69" t="s">
        <v>1060</v>
      </c>
      <c r="D295" s="61" t="s">
        <v>2</v>
      </c>
      <c r="E295" s="62" t="e">
        <f t="shared" si="46"/>
        <v>#REF!</v>
      </c>
      <c r="F295" s="63">
        <f>'Прайс для расчета'!E273</f>
        <v>0</v>
      </c>
      <c r="G295" s="77" t="e">
        <f t="shared" si="47"/>
        <v>#REF!</v>
      </c>
      <c r="I295" s="135">
        <f>'Прайс для расчета (М)'!E273</f>
        <v>0</v>
      </c>
      <c r="J295" s="36" t="e">
        <f t="shared" si="48"/>
        <v>#REF!</v>
      </c>
    </row>
    <row r="296" spans="2:10" ht="15.6" x14ac:dyDescent="0.3">
      <c r="B296" s="72"/>
      <c r="C296" s="69" t="s">
        <v>944</v>
      </c>
      <c r="D296" s="61" t="s">
        <v>2</v>
      </c>
      <c r="E296" s="62" t="e">
        <f t="shared" si="46"/>
        <v>#REF!</v>
      </c>
      <c r="F296" s="63">
        <f>'Прайс для расчета'!E274</f>
        <v>3517.5</v>
      </c>
      <c r="G296" s="77" t="e">
        <f t="shared" si="47"/>
        <v>#REF!</v>
      </c>
      <c r="I296" s="135">
        <f>'Прайс для расчета (М)'!E274</f>
        <v>1758.75</v>
      </c>
      <c r="J296" s="36" t="e">
        <f t="shared" si="48"/>
        <v>#REF!</v>
      </c>
    </row>
    <row r="297" spans="2:10" ht="15.6" x14ac:dyDescent="0.3">
      <c r="B297" s="72"/>
      <c r="C297" s="69" t="s">
        <v>1063</v>
      </c>
      <c r="D297" s="61" t="s">
        <v>2</v>
      </c>
      <c r="E297" s="62" t="e">
        <f t="shared" si="46"/>
        <v>#REF!</v>
      </c>
      <c r="F297" s="63">
        <f>'Прайс для расчета'!E275</f>
        <v>1023.75</v>
      </c>
      <c r="G297" s="77" t="e">
        <f t="shared" si="47"/>
        <v>#REF!</v>
      </c>
      <c r="I297" s="135">
        <f>'Прайс для расчета (М)'!E275</f>
        <v>511.875</v>
      </c>
      <c r="J297" s="36" t="e">
        <f t="shared" si="48"/>
        <v>#REF!</v>
      </c>
    </row>
    <row r="298" spans="2:10" ht="15.6" x14ac:dyDescent="0.3">
      <c r="B298" s="72"/>
      <c r="C298" s="69" t="s">
        <v>1068</v>
      </c>
      <c r="D298" s="61" t="s">
        <v>3</v>
      </c>
      <c r="E298" s="62" t="e">
        <f>ROUND(E292/2,0)</f>
        <v>#REF!</v>
      </c>
      <c r="F298" s="63">
        <f>'Прайс для расчета'!E276</f>
        <v>4384.8</v>
      </c>
      <c r="G298" s="77" t="e">
        <f t="shared" si="47"/>
        <v>#REF!</v>
      </c>
      <c r="I298" s="135">
        <f>'Прайс для расчета (М)'!E276</f>
        <v>2192.4</v>
      </c>
      <c r="J298" s="36" t="e">
        <f t="shared" si="48"/>
        <v>#REF!</v>
      </c>
    </row>
    <row r="299" spans="2:10" ht="15.6" x14ac:dyDescent="0.3">
      <c r="B299" s="72"/>
      <c r="C299" s="69" t="s">
        <v>1069</v>
      </c>
      <c r="D299" s="61" t="s">
        <v>2</v>
      </c>
      <c r="E299" s="62" t="e">
        <f>$A$6</f>
        <v>#REF!</v>
      </c>
      <c r="F299" s="63">
        <f>'Прайс для расчета'!E277</f>
        <v>4042.5</v>
      </c>
      <c r="G299" s="77" t="e">
        <f t="shared" si="47"/>
        <v>#REF!</v>
      </c>
      <c r="I299" s="135">
        <f>'Прайс для расчета (М)'!E277</f>
        <v>2021.25</v>
      </c>
      <c r="J299" s="36" t="e">
        <f t="shared" si="48"/>
        <v>#REF!</v>
      </c>
    </row>
    <row r="300" spans="2:10" ht="15.6" x14ac:dyDescent="0.3">
      <c r="B300" s="72"/>
      <c r="C300" s="69" t="s">
        <v>1071</v>
      </c>
      <c r="D300" s="61" t="s">
        <v>2</v>
      </c>
      <c r="E300" s="62" t="e">
        <f>$A$6</f>
        <v>#REF!</v>
      </c>
      <c r="F300" s="63">
        <f>'Прайс для расчета'!E278</f>
        <v>5512.5</v>
      </c>
      <c r="G300" s="77" t="e">
        <f t="shared" si="47"/>
        <v>#REF!</v>
      </c>
      <c r="I300" s="135">
        <f>'Прайс для расчета (М)'!E278</f>
        <v>2756.25</v>
      </c>
      <c r="J300" s="36" t="e">
        <f t="shared" si="48"/>
        <v>#REF!</v>
      </c>
    </row>
    <row r="301" spans="2:10" ht="15.6" x14ac:dyDescent="0.3">
      <c r="B301" s="72"/>
      <c r="C301" s="69" t="s">
        <v>231</v>
      </c>
      <c r="D301" s="61" t="s">
        <v>2</v>
      </c>
      <c r="E301" s="62" t="e">
        <f>$A$6</f>
        <v>#REF!</v>
      </c>
      <c r="F301" s="63">
        <f>'Прайс для расчета'!E279</f>
        <v>414.75</v>
      </c>
      <c r="G301" s="77" t="e">
        <f t="shared" si="47"/>
        <v>#REF!</v>
      </c>
      <c r="I301" s="135">
        <f>'Прайс для расчета (М)'!E279</f>
        <v>207.375</v>
      </c>
      <c r="J301" s="36" t="e">
        <f t="shared" si="48"/>
        <v>#REF!</v>
      </c>
    </row>
    <row r="302" spans="2:10" ht="15.6" x14ac:dyDescent="0.3">
      <c r="B302" s="72"/>
      <c r="C302" s="69" t="s">
        <v>937</v>
      </c>
      <c r="D302" s="61" t="s">
        <v>2</v>
      </c>
      <c r="E302" s="62" t="e">
        <f>$A$6</f>
        <v>#REF!</v>
      </c>
      <c r="F302" s="63">
        <f>'Прайс для расчета'!E280</f>
        <v>1349.25</v>
      </c>
      <c r="G302" s="77" t="e">
        <f t="shared" si="47"/>
        <v>#REF!</v>
      </c>
      <c r="I302" s="135">
        <f>'Прайс для расчета (М)'!E280</f>
        <v>674.625</v>
      </c>
      <c r="J302" s="36" t="e">
        <f t="shared" si="48"/>
        <v>#REF!</v>
      </c>
    </row>
    <row r="303" spans="2:10" ht="15.6" x14ac:dyDescent="0.3">
      <c r="B303" s="72"/>
      <c r="C303" s="69" t="s">
        <v>938</v>
      </c>
      <c r="D303" s="61" t="s">
        <v>2</v>
      </c>
      <c r="E303" s="62" t="e">
        <f>$A$6</f>
        <v>#REF!</v>
      </c>
      <c r="F303" s="63">
        <f>'Прайс для расчета'!E281</f>
        <v>1044.75</v>
      </c>
      <c r="G303" s="77" t="e">
        <f t="shared" si="47"/>
        <v>#REF!</v>
      </c>
      <c r="I303" s="135">
        <f>'Прайс для расчета (М)'!E281</f>
        <v>522.375</v>
      </c>
      <c r="J303" s="36" t="e">
        <f t="shared" si="48"/>
        <v>#REF!</v>
      </c>
    </row>
    <row r="304" spans="2:10" ht="15.6" x14ac:dyDescent="0.3">
      <c r="B304" s="72"/>
      <c r="C304" s="69" t="s">
        <v>1057</v>
      </c>
      <c r="D304" s="61" t="s">
        <v>3</v>
      </c>
      <c r="E304" s="62" t="e">
        <f>ROUND(E289/2,0)</f>
        <v>#REF!</v>
      </c>
      <c r="F304" s="63">
        <f>'Прайс для расчета'!E282</f>
        <v>509.25</v>
      </c>
      <c r="G304" s="77" t="e">
        <f t="shared" si="47"/>
        <v>#REF!</v>
      </c>
      <c r="I304" s="135">
        <f>'Прайс для расчета (М)'!E282</f>
        <v>254.625</v>
      </c>
      <c r="J304" s="36" t="e">
        <f t="shared" si="48"/>
        <v>#REF!</v>
      </c>
    </row>
    <row r="305" spans="2:10" ht="15.6" x14ac:dyDescent="0.3">
      <c r="B305" s="72"/>
      <c r="C305" s="69" t="s">
        <v>677</v>
      </c>
      <c r="D305" s="61" t="s">
        <v>3</v>
      </c>
      <c r="E305" s="62" t="e">
        <f>ROUND(E299/2,0)</f>
        <v>#REF!</v>
      </c>
      <c r="F305" s="63">
        <f>'Прайс для расчета'!E283</f>
        <v>572.25</v>
      </c>
      <c r="G305" s="77" t="e">
        <f t="shared" si="47"/>
        <v>#REF!</v>
      </c>
      <c r="I305" s="135">
        <f>'Прайс для расчета (М)'!E283</f>
        <v>286.125</v>
      </c>
      <c r="J305" s="36" t="e">
        <f t="shared" si="48"/>
        <v>#REF!</v>
      </c>
    </row>
    <row r="306" spans="2:10" ht="15.6" x14ac:dyDescent="0.3">
      <c r="B306" s="72"/>
      <c r="C306" s="69" t="s">
        <v>160</v>
      </c>
      <c r="D306" s="61" t="s">
        <v>2</v>
      </c>
      <c r="E306" s="62" t="e">
        <f>$A$6</f>
        <v>#REF!</v>
      </c>
      <c r="F306" s="63">
        <f>'Прайс для расчета'!E284</f>
        <v>3138.4500000000003</v>
      </c>
      <c r="G306" s="77" t="e">
        <f t="shared" si="47"/>
        <v>#REF!</v>
      </c>
      <c r="I306" s="135">
        <f>'Прайс для расчета (М)'!E284</f>
        <v>1569.2250000000001</v>
      </c>
      <c r="J306" s="36" t="e">
        <f t="shared" si="48"/>
        <v>#REF!</v>
      </c>
    </row>
    <row r="307" spans="2:10" ht="15.6" x14ac:dyDescent="0.3">
      <c r="B307" s="72"/>
      <c r="C307" s="69" t="s">
        <v>232</v>
      </c>
      <c r="D307" s="61" t="s">
        <v>3</v>
      </c>
      <c r="E307" s="62">
        <v>1</v>
      </c>
      <c r="F307" s="63">
        <f>'Прайс для расчета'!E285</f>
        <v>1464.75</v>
      </c>
      <c r="G307" s="77">
        <f t="shared" si="47"/>
        <v>1464.75</v>
      </c>
      <c r="I307" s="135">
        <f>'Прайс для расчета (М)'!E285</f>
        <v>732.375</v>
      </c>
      <c r="J307" s="36">
        <f t="shared" si="48"/>
        <v>732.375</v>
      </c>
    </row>
    <row r="308" spans="2:10" ht="15.6" x14ac:dyDescent="0.3">
      <c r="B308" s="72"/>
      <c r="C308" s="69" t="s">
        <v>523</v>
      </c>
      <c r="D308" s="61" t="s">
        <v>3</v>
      </c>
      <c r="E308" s="62">
        <v>1</v>
      </c>
      <c r="F308" s="63">
        <f>'Прайс для расчета'!E286</f>
        <v>367.5</v>
      </c>
      <c r="G308" s="77">
        <f t="shared" si="47"/>
        <v>367.5</v>
      </c>
      <c r="I308" s="135">
        <f>'Прайс для расчета (М)'!E286</f>
        <v>183.75</v>
      </c>
      <c r="J308" s="36">
        <f t="shared" si="48"/>
        <v>183.75</v>
      </c>
    </row>
    <row r="309" spans="2:10" ht="15.6" x14ac:dyDescent="0.3">
      <c r="B309" s="72"/>
      <c r="C309" s="69" t="s">
        <v>270</v>
      </c>
      <c r="D309" s="61" t="s">
        <v>2</v>
      </c>
      <c r="E309" s="62" t="e">
        <f t="shared" ref="E309:E321" si="49">$A$6</f>
        <v>#REF!</v>
      </c>
      <c r="F309" s="63">
        <f>'Прайс для расчета'!E287</f>
        <v>2220.75</v>
      </c>
      <c r="G309" s="77" t="e">
        <f t="shared" si="47"/>
        <v>#REF!</v>
      </c>
      <c r="I309" s="135">
        <f>'Прайс для расчета (М)'!E287</f>
        <v>1110.375</v>
      </c>
      <c r="J309" s="36" t="e">
        <f t="shared" si="48"/>
        <v>#REF!</v>
      </c>
    </row>
    <row r="310" spans="2:10" ht="15.6" x14ac:dyDescent="0.3">
      <c r="B310" s="72"/>
      <c r="C310" s="69" t="s">
        <v>524</v>
      </c>
      <c r="D310" s="61" t="s">
        <v>2</v>
      </c>
      <c r="E310" s="62" t="e">
        <f t="shared" si="49"/>
        <v>#REF!</v>
      </c>
      <c r="F310" s="63">
        <f>'Прайс для расчета'!E288</f>
        <v>2577.75</v>
      </c>
      <c r="G310" s="77" t="e">
        <f t="shared" si="47"/>
        <v>#REF!</v>
      </c>
      <c r="I310" s="135">
        <f>'Прайс для расчета (М)'!E288</f>
        <v>1288.875</v>
      </c>
      <c r="J310" s="36" t="e">
        <f t="shared" si="48"/>
        <v>#REF!</v>
      </c>
    </row>
    <row r="311" spans="2:10" ht="15.6" x14ac:dyDescent="0.3">
      <c r="B311" s="72"/>
      <c r="C311" s="69" t="s">
        <v>525</v>
      </c>
      <c r="D311" s="61" t="s">
        <v>2</v>
      </c>
      <c r="E311" s="62" t="e">
        <f t="shared" si="49"/>
        <v>#REF!</v>
      </c>
      <c r="F311" s="63">
        <f>'Прайс для расчета'!E289</f>
        <v>1291.5</v>
      </c>
      <c r="G311" s="77" t="e">
        <f t="shared" si="47"/>
        <v>#REF!</v>
      </c>
      <c r="I311" s="135">
        <f>'Прайс для расчета (М)'!E289</f>
        <v>645.75</v>
      </c>
      <c r="J311" s="36" t="e">
        <f t="shared" si="48"/>
        <v>#REF!</v>
      </c>
    </row>
    <row r="312" spans="2:10" ht="15.6" x14ac:dyDescent="0.3">
      <c r="B312" s="72"/>
      <c r="C312" s="69" t="s">
        <v>526</v>
      </c>
      <c r="D312" s="61" t="s">
        <v>2</v>
      </c>
      <c r="E312" s="62" t="e">
        <f t="shared" si="49"/>
        <v>#REF!</v>
      </c>
      <c r="F312" s="63">
        <f>'Прайс для расчета'!E290</f>
        <v>1186.5</v>
      </c>
      <c r="G312" s="77" t="e">
        <f t="shared" si="47"/>
        <v>#REF!</v>
      </c>
      <c r="I312" s="135">
        <f>'Прайс для расчета (М)'!E290</f>
        <v>593.25</v>
      </c>
      <c r="J312" s="36" t="e">
        <f t="shared" si="48"/>
        <v>#REF!</v>
      </c>
    </row>
    <row r="313" spans="2:10" ht="15.6" x14ac:dyDescent="0.3">
      <c r="B313" s="72"/>
      <c r="C313" s="69" t="s">
        <v>271</v>
      </c>
      <c r="D313" s="61" t="s">
        <v>2</v>
      </c>
      <c r="E313" s="62" t="e">
        <f t="shared" si="49"/>
        <v>#REF!</v>
      </c>
      <c r="F313" s="63">
        <f>'Прайс для расчета'!E291</f>
        <v>761.25</v>
      </c>
      <c r="G313" s="77" t="e">
        <f t="shared" si="47"/>
        <v>#REF!</v>
      </c>
      <c r="I313" s="135">
        <f>'Прайс для расчета (М)'!E291</f>
        <v>380.625</v>
      </c>
      <c r="J313" s="36" t="e">
        <f t="shared" si="48"/>
        <v>#REF!</v>
      </c>
    </row>
    <row r="314" spans="2:10" ht="15.6" x14ac:dyDescent="0.3">
      <c r="B314" s="72"/>
      <c r="C314" s="69" t="s">
        <v>566</v>
      </c>
      <c r="D314" s="61" t="s">
        <v>2</v>
      </c>
      <c r="E314" s="62" t="e">
        <f t="shared" si="49"/>
        <v>#REF!</v>
      </c>
      <c r="F314" s="63">
        <f>'Прайс для расчета'!E294</f>
        <v>1732.5</v>
      </c>
      <c r="G314" s="77" t="e">
        <f t="shared" si="47"/>
        <v>#REF!</v>
      </c>
      <c r="I314" s="135">
        <f>'Прайс для расчета (М)'!E294</f>
        <v>866.25</v>
      </c>
      <c r="J314" s="36" t="e">
        <f t="shared" si="48"/>
        <v>#REF!</v>
      </c>
    </row>
    <row r="315" spans="2:10" ht="15.6" x14ac:dyDescent="0.3">
      <c r="B315" s="72"/>
      <c r="C315" s="69" t="s">
        <v>527</v>
      </c>
      <c r="D315" s="61" t="s">
        <v>2</v>
      </c>
      <c r="E315" s="62" t="e">
        <f t="shared" si="49"/>
        <v>#REF!</v>
      </c>
      <c r="F315" s="63">
        <f>'Прайс для расчета'!E295</f>
        <v>1942.5</v>
      </c>
      <c r="G315" s="77" t="e">
        <f t="shared" si="47"/>
        <v>#REF!</v>
      </c>
      <c r="I315" s="135">
        <f>'Прайс для расчета (М)'!E295</f>
        <v>971.25</v>
      </c>
      <c r="J315" s="36" t="e">
        <f t="shared" si="48"/>
        <v>#REF!</v>
      </c>
    </row>
    <row r="316" spans="2:10" ht="15.6" x14ac:dyDescent="0.3">
      <c r="B316" s="72"/>
      <c r="C316" s="69" t="s">
        <v>678</v>
      </c>
      <c r="D316" s="61" t="s">
        <v>2</v>
      </c>
      <c r="E316" s="62" t="e">
        <f t="shared" si="49"/>
        <v>#REF!</v>
      </c>
      <c r="F316" s="63">
        <f>'Прайс для расчета'!E296</f>
        <v>3097.5</v>
      </c>
      <c r="G316" s="77" t="e">
        <f t="shared" si="47"/>
        <v>#REF!</v>
      </c>
      <c r="I316" s="135">
        <f>'Прайс для расчета (М)'!E296</f>
        <v>1548.75</v>
      </c>
      <c r="J316" s="36" t="e">
        <f t="shared" si="48"/>
        <v>#REF!</v>
      </c>
    </row>
    <row r="317" spans="2:10" ht="15.6" x14ac:dyDescent="0.3">
      <c r="B317" s="72"/>
      <c r="C317" s="69" t="s">
        <v>680</v>
      </c>
      <c r="D317" s="61" t="s">
        <v>2</v>
      </c>
      <c r="E317" s="62" t="e">
        <f t="shared" si="49"/>
        <v>#REF!</v>
      </c>
      <c r="F317" s="63">
        <f>'Прайс для расчета'!E310</f>
        <v>5040</v>
      </c>
      <c r="G317" s="77" t="e">
        <f t="shared" si="47"/>
        <v>#REF!</v>
      </c>
      <c r="I317" s="135">
        <f>'Прайс для расчета (М)'!E310</f>
        <v>2520</v>
      </c>
      <c r="J317" s="36" t="e">
        <f t="shared" si="48"/>
        <v>#REF!</v>
      </c>
    </row>
    <row r="318" spans="2:10" ht="15.6" x14ac:dyDescent="0.3">
      <c r="B318" s="72"/>
      <c r="C318" s="69" t="s">
        <v>679</v>
      </c>
      <c r="D318" s="61" t="s">
        <v>2</v>
      </c>
      <c r="E318" s="62" t="e">
        <f t="shared" si="49"/>
        <v>#REF!</v>
      </c>
      <c r="F318" s="63">
        <f>'Прайс для расчета'!E297</f>
        <v>1044.75</v>
      </c>
      <c r="G318" s="77" t="e">
        <f t="shared" si="47"/>
        <v>#REF!</v>
      </c>
      <c r="I318" s="135">
        <f>'Прайс для расчета (М)'!E297</f>
        <v>522.375</v>
      </c>
      <c r="J318" s="36" t="e">
        <f t="shared" si="48"/>
        <v>#REF!</v>
      </c>
    </row>
    <row r="319" spans="2:10" ht="15.6" x14ac:dyDescent="0.3">
      <c r="B319" s="72"/>
      <c r="C319" s="69" t="s">
        <v>422</v>
      </c>
      <c r="D319" s="61" t="s">
        <v>2</v>
      </c>
      <c r="E319" s="62" t="e">
        <f t="shared" si="49"/>
        <v>#REF!</v>
      </c>
      <c r="F319" s="63">
        <f>'Прайс для расчета'!E298</f>
        <v>593.25</v>
      </c>
      <c r="G319" s="77" t="e">
        <f t="shared" si="47"/>
        <v>#REF!</v>
      </c>
      <c r="I319" s="135">
        <f>'Прайс для расчета (М)'!E298</f>
        <v>296.625</v>
      </c>
      <c r="J319" s="36" t="e">
        <f t="shared" si="48"/>
        <v>#REF!</v>
      </c>
    </row>
    <row r="320" spans="2:10" ht="15.6" x14ac:dyDescent="0.3">
      <c r="B320" s="72"/>
      <c r="C320" s="69" t="s">
        <v>947</v>
      </c>
      <c r="D320" s="61" t="s">
        <v>2</v>
      </c>
      <c r="E320" s="62" t="e">
        <f t="shared" si="49"/>
        <v>#REF!</v>
      </c>
      <c r="F320" s="63">
        <f>'Прайс для расчета'!E299</f>
        <v>635.25</v>
      </c>
      <c r="G320" s="77" t="e">
        <f t="shared" si="47"/>
        <v>#REF!</v>
      </c>
      <c r="I320" s="135">
        <f>'Прайс для расчета (М)'!E299</f>
        <v>317.625</v>
      </c>
      <c r="J320" s="36" t="e">
        <f t="shared" si="48"/>
        <v>#REF!</v>
      </c>
    </row>
    <row r="321" spans="2:10" ht="31.2" x14ac:dyDescent="0.3">
      <c r="B321" s="72"/>
      <c r="C321" s="69" t="s">
        <v>1074</v>
      </c>
      <c r="D321" s="61" t="s">
        <v>3</v>
      </c>
      <c r="E321" s="62" t="e">
        <f t="shared" si="49"/>
        <v>#REF!</v>
      </c>
      <c r="F321" s="63">
        <f>'Прайс для расчета'!E300</f>
        <v>1181.25</v>
      </c>
      <c r="G321" s="77" t="e">
        <f t="shared" si="47"/>
        <v>#REF!</v>
      </c>
      <c r="I321" s="135">
        <f>'Прайс для расчета (М)'!E300</f>
        <v>590.625</v>
      </c>
      <c r="J321" s="36" t="e">
        <f t="shared" si="48"/>
        <v>#REF!</v>
      </c>
    </row>
    <row r="322" spans="2:10" ht="15.6" x14ac:dyDescent="0.3">
      <c r="B322" s="72"/>
      <c r="C322" s="69" t="s">
        <v>423</v>
      </c>
      <c r="D322" s="61" t="s">
        <v>2</v>
      </c>
      <c r="E322" s="62" t="e">
        <f>$A$6</f>
        <v>#REF!</v>
      </c>
      <c r="F322" s="63">
        <f>'Прайс для расчета'!E301</f>
        <v>635.25</v>
      </c>
      <c r="G322" s="77" t="e">
        <f t="shared" si="47"/>
        <v>#REF!</v>
      </c>
      <c r="I322" s="135">
        <f>'Прайс для расчета (М)'!E301</f>
        <v>317.625</v>
      </c>
      <c r="J322" s="36" t="e">
        <f t="shared" si="48"/>
        <v>#REF!</v>
      </c>
    </row>
    <row r="323" spans="2:10" ht="15.6" x14ac:dyDescent="0.3">
      <c r="B323" s="72"/>
      <c r="C323" s="69" t="s">
        <v>424</v>
      </c>
      <c r="D323" s="61" t="s">
        <v>2</v>
      </c>
      <c r="E323" s="62" t="e">
        <f>$A$6</f>
        <v>#REF!</v>
      </c>
      <c r="F323" s="63">
        <f>'Прайс для расчета'!E302</f>
        <v>498.75</v>
      </c>
      <c r="G323" s="77" t="e">
        <f t="shared" si="47"/>
        <v>#REF!</v>
      </c>
      <c r="I323" s="135">
        <f>'Прайс для расчета (М)'!E302</f>
        <v>249.375</v>
      </c>
      <c r="J323" s="36" t="e">
        <f t="shared" si="48"/>
        <v>#REF!</v>
      </c>
    </row>
    <row r="324" spans="2:10" ht="15.6" x14ac:dyDescent="0.3">
      <c r="B324" s="72"/>
      <c r="C324" s="69" t="s">
        <v>425</v>
      </c>
      <c r="D324" s="61" t="s">
        <v>3</v>
      </c>
      <c r="E324" s="62">
        <v>1</v>
      </c>
      <c r="F324" s="63">
        <f>'Прайс для расчета'!E303</f>
        <v>183.75</v>
      </c>
      <c r="G324" s="77">
        <f t="shared" si="47"/>
        <v>183.75</v>
      </c>
      <c r="I324" s="135">
        <f>'Прайс для расчета (М)'!E303</f>
        <v>91.875</v>
      </c>
      <c r="J324" s="36">
        <f t="shared" si="48"/>
        <v>91.875</v>
      </c>
    </row>
    <row r="325" spans="2:10" ht="15.6" x14ac:dyDescent="0.3">
      <c r="B325" s="72"/>
      <c r="C325" s="69" t="s">
        <v>426</v>
      </c>
      <c r="D325" s="61" t="s">
        <v>2</v>
      </c>
      <c r="E325" s="62">
        <v>1</v>
      </c>
      <c r="F325" s="63">
        <f>'Прайс для расчета'!E304</f>
        <v>1181.25</v>
      </c>
      <c r="G325" s="77">
        <f t="shared" si="47"/>
        <v>1181.25</v>
      </c>
      <c r="I325" s="135">
        <f>'Прайс для расчета (М)'!E304</f>
        <v>590.625</v>
      </c>
      <c r="J325" s="36">
        <f t="shared" si="48"/>
        <v>590.625</v>
      </c>
    </row>
    <row r="326" spans="2:10" ht="15.6" x14ac:dyDescent="0.3">
      <c r="B326" s="72"/>
      <c r="C326" s="69" t="s">
        <v>427</v>
      </c>
      <c r="D326" s="61" t="s">
        <v>2</v>
      </c>
      <c r="E326" s="62" t="e">
        <f>$A$6</f>
        <v>#REF!</v>
      </c>
      <c r="F326" s="63">
        <f>'Прайс для расчета'!E305</f>
        <v>1055.25</v>
      </c>
      <c r="G326" s="77" t="e">
        <f t="shared" si="47"/>
        <v>#REF!</v>
      </c>
      <c r="I326" s="135">
        <f>'Прайс для расчета (М)'!E305</f>
        <v>527.625</v>
      </c>
      <c r="J326" s="36" t="e">
        <f t="shared" si="48"/>
        <v>#REF!</v>
      </c>
    </row>
    <row r="327" spans="2:10" ht="15.6" x14ac:dyDescent="0.3">
      <c r="B327" s="72"/>
      <c r="C327" s="69" t="s">
        <v>528</v>
      </c>
      <c r="D327" s="61" t="s">
        <v>2</v>
      </c>
      <c r="E327" s="62" t="e">
        <f t="shared" ref="E327:E330" si="50">$A$6</f>
        <v>#REF!</v>
      </c>
      <c r="F327" s="63">
        <f>'Прайс для расчета'!E306</f>
        <v>3990</v>
      </c>
      <c r="G327" s="77" t="e">
        <f t="shared" si="47"/>
        <v>#REF!</v>
      </c>
      <c r="I327" s="135">
        <f>'Прайс для расчета (М)'!E306</f>
        <v>1995</v>
      </c>
      <c r="J327" s="36" t="e">
        <f t="shared" si="48"/>
        <v>#REF!</v>
      </c>
    </row>
    <row r="328" spans="2:10" ht="15.6" x14ac:dyDescent="0.3">
      <c r="B328" s="72"/>
      <c r="C328" s="69" t="s">
        <v>429</v>
      </c>
      <c r="D328" s="61" t="s">
        <v>2</v>
      </c>
      <c r="E328" s="62" t="e">
        <f t="shared" si="50"/>
        <v>#REF!</v>
      </c>
      <c r="F328" s="63">
        <f>'Прайс для расчета'!E307</f>
        <v>472.5</v>
      </c>
      <c r="G328" s="77" t="e">
        <f t="shared" si="47"/>
        <v>#REF!</v>
      </c>
      <c r="I328" s="135">
        <f>'Прайс для расчета (М)'!E307</f>
        <v>236.25</v>
      </c>
      <c r="J328" s="36" t="e">
        <f t="shared" si="48"/>
        <v>#REF!</v>
      </c>
    </row>
    <row r="329" spans="2:10" ht="15.6" x14ac:dyDescent="0.3">
      <c r="B329" s="72"/>
      <c r="C329" s="69" t="s">
        <v>529</v>
      </c>
      <c r="D329" s="61" t="s">
        <v>2</v>
      </c>
      <c r="E329" s="62" t="e">
        <f t="shared" si="50"/>
        <v>#REF!</v>
      </c>
      <c r="F329" s="63">
        <f>'Прайс для расчета'!E308</f>
        <v>787.5</v>
      </c>
      <c r="G329" s="77" t="e">
        <f t="shared" si="47"/>
        <v>#REF!</v>
      </c>
      <c r="I329" s="135">
        <f>'Прайс для расчета (М)'!E308</f>
        <v>393.75</v>
      </c>
      <c r="J329" s="36" t="e">
        <f t="shared" si="48"/>
        <v>#REF!</v>
      </c>
    </row>
    <row r="330" spans="2:10" ht="15.6" x14ac:dyDescent="0.3">
      <c r="B330" s="72"/>
      <c r="C330" s="69" t="s">
        <v>430</v>
      </c>
      <c r="D330" s="61" t="s">
        <v>2</v>
      </c>
      <c r="E330" s="62" t="e">
        <f t="shared" si="50"/>
        <v>#REF!</v>
      </c>
      <c r="F330" s="63">
        <f>'Прайс для расчета'!E309</f>
        <v>420</v>
      </c>
      <c r="G330" s="77" t="e">
        <f>F330*E330</f>
        <v>#REF!</v>
      </c>
      <c r="I330" s="135">
        <f>'Прайс для расчета (М)'!E309</f>
        <v>210</v>
      </c>
      <c r="J330" s="36" t="e">
        <f t="shared" si="48"/>
        <v>#REF!</v>
      </c>
    </row>
    <row r="331" spans="2:10" ht="15.6" x14ac:dyDescent="0.3">
      <c r="B331" s="72">
        <f>IF(SUM(B332:B338)&gt;0,1,0)</f>
        <v>0</v>
      </c>
      <c r="C331" s="73" t="s">
        <v>884</v>
      </c>
      <c r="D331" s="74"/>
      <c r="E331" s="75"/>
      <c r="F331" s="76"/>
      <c r="G331" s="77"/>
    </row>
    <row r="332" spans="2:10" ht="15.6" x14ac:dyDescent="0.3">
      <c r="B332" s="72"/>
      <c r="C332" s="78" t="s">
        <v>431</v>
      </c>
      <c r="D332" s="74" t="s">
        <v>3</v>
      </c>
      <c r="E332" s="75">
        <f>E210</f>
        <v>1</v>
      </c>
      <c r="F332" s="76">
        <f>'Прайс для расчета'!E311</f>
        <v>315</v>
      </c>
      <c r="G332" s="77">
        <f t="shared" ref="G332:G338" si="51">F332*E332</f>
        <v>315</v>
      </c>
      <c r="I332" s="135">
        <f>'Прайс для расчета (М)'!E311</f>
        <v>157.5</v>
      </c>
      <c r="J332" s="36">
        <f t="shared" ref="J332:J338" si="52">I332*E332</f>
        <v>157.5</v>
      </c>
    </row>
    <row r="333" spans="2:10" ht="15.6" x14ac:dyDescent="0.3">
      <c r="B333" s="72"/>
      <c r="C333" s="78" t="s">
        <v>432</v>
      </c>
      <c r="D333" s="74" t="s">
        <v>3</v>
      </c>
      <c r="E333" s="75">
        <f>E210</f>
        <v>1</v>
      </c>
      <c r="F333" s="76">
        <f>'Прайс для расчета'!E312</f>
        <v>367.5</v>
      </c>
      <c r="G333" s="77">
        <f t="shared" si="51"/>
        <v>367.5</v>
      </c>
      <c r="I333" s="135">
        <f>'Прайс для расчета (М)'!E312</f>
        <v>183.75</v>
      </c>
      <c r="J333" s="36">
        <f t="shared" si="52"/>
        <v>183.75</v>
      </c>
    </row>
    <row r="334" spans="2:10" ht="15.6" x14ac:dyDescent="0.3">
      <c r="B334" s="72"/>
      <c r="C334" s="78" t="s">
        <v>115</v>
      </c>
      <c r="D334" s="74" t="s">
        <v>3</v>
      </c>
      <c r="E334" s="75">
        <f>E210</f>
        <v>1</v>
      </c>
      <c r="F334" s="76">
        <f>'Прайс для расчета'!E313</f>
        <v>194.25</v>
      </c>
      <c r="G334" s="77">
        <f t="shared" si="51"/>
        <v>194.25</v>
      </c>
      <c r="I334" s="135">
        <f>'Прайс для расчета (М)'!E313</f>
        <v>97.125</v>
      </c>
      <c r="J334" s="36">
        <f t="shared" si="52"/>
        <v>97.125</v>
      </c>
    </row>
    <row r="335" spans="2:10" ht="15.6" x14ac:dyDescent="0.3">
      <c r="B335" s="72"/>
      <c r="C335" s="78" t="s">
        <v>433</v>
      </c>
      <c r="D335" s="74" t="s">
        <v>3</v>
      </c>
      <c r="E335" s="75">
        <f>E210</f>
        <v>1</v>
      </c>
      <c r="F335" s="76">
        <f>'Прайс для расчета'!E314</f>
        <v>735</v>
      </c>
      <c r="G335" s="77">
        <f t="shared" si="51"/>
        <v>735</v>
      </c>
      <c r="I335" s="135">
        <f>'Прайс для расчета (М)'!E314</f>
        <v>367.5</v>
      </c>
      <c r="J335" s="36">
        <f t="shared" si="52"/>
        <v>367.5</v>
      </c>
    </row>
    <row r="336" spans="2:10" ht="15.6" x14ac:dyDescent="0.3">
      <c r="B336" s="72"/>
      <c r="C336" s="78" t="s">
        <v>434</v>
      </c>
      <c r="D336" s="74" t="s">
        <v>3</v>
      </c>
      <c r="E336" s="75">
        <f>E210</f>
        <v>1</v>
      </c>
      <c r="F336" s="76">
        <f>'Прайс для расчета'!E315</f>
        <v>1349.25</v>
      </c>
      <c r="G336" s="77">
        <f t="shared" si="51"/>
        <v>1349.25</v>
      </c>
      <c r="I336" s="135">
        <f>'Прайс для расчета (М)'!E315</f>
        <v>674.625</v>
      </c>
      <c r="J336" s="36">
        <f t="shared" si="52"/>
        <v>674.625</v>
      </c>
    </row>
    <row r="337" spans="2:10" ht="15.6" x14ac:dyDescent="0.3">
      <c r="B337" s="72"/>
      <c r="C337" s="78" t="s">
        <v>1075</v>
      </c>
      <c r="D337" s="74" t="s">
        <v>3</v>
      </c>
      <c r="E337" s="75">
        <f>E210</f>
        <v>1</v>
      </c>
      <c r="F337" s="76">
        <f>'Прайс для расчета'!E316</f>
        <v>0</v>
      </c>
      <c r="G337" s="77">
        <f t="shared" si="51"/>
        <v>0</v>
      </c>
      <c r="I337" s="135">
        <f>'Прайс для расчета (М)'!E316</f>
        <v>0</v>
      </c>
      <c r="J337" s="36">
        <f t="shared" si="52"/>
        <v>0</v>
      </c>
    </row>
    <row r="338" spans="2:10" ht="15.6" x14ac:dyDescent="0.3">
      <c r="B338" s="72"/>
      <c r="C338" s="78" t="s">
        <v>435</v>
      </c>
      <c r="D338" s="74" t="s">
        <v>3</v>
      </c>
      <c r="E338" s="75">
        <f>E337</f>
        <v>1</v>
      </c>
      <c r="F338" s="76">
        <f>'Прайс для расчета'!E317</f>
        <v>1464.75</v>
      </c>
      <c r="G338" s="77">
        <f t="shared" si="51"/>
        <v>1464.75</v>
      </c>
      <c r="I338" s="135">
        <f>'Прайс для расчета (М)'!E317</f>
        <v>732.375</v>
      </c>
      <c r="J338" s="36">
        <f t="shared" si="52"/>
        <v>732.375</v>
      </c>
    </row>
    <row r="339" spans="2:10" ht="15.6" x14ac:dyDescent="0.3">
      <c r="B339" s="72">
        <f>IF(SUM(B340:B352)&gt;0,1,0)</f>
        <v>0</v>
      </c>
      <c r="C339" s="73" t="s">
        <v>879</v>
      </c>
      <c r="D339" s="74"/>
      <c r="E339" s="75"/>
      <c r="F339" s="76"/>
      <c r="G339" s="77"/>
    </row>
    <row r="340" spans="2:10" ht="15.6" x14ac:dyDescent="0.3">
      <c r="B340" s="72"/>
      <c r="C340" s="78" t="s">
        <v>436</v>
      </c>
      <c r="D340" s="74" t="s">
        <v>2</v>
      </c>
      <c r="E340" s="75">
        <f>$A$4</f>
        <v>0</v>
      </c>
      <c r="F340" s="76">
        <f>'Прайс для расчета'!E318</f>
        <v>577.5</v>
      </c>
      <c r="G340" s="77">
        <f t="shared" ref="G340:G352" si="53">F340*E340</f>
        <v>0</v>
      </c>
      <c r="I340" s="135">
        <f>'Прайс для расчета (М)'!E318</f>
        <v>288.75</v>
      </c>
      <c r="J340" s="36">
        <f t="shared" ref="J340:J352" si="54">I340*E340</f>
        <v>0</v>
      </c>
    </row>
    <row r="341" spans="2:10" ht="15.6" x14ac:dyDescent="0.3">
      <c r="B341" s="72"/>
      <c r="C341" s="78" t="s">
        <v>437</v>
      </c>
      <c r="D341" s="74" t="s">
        <v>2</v>
      </c>
      <c r="E341" s="75">
        <f>$A$4</f>
        <v>0</v>
      </c>
      <c r="F341" s="76">
        <f>'Прайс для расчета'!E319</f>
        <v>1396.5</v>
      </c>
      <c r="G341" s="77">
        <f t="shared" si="53"/>
        <v>0</v>
      </c>
      <c r="I341" s="135">
        <f>'Прайс для расчета (М)'!E319</f>
        <v>698.25</v>
      </c>
      <c r="J341" s="36">
        <f t="shared" si="54"/>
        <v>0</v>
      </c>
    </row>
    <row r="342" spans="2:10" ht="15.6" x14ac:dyDescent="0.3">
      <c r="B342" s="72"/>
      <c r="C342" s="78" t="s">
        <v>438</v>
      </c>
      <c r="D342" s="74" t="s">
        <v>2</v>
      </c>
      <c r="E342" s="75">
        <f>$A$4</f>
        <v>0</v>
      </c>
      <c r="F342" s="76">
        <f>'Прайс для расчета'!E320</f>
        <v>1291.5</v>
      </c>
      <c r="G342" s="77">
        <f t="shared" si="53"/>
        <v>0</v>
      </c>
      <c r="I342" s="135">
        <f>'Прайс для расчета (М)'!E320</f>
        <v>645.75</v>
      </c>
      <c r="J342" s="36">
        <f t="shared" si="54"/>
        <v>0</v>
      </c>
    </row>
    <row r="343" spans="2:10" ht="15.6" x14ac:dyDescent="0.3">
      <c r="B343" s="72"/>
      <c r="C343" s="78" t="s">
        <v>439</v>
      </c>
      <c r="D343" s="74" t="s">
        <v>2</v>
      </c>
      <c r="E343" s="75">
        <f>$A$4</f>
        <v>0</v>
      </c>
      <c r="F343" s="76">
        <f>'Прайс для расчета'!E321</f>
        <v>1386</v>
      </c>
      <c r="G343" s="77">
        <f t="shared" si="53"/>
        <v>0</v>
      </c>
      <c r="I343" s="135">
        <f>'Прайс для расчета (М)'!E321</f>
        <v>693</v>
      </c>
      <c r="J343" s="36">
        <f t="shared" si="54"/>
        <v>0</v>
      </c>
    </row>
    <row r="344" spans="2:10" ht="15.6" x14ac:dyDescent="0.3">
      <c r="B344" s="72"/>
      <c r="C344" s="78" t="s">
        <v>440</v>
      </c>
      <c r="D344" s="74" t="s">
        <v>2</v>
      </c>
      <c r="E344" s="75">
        <f>$A$4</f>
        <v>0</v>
      </c>
      <c r="F344" s="76">
        <f>'Прайс для расчета'!E322</f>
        <v>1281</v>
      </c>
      <c r="G344" s="77">
        <f t="shared" si="53"/>
        <v>0</v>
      </c>
      <c r="I344" s="135">
        <f>'Прайс для расчета (М)'!E322</f>
        <v>640.5</v>
      </c>
      <c r="J344" s="36">
        <f t="shared" si="54"/>
        <v>0</v>
      </c>
    </row>
    <row r="345" spans="2:10" ht="15.6" x14ac:dyDescent="0.3">
      <c r="B345" s="72"/>
      <c r="C345" s="78" t="s">
        <v>441</v>
      </c>
      <c r="D345" s="74" t="s">
        <v>645</v>
      </c>
      <c r="E345" s="75">
        <f>$A$2</f>
        <v>0</v>
      </c>
      <c r="F345" s="76">
        <f>'Прайс для расчета'!E323</f>
        <v>330.75</v>
      </c>
      <c r="G345" s="77">
        <f t="shared" si="53"/>
        <v>0</v>
      </c>
      <c r="I345" s="135">
        <f>'Прайс для расчета (М)'!E323</f>
        <v>165.375</v>
      </c>
      <c r="J345" s="36">
        <f t="shared" si="54"/>
        <v>0</v>
      </c>
    </row>
    <row r="346" spans="2:10" ht="15.6" x14ac:dyDescent="0.3">
      <c r="B346" s="72"/>
      <c r="C346" s="78" t="s">
        <v>531</v>
      </c>
      <c r="D346" s="74" t="s">
        <v>645</v>
      </c>
      <c r="E346" s="75">
        <f>$A$2</f>
        <v>0</v>
      </c>
      <c r="F346" s="76">
        <f>'Прайс для расчета'!E324</f>
        <v>866.25</v>
      </c>
      <c r="G346" s="77">
        <f t="shared" si="53"/>
        <v>0</v>
      </c>
      <c r="I346" s="135">
        <f>'Прайс для расчета (М)'!E324</f>
        <v>433.125</v>
      </c>
      <c r="J346" s="36">
        <f t="shared" si="54"/>
        <v>0</v>
      </c>
    </row>
    <row r="347" spans="2:10" ht="15.6" x14ac:dyDescent="0.3">
      <c r="B347" s="72"/>
      <c r="C347" s="78" t="s">
        <v>532</v>
      </c>
      <c r="D347" s="74" t="s">
        <v>645</v>
      </c>
      <c r="E347" s="75">
        <f>$A$2</f>
        <v>0</v>
      </c>
      <c r="F347" s="76">
        <f>'Прайс для расчета'!E325</f>
        <v>1097.376</v>
      </c>
      <c r="G347" s="77">
        <f t="shared" si="53"/>
        <v>0</v>
      </c>
      <c r="I347" s="135">
        <f>'Прайс для расчета (М)'!E325</f>
        <v>548.68799999999999</v>
      </c>
      <c r="J347" s="36">
        <f t="shared" si="54"/>
        <v>0</v>
      </c>
    </row>
    <row r="348" spans="2:10" ht="15.6" x14ac:dyDescent="0.3">
      <c r="B348" s="72"/>
      <c r="C348" s="78" t="s">
        <v>533</v>
      </c>
      <c r="D348" s="74" t="s">
        <v>645</v>
      </c>
      <c r="E348" s="75">
        <f>$A$2</f>
        <v>0</v>
      </c>
      <c r="F348" s="76">
        <f>'Прайс для расчета'!E326</f>
        <v>852.6</v>
      </c>
      <c r="G348" s="77">
        <f t="shared" si="53"/>
        <v>0</v>
      </c>
      <c r="I348" s="135">
        <f>'Прайс для расчета (М)'!E326</f>
        <v>426.3</v>
      </c>
      <c r="J348" s="36">
        <f t="shared" si="54"/>
        <v>0</v>
      </c>
    </row>
    <row r="349" spans="2:10" ht="15.6" x14ac:dyDescent="0.3">
      <c r="B349" s="72"/>
      <c r="C349" s="78" t="s">
        <v>442</v>
      </c>
      <c r="D349" s="74" t="s">
        <v>2</v>
      </c>
      <c r="E349" s="75">
        <f>$A$4</f>
        <v>0</v>
      </c>
      <c r="F349" s="76">
        <f>'Прайс для расчета'!E327</f>
        <v>225.75</v>
      </c>
      <c r="G349" s="77">
        <f t="shared" si="53"/>
        <v>0</v>
      </c>
      <c r="I349" s="135">
        <f>'Прайс для расчета (М)'!E327</f>
        <v>112.875</v>
      </c>
      <c r="J349" s="36">
        <f t="shared" si="54"/>
        <v>0</v>
      </c>
    </row>
    <row r="350" spans="2:10" ht="15.6" x14ac:dyDescent="0.3">
      <c r="B350" s="72"/>
      <c r="C350" s="78" t="s">
        <v>443</v>
      </c>
      <c r="D350" s="74" t="s">
        <v>2</v>
      </c>
      <c r="E350" s="75">
        <f>$A$4</f>
        <v>0</v>
      </c>
      <c r="F350" s="76">
        <f>'Прайс для расчета'!E328</f>
        <v>462</v>
      </c>
      <c r="G350" s="77">
        <f t="shared" si="53"/>
        <v>0</v>
      </c>
      <c r="I350" s="135">
        <f>'Прайс для расчета (М)'!E328</f>
        <v>231</v>
      </c>
      <c r="J350" s="36">
        <f t="shared" si="54"/>
        <v>0</v>
      </c>
    </row>
    <row r="351" spans="2:10" ht="15.6" x14ac:dyDescent="0.3">
      <c r="B351" s="72"/>
      <c r="C351" s="78" t="s">
        <v>534</v>
      </c>
      <c r="D351" s="74" t="s">
        <v>2</v>
      </c>
      <c r="E351" s="75">
        <f t="shared" ref="E351:E352" si="55">$A$4</f>
        <v>0</v>
      </c>
      <c r="F351" s="76">
        <f>'Прайс для расчета'!E329</f>
        <v>1060.5</v>
      </c>
      <c r="G351" s="77">
        <f t="shared" si="53"/>
        <v>0</v>
      </c>
      <c r="I351" s="135">
        <f>'Прайс для расчета (М)'!E329</f>
        <v>530.25</v>
      </c>
      <c r="J351" s="36">
        <f t="shared" si="54"/>
        <v>0</v>
      </c>
    </row>
    <row r="352" spans="2:10" ht="15.6" x14ac:dyDescent="0.3">
      <c r="B352" s="72"/>
      <c r="C352" s="78" t="s">
        <v>444</v>
      </c>
      <c r="D352" s="74" t="s">
        <v>2</v>
      </c>
      <c r="E352" s="75">
        <f t="shared" si="55"/>
        <v>0</v>
      </c>
      <c r="F352" s="76">
        <f>'Прайс для расчета'!E330</f>
        <v>735</v>
      </c>
      <c r="G352" s="77">
        <f t="shared" si="53"/>
        <v>0</v>
      </c>
      <c r="I352" s="135">
        <f>'Прайс для расчета (М)'!E330</f>
        <v>367.5</v>
      </c>
      <c r="J352" s="36">
        <f t="shared" si="54"/>
        <v>0</v>
      </c>
    </row>
    <row r="353" spans="2:10" ht="15.6" x14ac:dyDescent="0.3">
      <c r="B353" s="72">
        <f>IF(SUM(B354:B372)&gt;0,1,0)</f>
        <v>0</v>
      </c>
      <c r="C353" s="73" t="s">
        <v>880</v>
      </c>
      <c r="D353" s="74"/>
      <c r="E353" s="75"/>
      <c r="F353" s="76"/>
      <c r="G353" s="77"/>
    </row>
    <row r="354" spans="2:10" ht="15.6" x14ac:dyDescent="0.3">
      <c r="B354" s="72"/>
      <c r="C354" s="78" t="s">
        <v>118</v>
      </c>
      <c r="D354" s="74" t="s">
        <v>0</v>
      </c>
      <c r="E354" s="75">
        <v>1</v>
      </c>
      <c r="F354" s="76">
        <f>'Прайс для расчета'!E331</f>
        <v>525</v>
      </c>
      <c r="G354" s="77">
        <f t="shared" ref="G354:G372" si="56">F354*E354</f>
        <v>525</v>
      </c>
      <c r="I354" s="135">
        <f>'Прайс для расчета (М)'!E331</f>
        <v>262.5</v>
      </c>
      <c r="J354" s="36">
        <f t="shared" ref="J354:J372" si="57">I354*E354</f>
        <v>262.5</v>
      </c>
    </row>
    <row r="355" spans="2:10" ht="15.6" x14ac:dyDescent="0.3">
      <c r="B355" s="72"/>
      <c r="C355" s="78" t="s">
        <v>119</v>
      </c>
      <c r="D355" s="74" t="s">
        <v>0</v>
      </c>
      <c r="E355" s="75">
        <v>1</v>
      </c>
      <c r="F355" s="76">
        <f>'Прайс для расчета'!E332</f>
        <v>945</v>
      </c>
      <c r="G355" s="77">
        <f t="shared" si="56"/>
        <v>945</v>
      </c>
      <c r="I355" s="135">
        <f>'Прайс для расчета (М)'!E332</f>
        <v>472.5</v>
      </c>
      <c r="J355" s="36">
        <f t="shared" si="57"/>
        <v>472.5</v>
      </c>
    </row>
    <row r="356" spans="2:10" ht="15.6" x14ac:dyDescent="0.3">
      <c r="B356" s="72"/>
      <c r="C356" s="78" t="s">
        <v>120</v>
      </c>
      <c r="D356" s="74" t="s">
        <v>0</v>
      </c>
      <c r="E356" s="75">
        <v>1</v>
      </c>
      <c r="F356" s="76">
        <f>'Прайс для расчета'!E333</f>
        <v>1575</v>
      </c>
      <c r="G356" s="77">
        <f t="shared" si="56"/>
        <v>1575</v>
      </c>
      <c r="I356" s="135">
        <f>'Прайс для расчета (М)'!E333</f>
        <v>787.5</v>
      </c>
      <c r="J356" s="36">
        <f t="shared" si="57"/>
        <v>787.5</v>
      </c>
    </row>
    <row r="357" spans="2:10" ht="15.6" x14ac:dyDescent="0.3">
      <c r="B357" s="72"/>
      <c r="C357" s="78" t="s">
        <v>121</v>
      </c>
      <c r="D357" s="74" t="s">
        <v>0</v>
      </c>
      <c r="E357" s="75">
        <v>1</v>
      </c>
      <c r="F357" s="76">
        <f>'Прайс для расчета'!E334</f>
        <v>840</v>
      </c>
      <c r="G357" s="77">
        <f t="shared" si="56"/>
        <v>840</v>
      </c>
      <c r="I357" s="135">
        <f>'Прайс для расчета (М)'!E334</f>
        <v>420</v>
      </c>
      <c r="J357" s="36">
        <f t="shared" si="57"/>
        <v>420</v>
      </c>
    </row>
    <row r="358" spans="2:10" ht="15.6" x14ac:dyDescent="0.3">
      <c r="B358" s="72"/>
      <c r="C358" s="78" t="s">
        <v>122</v>
      </c>
      <c r="D358" s="74" t="s">
        <v>3</v>
      </c>
      <c r="E358" s="75">
        <v>1</v>
      </c>
      <c r="F358" s="76">
        <f>'Прайс для расчета'!E335</f>
        <v>273</v>
      </c>
      <c r="G358" s="77">
        <f t="shared" si="56"/>
        <v>273</v>
      </c>
      <c r="I358" s="135">
        <f>'Прайс для расчета (М)'!E335</f>
        <v>136.5</v>
      </c>
      <c r="J358" s="36">
        <f t="shared" si="57"/>
        <v>136.5</v>
      </c>
    </row>
    <row r="359" spans="2:10" ht="15.6" x14ac:dyDescent="0.3">
      <c r="B359" s="72"/>
      <c r="C359" s="78" t="s">
        <v>123</v>
      </c>
      <c r="D359" s="74" t="s">
        <v>2</v>
      </c>
      <c r="E359" s="75">
        <v>1</v>
      </c>
      <c r="F359" s="76">
        <f>'Прайс для расчета'!E336</f>
        <v>1890</v>
      </c>
      <c r="G359" s="77">
        <f t="shared" si="56"/>
        <v>1890</v>
      </c>
      <c r="I359" s="135">
        <f>'Прайс для расчета (М)'!E336</f>
        <v>945</v>
      </c>
      <c r="J359" s="36">
        <f t="shared" si="57"/>
        <v>945</v>
      </c>
    </row>
    <row r="360" spans="2:10" ht="15.6" x14ac:dyDescent="0.3">
      <c r="B360" s="72"/>
      <c r="C360" s="78" t="s">
        <v>124</v>
      </c>
      <c r="D360" s="74" t="s">
        <v>3</v>
      </c>
      <c r="E360" s="75">
        <v>1</v>
      </c>
      <c r="F360" s="76">
        <f>'Прайс для расчета'!E337</f>
        <v>346.5</v>
      </c>
      <c r="G360" s="77">
        <f t="shared" si="56"/>
        <v>346.5</v>
      </c>
      <c r="I360" s="135">
        <f>'Прайс для расчета (М)'!E337</f>
        <v>173.25</v>
      </c>
      <c r="J360" s="36">
        <f t="shared" si="57"/>
        <v>173.25</v>
      </c>
    </row>
    <row r="361" spans="2:10" ht="15.6" x14ac:dyDescent="0.3">
      <c r="B361" s="72"/>
      <c r="C361" s="78" t="s">
        <v>681</v>
      </c>
      <c r="D361" s="74" t="s">
        <v>0</v>
      </c>
      <c r="E361" s="75">
        <v>1</v>
      </c>
      <c r="F361" s="76">
        <f>'Прайс для расчета'!E338</f>
        <v>4179</v>
      </c>
      <c r="G361" s="77">
        <f t="shared" si="56"/>
        <v>4179</v>
      </c>
      <c r="I361" s="135">
        <f>'Прайс для расчета (М)'!E338</f>
        <v>2089.5</v>
      </c>
      <c r="J361" s="36">
        <f t="shared" si="57"/>
        <v>2089.5</v>
      </c>
    </row>
    <row r="362" spans="2:10" ht="15.6" x14ac:dyDescent="0.3">
      <c r="B362" s="72"/>
      <c r="C362" s="78" t="s">
        <v>228</v>
      </c>
      <c r="D362" s="74" t="s">
        <v>0</v>
      </c>
      <c r="E362" s="75">
        <v>1</v>
      </c>
      <c r="F362" s="76">
        <f>'Прайс для расчета'!E339</f>
        <v>3255</v>
      </c>
      <c r="G362" s="77">
        <f t="shared" si="56"/>
        <v>3255</v>
      </c>
      <c r="I362" s="135">
        <f>'Прайс для расчета (М)'!E339</f>
        <v>1627.5</v>
      </c>
      <c r="J362" s="36">
        <f t="shared" si="57"/>
        <v>1627.5</v>
      </c>
    </row>
    <row r="363" spans="2:10" ht="15.6" x14ac:dyDescent="0.3">
      <c r="B363" s="72"/>
      <c r="C363" s="78" t="s">
        <v>132</v>
      </c>
      <c r="D363" s="74" t="s">
        <v>0</v>
      </c>
      <c r="E363" s="75">
        <v>1</v>
      </c>
      <c r="F363" s="76">
        <f>'Прайс для расчета'!E340</f>
        <v>1176</v>
      </c>
      <c r="G363" s="77">
        <f t="shared" si="56"/>
        <v>1176</v>
      </c>
      <c r="I363" s="135">
        <f>'Прайс для расчета (М)'!E340</f>
        <v>588</v>
      </c>
      <c r="J363" s="36">
        <f t="shared" si="57"/>
        <v>588</v>
      </c>
    </row>
    <row r="364" spans="2:10" ht="15.6" x14ac:dyDescent="0.3">
      <c r="B364" s="72"/>
      <c r="C364" s="78" t="s">
        <v>125</v>
      </c>
      <c r="D364" s="74" t="s">
        <v>0</v>
      </c>
      <c r="E364" s="75">
        <v>1</v>
      </c>
      <c r="F364" s="76">
        <f>'Прайс для расчета'!E341</f>
        <v>367.5</v>
      </c>
      <c r="G364" s="77">
        <f t="shared" si="56"/>
        <v>367.5</v>
      </c>
      <c r="I364" s="135">
        <f>'Прайс для расчета (М)'!E341</f>
        <v>183.75</v>
      </c>
      <c r="J364" s="36">
        <f t="shared" si="57"/>
        <v>183.75</v>
      </c>
    </row>
    <row r="365" spans="2:10" ht="15.6" x14ac:dyDescent="0.3">
      <c r="B365" s="72"/>
      <c r="C365" s="78" t="s">
        <v>126</v>
      </c>
      <c r="D365" s="74" t="s">
        <v>3</v>
      </c>
      <c r="E365" s="75">
        <v>1</v>
      </c>
      <c r="F365" s="76">
        <f>'Прайс для расчета'!E342</f>
        <v>199.5</v>
      </c>
      <c r="G365" s="77">
        <f t="shared" si="56"/>
        <v>199.5</v>
      </c>
      <c r="I365" s="135">
        <f>'Прайс для расчета (М)'!E342</f>
        <v>99.75</v>
      </c>
      <c r="J365" s="36">
        <f t="shared" si="57"/>
        <v>99.75</v>
      </c>
    </row>
    <row r="366" spans="2:10" ht="15.6" x14ac:dyDescent="0.3">
      <c r="B366" s="72"/>
      <c r="C366" s="78" t="s">
        <v>127</v>
      </c>
      <c r="D366" s="74" t="s">
        <v>2</v>
      </c>
      <c r="E366" s="75">
        <v>1</v>
      </c>
      <c r="F366" s="76">
        <f>'Прайс для расчета'!E343</f>
        <v>1995</v>
      </c>
      <c r="G366" s="77">
        <f t="shared" si="56"/>
        <v>1995</v>
      </c>
      <c r="I366" s="135">
        <f>'Прайс для расчета (М)'!E343</f>
        <v>997.5</v>
      </c>
      <c r="J366" s="36">
        <f t="shared" si="57"/>
        <v>997.5</v>
      </c>
    </row>
    <row r="367" spans="2:10" ht="15.6" x14ac:dyDescent="0.3">
      <c r="B367" s="72"/>
      <c r="C367" s="78" t="s">
        <v>535</v>
      </c>
      <c r="D367" s="74" t="s">
        <v>2</v>
      </c>
      <c r="E367" s="75">
        <v>1</v>
      </c>
      <c r="F367" s="76">
        <f>'Прайс для расчета'!E344</f>
        <v>840</v>
      </c>
      <c r="G367" s="77">
        <f t="shared" si="56"/>
        <v>840</v>
      </c>
      <c r="I367" s="135">
        <f>'Прайс для расчета (М)'!E344</f>
        <v>420</v>
      </c>
      <c r="J367" s="36">
        <f t="shared" si="57"/>
        <v>420</v>
      </c>
    </row>
    <row r="368" spans="2:10" ht="15.6" x14ac:dyDescent="0.3">
      <c r="B368" s="72"/>
      <c r="C368" s="78" t="s">
        <v>536</v>
      </c>
      <c r="D368" s="74" t="s">
        <v>0</v>
      </c>
      <c r="E368" s="75">
        <v>1</v>
      </c>
      <c r="F368" s="76">
        <f>'Прайс для расчета'!E345</f>
        <v>3097.5</v>
      </c>
      <c r="G368" s="77">
        <f t="shared" si="56"/>
        <v>3097.5</v>
      </c>
      <c r="I368" s="135">
        <f>'Прайс для расчета (М)'!E345</f>
        <v>1548.75</v>
      </c>
      <c r="J368" s="36">
        <f t="shared" si="57"/>
        <v>1548.75</v>
      </c>
    </row>
    <row r="369" spans="2:10" ht="15.6" x14ac:dyDescent="0.3">
      <c r="B369" s="72"/>
      <c r="C369" s="78" t="s">
        <v>128</v>
      </c>
      <c r="D369" s="74" t="s">
        <v>2</v>
      </c>
      <c r="E369" s="75">
        <v>1</v>
      </c>
      <c r="F369" s="76">
        <f>'Прайс для расчета'!E346</f>
        <v>1029</v>
      </c>
      <c r="G369" s="77">
        <f t="shared" si="56"/>
        <v>1029</v>
      </c>
      <c r="I369" s="135">
        <f>'Прайс для расчета (М)'!E346</f>
        <v>514.5</v>
      </c>
      <c r="J369" s="36">
        <f t="shared" si="57"/>
        <v>514.5</v>
      </c>
    </row>
    <row r="370" spans="2:10" ht="15.6" x14ac:dyDescent="0.3">
      <c r="B370" s="72"/>
      <c r="C370" s="78" t="s">
        <v>129</v>
      </c>
      <c r="D370" s="74" t="s">
        <v>3</v>
      </c>
      <c r="E370" s="75">
        <v>1</v>
      </c>
      <c r="F370" s="76">
        <f>'Прайс для расчета'!E347</f>
        <v>1627.5</v>
      </c>
      <c r="G370" s="77">
        <f t="shared" si="56"/>
        <v>1627.5</v>
      </c>
      <c r="I370" s="135">
        <f>'Прайс для расчета (М)'!E347</f>
        <v>813.75</v>
      </c>
      <c r="J370" s="36">
        <f t="shared" si="57"/>
        <v>813.75</v>
      </c>
    </row>
    <row r="371" spans="2:10" ht="15.6" x14ac:dyDescent="0.3">
      <c r="B371" s="72"/>
      <c r="C371" s="78" t="s">
        <v>130</v>
      </c>
      <c r="D371" s="74" t="s">
        <v>3</v>
      </c>
      <c r="E371" s="75">
        <v>1</v>
      </c>
      <c r="F371" s="76">
        <f>'Прайс для расчета'!E348</f>
        <v>1627.5</v>
      </c>
      <c r="G371" s="77">
        <f t="shared" si="56"/>
        <v>1627.5</v>
      </c>
      <c r="I371" s="135">
        <f>'Прайс для расчета (М)'!E348</f>
        <v>813.75</v>
      </c>
      <c r="J371" s="36">
        <f t="shared" si="57"/>
        <v>813.75</v>
      </c>
    </row>
    <row r="372" spans="2:10" ht="15.6" x14ac:dyDescent="0.3">
      <c r="B372" s="72"/>
      <c r="C372" s="78" t="s">
        <v>131</v>
      </c>
      <c r="D372" s="74" t="s">
        <v>3</v>
      </c>
      <c r="E372" s="75">
        <v>1</v>
      </c>
      <c r="F372" s="76">
        <f>'Прайс для расчета'!E349</f>
        <v>420</v>
      </c>
      <c r="G372" s="77">
        <f t="shared" si="56"/>
        <v>420</v>
      </c>
      <c r="I372" s="135">
        <f>'Прайс для расчета (М)'!E349</f>
        <v>210</v>
      </c>
      <c r="J372" s="36">
        <f t="shared" si="57"/>
        <v>210</v>
      </c>
    </row>
    <row r="373" spans="2:10" ht="15.6" x14ac:dyDescent="0.3">
      <c r="B373" s="72">
        <f>IF(SUM(B374:B381)&gt;0,1,0)</f>
        <v>0</v>
      </c>
      <c r="C373" s="73" t="s">
        <v>881</v>
      </c>
      <c r="D373" s="74"/>
      <c r="E373" s="75"/>
      <c r="F373" s="76"/>
      <c r="G373" s="77"/>
    </row>
    <row r="374" spans="2:10" ht="15.6" x14ac:dyDescent="0.3">
      <c r="B374" s="72"/>
      <c r="C374" s="78" t="s">
        <v>537</v>
      </c>
      <c r="D374" s="74" t="s">
        <v>0</v>
      </c>
      <c r="E374" s="75">
        <v>1</v>
      </c>
      <c r="F374" s="76">
        <f>'Прайс для расчета'!E350</f>
        <v>2940</v>
      </c>
      <c r="G374" s="77">
        <f t="shared" ref="G374:G381" si="58">F374*E374</f>
        <v>2940</v>
      </c>
      <c r="I374" s="135">
        <f>'Прайс для расчета (М)'!E350</f>
        <v>1470</v>
      </c>
      <c r="J374" s="36">
        <f t="shared" ref="J374:J381" si="59">I374*E374</f>
        <v>1470</v>
      </c>
    </row>
    <row r="375" spans="2:10" ht="15.6" x14ac:dyDescent="0.3">
      <c r="B375" s="72"/>
      <c r="C375" s="78" t="s">
        <v>445</v>
      </c>
      <c r="D375" s="74" t="s">
        <v>3</v>
      </c>
      <c r="E375" s="75">
        <f>E7</f>
        <v>0</v>
      </c>
      <c r="F375" s="76">
        <f>'Прайс для расчета'!E351</f>
        <v>404.25</v>
      </c>
      <c r="G375" s="77">
        <f t="shared" si="58"/>
        <v>0</v>
      </c>
      <c r="I375" s="135">
        <f>'Прайс для расчета (М)'!E351</f>
        <v>202.125</v>
      </c>
      <c r="J375" s="36">
        <f t="shared" si="59"/>
        <v>0</v>
      </c>
    </row>
    <row r="376" spans="2:10" ht="15.6" x14ac:dyDescent="0.3">
      <c r="B376" s="72"/>
      <c r="C376" s="78" t="s">
        <v>8</v>
      </c>
      <c r="D376" s="74" t="s">
        <v>2</v>
      </c>
      <c r="E376" s="75">
        <v>1</v>
      </c>
      <c r="F376" s="76">
        <f>'Прайс для расчета'!E352</f>
        <v>3858.7080000000001</v>
      </c>
      <c r="G376" s="77">
        <f t="shared" si="58"/>
        <v>3858.7080000000001</v>
      </c>
      <c r="I376" s="135">
        <f>'Прайс для расчета (М)'!E352</f>
        <v>1929.354</v>
      </c>
      <c r="J376" s="36">
        <f t="shared" si="59"/>
        <v>1929.354</v>
      </c>
    </row>
    <row r="377" spans="2:10" ht="15.6" x14ac:dyDescent="0.3">
      <c r="B377" s="72"/>
      <c r="C377" s="78" t="s">
        <v>446</v>
      </c>
      <c r="D377" s="74" t="s">
        <v>0</v>
      </c>
      <c r="E377" s="75">
        <v>1</v>
      </c>
      <c r="F377" s="76">
        <f>'Прайс для расчета'!E353</f>
        <v>1044.75</v>
      </c>
      <c r="G377" s="77">
        <f t="shared" si="58"/>
        <v>1044.75</v>
      </c>
      <c r="I377" s="135">
        <f>'Прайс для расчета (М)'!E353</f>
        <v>522.375</v>
      </c>
      <c r="J377" s="36">
        <f t="shared" si="59"/>
        <v>522.375</v>
      </c>
    </row>
    <row r="378" spans="2:10" ht="15.6" x14ac:dyDescent="0.3">
      <c r="B378" s="72"/>
      <c r="C378" s="78" t="s">
        <v>447</v>
      </c>
      <c r="D378" s="74" t="s">
        <v>0</v>
      </c>
      <c r="E378" s="75">
        <v>1</v>
      </c>
      <c r="F378" s="76">
        <f>'Прайс для расчета'!E354</f>
        <v>1522.5</v>
      </c>
      <c r="G378" s="77">
        <f t="shared" si="58"/>
        <v>1522.5</v>
      </c>
      <c r="I378" s="135">
        <f>'Прайс для расчета (М)'!E354</f>
        <v>761.25</v>
      </c>
      <c r="J378" s="36">
        <f t="shared" si="59"/>
        <v>761.25</v>
      </c>
    </row>
    <row r="379" spans="2:10" ht="15.6" x14ac:dyDescent="0.3">
      <c r="B379" s="72"/>
      <c r="C379" s="78" t="s">
        <v>448</v>
      </c>
      <c r="D379" s="74" t="s">
        <v>0</v>
      </c>
      <c r="E379" s="75">
        <v>1</v>
      </c>
      <c r="F379" s="76">
        <f>'Прайс для расчета'!E355</f>
        <v>1522.5</v>
      </c>
      <c r="G379" s="77">
        <f t="shared" si="58"/>
        <v>1522.5</v>
      </c>
      <c r="I379" s="135">
        <f>'Прайс для расчета (М)'!E355</f>
        <v>761.25</v>
      </c>
      <c r="J379" s="36">
        <f t="shared" si="59"/>
        <v>761.25</v>
      </c>
    </row>
    <row r="380" spans="2:10" ht="15.6" x14ac:dyDescent="0.3">
      <c r="B380" s="72"/>
      <c r="C380" s="78" t="s">
        <v>538</v>
      </c>
      <c r="D380" s="74" t="s">
        <v>0</v>
      </c>
      <c r="E380" s="75">
        <v>1</v>
      </c>
      <c r="F380" s="76">
        <f>'Прайс для расчета'!E356</f>
        <v>577.5</v>
      </c>
      <c r="G380" s="77">
        <f t="shared" si="58"/>
        <v>577.5</v>
      </c>
      <c r="I380" s="135">
        <f>'Прайс для расчета (М)'!E356</f>
        <v>288.75</v>
      </c>
      <c r="J380" s="36">
        <f t="shared" si="59"/>
        <v>288.75</v>
      </c>
    </row>
    <row r="381" spans="2:10" ht="15.6" x14ac:dyDescent="0.3">
      <c r="B381" s="72"/>
      <c r="C381" s="78" t="s">
        <v>539</v>
      </c>
      <c r="D381" s="74" t="s">
        <v>0</v>
      </c>
      <c r="E381" s="75">
        <v>1</v>
      </c>
      <c r="F381" s="76">
        <f>'Прайс для расчета'!E357</f>
        <v>210</v>
      </c>
      <c r="G381" s="77">
        <f t="shared" si="58"/>
        <v>210</v>
      </c>
      <c r="I381" s="135">
        <f>'Прайс для расчета (М)'!E357</f>
        <v>105</v>
      </c>
      <c r="J381" s="36">
        <f t="shared" si="59"/>
        <v>105</v>
      </c>
    </row>
    <row r="382" spans="2:10" ht="15.6" x14ac:dyDescent="0.3">
      <c r="B382" s="138">
        <f>IF(SUM(B250:B381)&gt;0,1,0)</f>
        <v>0</v>
      </c>
      <c r="C382" s="264" t="s">
        <v>540</v>
      </c>
      <c r="D382" s="264"/>
      <c r="E382" s="264"/>
      <c r="F382" s="264"/>
      <c r="G382" s="163">
        <f>SUMIF(B251:B381,1,G251:G381)</f>
        <v>0</v>
      </c>
      <c r="J382" s="36">
        <f>SUMIF(B251:B381,1,J251:J381)</f>
        <v>0</v>
      </c>
    </row>
    <row r="383" spans="2:10" ht="15.6" x14ac:dyDescent="0.3">
      <c r="B383" s="158">
        <f>IF(SUM(B384:B443)&gt;0,1,0)</f>
        <v>0</v>
      </c>
      <c r="C383" s="159" t="s">
        <v>707</v>
      </c>
      <c r="D383" s="160" t="s">
        <v>179</v>
      </c>
      <c r="E383" s="160" t="s">
        <v>180</v>
      </c>
      <c r="F383" s="160" t="s">
        <v>1</v>
      </c>
      <c r="G383" s="160" t="s">
        <v>181</v>
      </c>
      <c r="I383" s="36" t="s">
        <v>1</v>
      </c>
      <c r="J383" s="36" t="s">
        <v>181</v>
      </c>
    </row>
    <row r="384" spans="2:10" ht="15.6" x14ac:dyDescent="0.3">
      <c r="B384" s="72"/>
      <c r="C384" s="78" t="s">
        <v>457</v>
      </c>
      <c r="D384" s="74" t="s">
        <v>0</v>
      </c>
      <c r="E384" s="75">
        <v>1</v>
      </c>
      <c r="F384" s="76">
        <f>'Прайс для расчета'!E420</f>
        <v>1260</v>
      </c>
      <c r="G384" s="77">
        <f t="shared" ref="G384:G417" si="60">F384*E384</f>
        <v>1260</v>
      </c>
      <c r="I384" s="135">
        <f>'Прайс для расчета (М)'!E420</f>
        <v>630</v>
      </c>
      <c r="J384" s="36">
        <f t="shared" ref="J384:J415" si="61">I384*E384</f>
        <v>630</v>
      </c>
    </row>
    <row r="385" spans="2:10" ht="15.6" x14ac:dyDescent="0.3">
      <c r="B385" s="72"/>
      <c r="C385" s="78" t="s">
        <v>900</v>
      </c>
      <c r="D385" s="74" t="s">
        <v>0</v>
      </c>
      <c r="E385" s="75">
        <v>1</v>
      </c>
      <c r="F385" s="76">
        <f>'Прайс для расчета'!E421</f>
        <v>4725</v>
      </c>
      <c r="G385" s="77">
        <f t="shared" si="60"/>
        <v>4725</v>
      </c>
      <c r="I385" s="135">
        <f>'Прайс для расчета (М)'!E421</f>
        <v>2362.5</v>
      </c>
      <c r="J385" s="36">
        <f t="shared" si="61"/>
        <v>2362.5</v>
      </c>
    </row>
    <row r="386" spans="2:10" ht="15.6" x14ac:dyDescent="0.3">
      <c r="B386" s="72"/>
      <c r="C386" s="78" t="s">
        <v>901</v>
      </c>
      <c r="D386" s="74" t="s">
        <v>0</v>
      </c>
      <c r="E386" s="75">
        <v>1</v>
      </c>
      <c r="F386" s="76">
        <f>'Прайс для расчета'!E422</f>
        <v>5775</v>
      </c>
      <c r="G386" s="77">
        <f t="shared" si="60"/>
        <v>5775</v>
      </c>
      <c r="I386" s="135">
        <f>'Прайс для расчета (М)'!E422</f>
        <v>2887.5</v>
      </c>
      <c r="J386" s="36">
        <f t="shared" si="61"/>
        <v>2887.5</v>
      </c>
    </row>
    <row r="387" spans="2:10" ht="15.6" x14ac:dyDescent="0.3">
      <c r="B387" s="72"/>
      <c r="C387" s="78" t="s">
        <v>902</v>
      </c>
      <c r="D387" s="74" t="s">
        <v>0</v>
      </c>
      <c r="E387" s="75">
        <v>1</v>
      </c>
      <c r="F387" s="76">
        <f>'Прайс для расчета'!E423</f>
        <v>6825</v>
      </c>
      <c r="G387" s="77">
        <f t="shared" si="60"/>
        <v>6825</v>
      </c>
      <c r="I387" s="135">
        <f>'Прайс для расчета (М)'!E423</f>
        <v>3412.5</v>
      </c>
      <c r="J387" s="36">
        <f t="shared" si="61"/>
        <v>3412.5</v>
      </c>
    </row>
    <row r="388" spans="2:10" ht="15.6" x14ac:dyDescent="0.3">
      <c r="B388" s="72"/>
      <c r="C388" s="78" t="s">
        <v>903</v>
      </c>
      <c r="D388" s="74" t="s">
        <v>0</v>
      </c>
      <c r="E388" s="75">
        <v>1</v>
      </c>
      <c r="F388" s="76">
        <f>'Прайс для расчета'!E424</f>
        <v>7875</v>
      </c>
      <c r="G388" s="77">
        <f t="shared" si="60"/>
        <v>7875</v>
      </c>
      <c r="I388" s="135">
        <f>'Прайс для расчета (М)'!E424</f>
        <v>3937.5</v>
      </c>
      <c r="J388" s="36">
        <f t="shared" si="61"/>
        <v>3937.5</v>
      </c>
    </row>
    <row r="389" spans="2:10" ht="15.6" x14ac:dyDescent="0.3">
      <c r="B389" s="72"/>
      <c r="C389" s="78" t="s">
        <v>229</v>
      </c>
      <c r="D389" s="74" t="s">
        <v>0</v>
      </c>
      <c r="E389" s="75">
        <v>1</v>
      </c>
      <c r="F389" s="76">
        <f>'Прайс для расчета'!E425</f>
        <v>3412.5</v>
      </c>
      <c r="G389" s="77">
        <f t="shared" si="60"/>
        <v>3412.5</v>
      </c>
      <c r="I389" s="135">
        <f>'Прайс для расчета (М)'!E425</f>
        <v>1706.25</v>
      </c>
      <c r="J389" s="36">
        <f t="shared" si="61"/>
        <v>1706.25</v>
      </c>
    </row>
    <row r="390" spans="2:10" ht="15.6" x14ac:dyDescent="0.3">
      <c r="B390" s="72"/>
      <c r="C390" s="78" t="s">
        <v>458</v>
      </c>
      <c r="D390" s="74" t="s">
        <v>0</v>
      </c>
      <c r="E390" s="75">
        <v>1</v>
      </c>
      <c r="F390" s="76">
        <f>'Прайс для расчета'!E426</f>
        <v>8400</v>
      </c>
      <c r="G390" s="77">
        <f t="shared" si="60"/>
        <v>8400</v>
      </c>
      <c r="I390" s="135">
        <f>'Прайс для расчета (М)'!E426</f>
        <v>4200</v>
      </c>
      <c r="J390" s="36">
        <f t="shared" si="61"/>
        <v>4200</v>
      </c>
    </row>
    <row r="391" spans="2:10" ht="15.6" x14ac:dyDescent="0.3">
      <c r="B391" s="72"/>
      <c r="C391" s="78" t="s">
        <v>459</v>
      </c>
      <c r="D391" s="74" t="s">
        <v>0</v>
      </c>
      <c r="E391" s="75">
        <v>1</v>
      </c>
      <c r="F391" s="76">
        <f>'Прайс для расчета'!E427</f>
        <v>3144.75</v>
      </c>
      <c r="G391" s="77">
        <f t="shared" si="60"/>
        <v>3144.75</v>
      </c>
      <c r="I391" s="135">
        <f>'Прайс для расчета (М)'!E427</f>
        <v>1572.375</v>
      </c>
      <c r="J391" s="36">
        <f t="shared" si="61"/>
        <v>1572.375</v>
      </c>
    </row>
    <row r="392" spans="2:10" ht="15.6" x14ac:dyDescent="0.3">
      <c r="B392" s="72"/>
      <c r="C392" s="78" t="s">
        <v>460</v>
      </c>
      <c r="D392" s="74" t="s">
        <v>0</v>
      </c>
      <c r="E392" s="75">
        <v>1</v>
      </c>
      <c r="F392" s="76">
        <f>'Прайс для расчета'!E428</f>
        <v>4887.4980000000005</v>
      </c>
      <c r="G392" s="77">
        <f t="shared" si="60"/>
        <v>4887.4980000000005</v>
      </c>
      <c r="I392" s="135">
        <f>'Прайс для расчета (М)'!E428</f>
        <v>2443.7490000000003</v>
      </c>
      <c r="J392" s="36">
        <f t="shared" si="61"/>
        <v>2443.7490000000003</v>
      </c>
    </row>
    <row r="393" spans="2:10" ht="15.6" x14ac:dyDescent="0.3">
      <c r="B393" s="72"/>
      <c r="C393" s="78" t="s">
        <v>266</v>
      </c>
      <c r="D393" s="74" t="s">
        <v>0</v>
      </c>
      <c r="E393" s="75">
        <v>1</v>
      </c>
      <c r="F393" s="76">
        <f>'Прайс для расчета'!E429</f>
        <v>8531.25</v>
      </c>
      <c r="G393" s="77">
        <f t="shared" si="60"/>
        <v>8531.25</v>
      </c>
      <c r="I393" s="135">
        <f>'Прайс для расчета (М)'!E429</f>
        <v>4265.625</v>
      </c>
      <c r="J393" s="36">
        <f t="shared" si="61"/>
        <v>4265.625</v>
      </c>
    </row>
    <row r="394" spans="2:10" ht="15.6" x14ac:dyDescent="0.3">
      <c r="B394" s="72"/>
      <c r="C394" s="78" t="s">
        <v>461</v>
      </c>
      <c r="D394" s="74" t="s">
        <v>0</v>
      </c>
      <c r="E394" s="75">
        <v>1</v>
      </c>
      <c r="F394" s="76">
        <f>'Прайс для расчета'!E430</f>
        <v>1890</v>
      </c>
      <c r="G394" s="77">
        <f t="shared" si="60"/>
        <v>1890</v>
      </c>
      <c r="I394" s="135">
        <f>'Прайс для расчета (М)'!E430</f>
        <v>945</v>
      </c>
      <c r="J394" s="36">
        <f t="shared" si="61"/>
        <v>945</v>
      </c>
    </row>
    <row r="395" spans="2:10" ht="15.6" x14ac:dyDescent="0.3">
      <c r="B395" s="72"/>
      <c r="C395" s="78" t="s">
        <v>269</v>
      </c>
      <c r="D395" s="74" t="s">
        <v>0</v>
      </c>
      <c r="E395" s="75">
        <v>1</v>
      </c>
      <c r="F395" s="76">
        <f>'Прайс для расчета'!E431</f>
        <v>1995</v>
      </c>
      <c r="G395" s="77">
        <f t="shared" si="60"/>
        <v>1995</v>
      </c>
      <c r="I395" s="135">
        <f>'Прайс для расчета (М)'!E431</f>
        <v>997.5</v>
      </c>
      <c r="J395" s="36">
        <f t="shared" si="61"/>
        <v>997.5</v>
      </c>
    </row>
    <row r="396" spans="2:10" ht="15.6" x14ac:dyDescent="0.3">
      <c r="B396" s="72"/>
      <c r="C396" s="78" t="s">
        <v>694</v>
      </c>
      <c r="D396" s="74" t="s">
        <v>0</v>
      </c>
      <c r="E396" s="75">
        <v>1</v>
      </c>
      <c r="F396" s="76">
        <f>'Прайс для расчета'!E432</f>
        <v>2940</v>
      </c>
      <c r="G396" s="77">
        <f t="shared" si="60"/>
        <v>2940</v>
      </c>
      <c r="I396" s="135">
        <f>'Прайс для расчета (М)'!E432</f>
        <v>1470</v>
      </c>
      <c r="J396" s="36">
        <f t="shared" si="61"/>
        <v>1470</v>
      </c>
    </row>
    <row r="397" spans="2:10" ht="15.6" x14ac:dyDescent="0.3">
      <c r="B397" s="72"/>
      <c r="C397" s="78" t="s">
        <v>695</v>
      </c>
      <c r="D397" s="74" t="s">
        <v>0</v>
      </c>
      <c r="E397" s="75">
        <v>1</v>
      </c>
      <c r="F397" s="76">
        <f>'Прайс для расчета'!E433</f>
        <v>2310</v>
      </c>
      <c r="G397" s="77">
        <f t="shared" si="60"/>
        <v>2310</v>
      </c>
      <c r="I397" s="135">
        <f>'Прайс для расчета (М)'!E433</f>
        <v>1155</v>
      </c>
      <c r="J397" s="36">
        <f t="shared" si="61"/>
        <v>1155</v>
      </c>
    </row>
    <row r="398" spans="2:10" ht="15.6" x14ac:dyDescent="0.3">
      <c r="B398" s="72"/>
      <c r="C398" s="78" t="s">
        <v>462</v>
      </c>
      <c r="D398" s="74" t="s">
        <v>0</v>
      </c>
      <c r="E398" s="75">
        <v>1</v>
      </c>
      <c r="F398" s="76">
        <f>'Прайс для расчета'!E434</f>
        <v>3255</v>
      </c>
      <c r="G398" s="77">
        <f t="shared" si="60"/>
        <v>3255</v>
      </c>
      <c r="I398" s="135">
        <f>'Прайс для расчета (М)'!E434</f>
        <v>1627.5</v>
      </c>
      <c r="J398" s="36">
        <f t="shared" si="61"/>
        <v>1627.5</v>
      </c>
    </row>
    <row r="399" spans="2:10" ht="15.6" x14ac:dyDescent="0.3">
      <c r="B399" s="72"/>
      <c r="C399" s="78" t="s">
        <v>696</v>
      </c>
      <c r="D399" s="74" t="s">
        <v>0</v>
      </c>
      <c r="E399" s="75">
        <v>1</v>
      </c>
      <c r="F399" s="76">
        <f>'Прайс для расчета'!E435</f>
        <v>9450</v>
      </c>
      <c r="G399" s="77">
        <f t="shared" si="60"/>
        <v>9450</v>
      </c>
      <c r="I399" s="135">
        <f>'Прайс для расчета (М)'!E435</f>
        <v>4725</v>
      </c>
      <c r="J399" s="36">
        <f t="shared" si="61"/>
        <v>4725</v>
      </c>
    </row>
    <row r="400" spans="2:10" ht="15.6" x14ac:dyDescent="0.3">
      <c r="B400" s="72"/>
      <c r="C400" s="78" t="s">
        <v>697</v>
      </c>
      <c r="D400" s="74" t="s">
        <v>0</v>
      </c>
      <c r="E400" s="75">
        <v>1</v>
      </c>
      <c r="F400" s="76">
        <f>'Прайс для расчета'!E436</f>
        <v>1000</v>
      </c>
      <c r="G400" s="77">
        <f t="shared" si="60"/>
        <v>1000</v>
      </c>
      <c r="I400" s="135">
        <f>'Прайс для расчета (М)'!E436</f>
        <v>1400</v>
      </c>
      <c r="J400" s="36">
        <f t="shared" si="61"/>
        <v>1400</v>
      </c>
    </row>
    <row r="401" spans="2:10" ht="15.6" x14ac:dyDescent="0.3">
      <c r="B401" s="72"/>
      <c r="C401" s="78" t="s">
        <v>905</v>
      </c>
      <c r="D401" s="74" t="s">
        <v>0</v>
      </c>
      <c r="E401" s="75">
        <v>1</v>
      </c>
      <c r="F401" s="76">
        <f>'Прайс для расчета'!E437</f>
        <v>4042.5</v>
      </c>
      <c r="G401" s="77">
        <f t="shared" ref="G401" si="62">F401*E401</f>
        <v>4042.5</v>
      </c>
      <c r="I401" s="135">
        <f>'Прайс для расчета (М)'!E437</f>
        <v>2021.25</v>
      </c>
      <c r="J401" s="36">
        <f t="shared" si="61"/>
        <v>2021.25</v>
      </c>
    </row>
    <row r="402" spans="2:10" ht="15.6" x14ac:dyDescent="0.3">
      <c r="B402" s="72"/>
      <c r="C402" s="78" t="s">
        <v>139</v>
      </c>
      <c r="D402" s="74" t="s">
        <v>0</v>
      </c>
      <c r="E402" s="75">
        <v>1</v>
      </c>
      <c r="F402" s="76">
        <f>'Прайс для расчета'!E438</f>
        <v>2047.5</v>
      </c>
      <c r="G402" s="77">
        <f t="shared" si="60"/>
        <v>2047.5</v>
      </c>
      <c r="I402" s="135">
        <f>'Прайс для расчета (М)'!E438</f>
        <v>1023.75</v>
      </c>
      <c r="J402" s="36">
        <f t="shared" si="61"/>
        <v>1023.75</v>
      </c>
    </row>
    <row r="403" spans="2:10" ht="15.6" x14ac:dyDescent="0.3">
      <c r="B403" s="72"/>
      <c r="C403" s="78" t="s">
        <v>463</v>
      </c>
      <c r="D403" s="74" t="s">
        <v>0</v>
      </c>
      <c r="E403" s="75">
        <v>1</v>
      </c>
      <c r="F403" s="76">
        <f>'Прайс для расчета'!E439</f>
        <v>787.5</v>
      </c>
      <c r="G403" s="77">
        <f t="shared" si="60"/>
        <v>787.5</v>
      </c>
      <c r="I403" s="135">
        <f>'Прайс для расчета (М)'!E439</f>
        <v>393.75</v>
      </c>
      <c r="J403" s="36">
        <f t="shared" si="61"/>
        <v>393.75</v>
      </c>
    </row>
    <row r="404" spans="2:10" ht="15.6" x14ac:dyDescent="0.3">
      <c r="B404" s="72"/>
      <c r="C404" s="78" t="s">
        <v>464</v>
      </c>
      <c r="D404" s="74" t="s">
        <v>0</v>
      </c>
      <c r="E404" s="75">
        <v>1</v>
      </c>
      <c r="F404" s="76">
        <f>'Прайс для расчета'!E440</f>
        <v>1050</v>
      </c>
      <c r="G404" s="77">
        <f t="shared" si="60"/>
        <v>1050</v>
      </c>
      <c r="I404" s="135">
        <f>'Прайс для расчета (М)'!E440</f>
        <v>525</v>
      </c>
      <c r="J404" s="36">
        <f t="shared" si="61"/>
        <v>525</v>
      </c>
    </row>
    <row r="405" spans="2:10" ht="15.6" x14ac:dyDescent="0.3">
      <c r="B405" s="72"/>
      <c r="C405" s="78" t="s">
        <v>906</v>
      </c>
      <c r="D405" s="74" t="s">
        <v>0</v>
      </c>
      <c r="E405" s="75">
        <v>1</v>
      </c>
      <c r="F405" s="76">
        <f>'Прайс для расчета'!E441</f>
        <v>2887.5</v>
      </c>
      <c r="G405" s="77">
        <f t="shared" ref="G405" si="63">F405*E405</f>
        <v>2887.5</v>
      </c>
      <c r="I405" s="135">
        <f>'Прайс для расчета (М)'!E441</f>
        <v>1443.75</v>
      </c>
      <c r="J405" s="36">
        <f t="shared" si="61"/>
        <v>1443.75</v>
      </c>
    </row>
    <row r="406" spans="2:10" ht="15.6" x14ac:dyDescent="0.3">
      <c r="B406" s="72"/>
      <c r="C406" s="78" t="s">
        <v>465</v>
      </c>
      <c r="D406" s="74" t="s">
        <v>0</v>
      </c>
      <c r="E406" s="75">
        <v>1</v>
      </c>
      <c r="F406" s="76">
        <f>'Прайс для расчета'!E442</f>
        <v>367.5</v>
      </c>
      <c r="G406" s="77">
        <f t="shared" si="60"/>
        <v>367.5</v>
      </c>
      <c r="I406" s="135">
        <f>'Прайс для расчета (М)'!E442</f>
        <v>183.75</v>
      </c>
      <c r="J406" s="36">
        <f t="shared" si="61"/>
        <v>183.75</v>
      </c>
    </row>
    <row r="407" spans="2:10" ht="15.6" x14ac:dyDescent="0.3">
      <c r="B407" s="72"/>
      <c r="C407" s="78" t="s">
        <v>466</v>
      </c>
      <c r="D407" s="74" t="s">
        <v>3</v>
      </c>
      <c r="E407" s="75">
        <v>1</v>
      </c>
      <c r="F407" s="76">
        <f>'Прайс для расчета'!E443</f>
        <v>624.75</v>
      </c>
      <c r="G407" s="77">
        <f t="shared" si="60"/>
        <v>624.75</v>
      </c>
      <c r="I407" s="135">
        <f>'Прайс для расчета (М)'!E443</f>
        <v>312.375</v>
      </c>
      <c r="J407" s="36">
        <f t="shared" si="61"/>
        <v>312.375</v>
      </c>
    </row>
    <row r="408" spans="2:10" ht="15.6" x14ac:dyDescent="0.3">
      <c r="B408" s="72"/>
      <c r="C408" s="78" t="s">
        <v>467</v>
      </c>
      <c r="D408" s="74" t="s">
        <v>3</v>
      </c>
      <c r="E408" s="75">
        <v>1</v>
      </c>
      <c r="F408" s="76">
        <f>'Прайс для расчета'!E444</f>
        <v>729.75</v>
      </c>
      <c r="G408" s="77">
        <f t="shared" si="60"/>
        <v>729.75</v>
      </c>
      <c r="I408" s="135">
        <f>'Прайс для расчета (М)'!E444</f>
        <v>364.875</v>
      </c>
      <c r="J408" s="36">
        <f t="shared" si="61"/>
        <v>364.875</v>
      </c>
    </row>
    <row r="409" spans="2:10" ht="15.6" x14ac:dyDescent="0.3">
      <c r="B409" s="72"/>
      <c r="C409" s="78" t="s">
        <v>176</v>
      </c>
      <c r="D409" s="74" t="s">
        <v>0</v>
      </c>
      <c r="E409" s="75">
        <v>1</v>
      </c>
      <c r="F409" s="76">
        <f>'Прайс для расчета'!E445</f>
        <v>94.5</v>
      </c>
      <c r="G409" s="77">
        <f t="shared" si="60"/>
        <v>94.5</v>
      </c>
      <c r="I409" s="135">
        <f>'Прайс для расчета (М)'!E445</f>
        <v>47.25</v>
      </c>
      <c r="J409" s="36">
        <f t="shared" si="61"/>
        <v>47.25</v>
      </c>
    </row>
    <row r="410" spans="2:10" ht="15.6" x14ac:dyDescent="0.3">
      <c r="B410" s="72"/>
      <c r="C410" s="78" t="s">
        <v>698</v>
      </c>
      <c r="D410" s="74" t="s">
        <v>0</v>
      </c>
      <c r="E410" s="75">
        <v>1</v>
      </c>
      <c r="F410" s="76">
        <f>'Прайс для расчета'!E446</f>
        <v>2236.5</v>
      </c>
      <c r="G410" s="77">
        <f t="shared" si="60"/>
        <v>2236.5</v>
      </c>
      <c r="I410" s="135">
        <f>'Прайс для расчета (М)'!E446</f>
        <v>1118.25</v>
      </c>
      <c r="J410" s="36">
        <f t="shared" si="61"/>
        <v>1118.25</v>
      </c>
    </row>
    <row r="411" spans="2:10" ht="15.6" x14ac:dyDescent="0.3">
      <c r="B411" s="72"/>
      <c r="C411" s="78" t="s">
        <v>468</v>
      </c>
      <c r="D411" s="74" t="s">
        <v>0</v>
      </c>
      <c r="E411" s="75">
        <v>1</v>
      </c>
      <c r="F411" s="76">
        <f>'Прайс для расчета'!E447</f>
        <v>1207.5</v>
      </c>
      <c r="G411" s="77">
        <f t="shared" si="60"/>
        <v>1207.5</v>
      </c>
      <c r="I411" s="135">
        <f>'Прайс для расчета (М)'!E447</f>
        <v>603.75</v>
      </c>
      <c r="J411" s="36">
        <f t="shared" si="61"/>
        <v>603.75</v>
      </c>
    </row>
    <row r="412" spans="2:10" ht="15.6" x14ac:dyDescent="0.3">
      <c r="B412" s="72"/>
      <c r="C412" s="78" t="s">
        <v>469</v>
      </c>
      <c r="D412" s="74" t="s">
        <v>0</v>
      </c>
      <c r="E412" s="75">
        <v>1</v>
      </c>
      <c r="F412" s="76">
        <f>'Прайс для расчета'!E448</f>
        <v>1207.5</v>
      </c>
      <c r="G412" s="77">
        <f t="shared" si="60"/>
        <v>1207.5</v>
      </c>
      <c r="I412" s="135">
        <f>'Прайс для расчета (М)'!E448</f>
        <v>603.75</v>
      </c>
      <c r="J412" s="36">
        <f t="shared" si="61"/>
        <v>603.75</v>
      </c>
    </row>
    <row r="413" spans="2:10" ht="15.6" x14ac:dyDescent="0.3">
      <c r="B413" s="72"/>
      <c r="C413" s="78" t="s">
        <v>699</v>
      </c>
      <c r="D413" s="74" t="s">
        <v>0</v>
      </c>
      <c r="E413" s="75">
        <v>1</v>
      </c>
      <c r="F413" s="76">
        <f>'Прайс для расчета'!E449</f>
        <v>3885</v>
      </c>
      <c r="G413" s="77">
        <f t="shared" si="60"/>
        <v>3885</v>
      </c>
      <c r="I413" s="135">
        <f>'Прайс для расчета (М)'!E449</f>
        <v>1942.5</v>
      </c>
      <c r="J413" s="36">
        <f t="shared" si="61"/>
        <v>1942.5</v>
      </c>
    </row>
    <row r="414" spans="2:10" ht="15.6" x14ac:dyDescent="0.3">
      <c r="B414" s="72"/>
      <c r="C414" s="78" t="s">
        <v>700</v>
      </c>
      <c r="D414" s="74" t="s">
        <v>0</v>
      </c>
      <c r="E414" s="75">
        <v>1</v>
      </c>
      <c r="F414" s="76">
        <f>'Прайс для расчета'!E450</f>
        <v>1837.5</v>
      </c>
      <c r="G414" s="77">
        <f t="shared" si="60"/>
        <v>1837.5</v>
      </c>
      <c r="I414" s="135">
        <f>'Прайс для расчета (М)'!E450</f>
        <v>918.75</v>
      </c>
      <c r="J414" s="36">
        <f t="shared" si="61"/>
        <v>918.75</v>
      </c>
    </row>
    <row r="415" spans="2:10" ht="15.6" x14ac:dyDescent="0.3">
      <c r="B415" s="72"/>
      <c r="C415" s="78" t="s">
        <v>470</v>
      </c>
      <c r="D415" s="74" t="s">
        <v>0</v>
      </c>
      <c r="E415" s="75">
        <v>1</v>
      </c>
      <c r="F415" s="76">
        <f>'Прайс для расчета'!E451</f>
        <v>1207.5</v>
      </c>
      <c r="G415" s="77">
        <f t="shared" si="60"/>
        <v>1207.5</v>
      </c>
      <c r="I415" s="135">
        <f>'Прайс для расчета (М)'!E451</f>
        <v>603.75</v>
      </c>
      <c r="J415" s="36">
        <f t="shared" si="61"/>
        <v>603.75</v>
      </c>
    </row>
    <row r="416" spans="2:10" ht="15.6" x14ac:dyDescent="0.3">
      <c r="B416" s="72"/>
      <c r="C416" s="78" t="s">
        <v>140</v>
      </c>
      <c r="D416" s="74" t="s">
        <v>0</v>
      </c>
      <c r="E416" s="75">
        <v>1</v>
      </c>
      <c r="F416" s="76">
        <f>'Прайс для расчета'!E452</f>
        <v>1890</v>
      </c>
      <c r="G416" s="77">
        <f t="shared" si="60"/>
        <v>1890</v>
      </c>
      <c r="I416" s="135">
        <f>'Прайс для расчета (М)'!E452</f>
        <v>945</v>
      </c>
      <c r="J416" s="36">
        <f t="shared" ref="J416:J443" si="64">I416*E416</f>
        <v>945</v>
      </c>
    </row>
    <row r="417" spans="2:10" ht="15.6" x14ac:dyDescent="0.3">
      <c r="B417" s="72"/>
      <c r="C417" s="78" t="s">
        <v>471</v>
      </c>
      <c r="D417" s="74" t="s">
        <v>0</v>
      </c>
      <c r="E417" s="75">
        <v>1</v>
      </c>
      <c r="F417" s="76">
        <f>'Прайс для расчета'!E453</f>
        <v>1260</v>
      </c>
      <c r="G417" s="77">
        <f t="shared" si="60"/>
        <v>1260</v>
      </c>
      <c r="I417" s="135">
        <f>'Прайс для расчета (М)'!E453</f>
        <v>630</v>
      </c>
      <c r="J417" s="36">
        <f t="shared" si="64"/>
        <v>630</v>
      </c>
    </row>
    <row r="418" spans="2:10" ht="15.6" x14ac:dyDescent="0.3">
      <c r="B418" s="72"/>
      <c r="C418" s="78" t="s">
        <v>549</v>
      </c>
      <c r="D418" s="74" t="s">
        <v>0</v>
      </c>
      <c r="E418" s="75">
        <v>1</v>
      </c>
      <c r="F418" s="76">
        <f>'Прайс для расчета'!E454</f>
        <v>3097.5</v>
      </c>
      <c r="G418" s="77">
        <f t="shared" ref="G418:G443" si="65">F418*E418</f>
        <v>3097.5</v>
      </c>
      <c r="I418" s="135">
        <f>'Прайс для расчета (М)'!E454</f>
        <v>1548.75</v>
      </c>
      <c r="J418" s="36">
        <f t="shared" si="64"/>
        <v>1548.75</v>
      </c>
    </row>
    <row r="419" spans="2:10" ht="15.6" x14ac:dyDescent="0.3">
      <c r="B419" s="72"/>
      <c r="C419" s="78" t="s">
        <v>472</v>
      </c>
      <c r="D419" s="74" t="s">
        <v>0</v>
      </c>
      <c r="E419" s="75">
        <v>1</v>
      </c>
      <c r="F419" s="76">
        <f>'Прайс для расчета'!E455</f>
        <v>1890</v>
      </c>
      <c r="G419" s="77">
        <f t="shared" si="65"/>
        <v>1890</v>
      </c>
      <c r="I419" s="135">
        <f>'Прайс для расчета (М)'!E455</f>
        <v>945</v>
      </c>
      <c r="J419" s="36">
        <f t="shared" si="64"/>
        <v>945</v>
      </c>
    </row>
    <row r="420" spans="2:10" ht="15.6" x14ac:dyDescent="0.3">
      <c r="B420" s="72"/>
      <c r="C420" s="78" t="s">
        <v>134</v>
      </c>
      <c r="D420" s="74" t="s">
        <v>3</v>
      </c>
      <c r="E420" s="75" t="e">
        <f>F7</f>
        <v>#REF!</v>
      </c>
      <c r="F420" s="76">
        <f>'Прайс для расчета'!E456</f>
        <v>2079</v>
      </c>
      <c r="G420" s="77" t="e">
        <f t="shared" si="65"/>
        <v>#REF!</v>
      </c>
      <c r="I420" s="135">
        <f>'Прайс для расчета (М)'!E456</f>
        <v>1039.5</v>
      </c>
      <c r="J420" s="36" t="e">
        <f t="shared" si="64"/>
        <v>#REF!</v>
      </c>
    </row>
    <row r="421" spans="2:10" ht="15.6" x14ac:dyDescent="0.3">
      <c r="B421" s="72"/>
      <c r="C421" s="78" t="s">
        <v>550</v>
      </c>
      <c r="D421" s="74" t="s">
        <v>0</v>
      </c>
      <c r="E421" s="75">
        <v>1</v>
      </c>
      <c r="F421" s="76">
        <f>'Прайс для расчета'!E457</f>
        <v>1312.5</v>
      </c>
      <c r="G421" s="77">
        <f t="shared" si="65"/>
        <v>1312.5</v>
      </c>
      <c r="I421" s="135">
        <f>'Прайс для расчета (М)'!E457</f>
        <v>656.25</v>
      </c>
      <c r="J421" s="36">
        <f t="shared" si="64"/>
        <v>656.25</v>
      </c>
    </row>
    <row r="422" spans="2:10" ht="15.6" x14ac:dyDescent="0.3">
      <c r="B422" s="72"/>
      <c r="C422" s="78" t="s">
        <v>551</v>
      </c>
      <c r="D422" s="74" t="s">
        <v>0</v>
      </c>
      <c r="E422" s="75">
        <v>1</v>
      </c>
      <c r="F422" s="76">
        <f>'Прайс для расчета'!E458</f>
        <v>2362.5</v>
      </c>
      <c r="G422" s="77">
        <f t="shared" si="65"/>
        <v>2362.5</v>
      </c>
      <c r="I422" s="135">
        <f>'Прайс для расчета (М)'!E458</f>
        <v>1181.25</v>
      </c>
      <c r="J422" s="36">
        <f t="shared" si="64"/>
        <v>1181.25</v>
      </c>
    </row>
    <row r="423" spans="2:10" ht="15.6" x14ac:dyDescent="0.3">
      <c r="B423" s="72"/>
      <c r="C423" s="78" t="s">
        <v>135</v>
      </c>
      <c r="D423" s="74" t="s">
        <v>0</v>
      </c>
      <c r="E423" s="75">
        <v>1</v>
      </c>
      <c r="F423" s="76">
        <f>'Прайс для расчета'!E459</f>
        <v>2467.5</v>
      </c>
      <c r="G423" s="77">
        <f t="shared" si="65"/>
        <v>2467.5</v>
      </c>
      <c r="I423" s="135">
        <f>'Прайс для расчета (М)'!E459</f>
        <v>1233.75</v>
      </c>
      <c r="J423" s="36">
        <f t="shared" si="64"/>
        <v>1233.75</v>
      </c>
    </row>
    <row r="424" spans="2:10" ht="15.6" x14ac:dyDescent="0.3">
      <c r="B424" s="72"/>
      <c r="C424" s="78" t="s">
        <v>552</v>
      </c>
      <c r="D424" s="74" t="s">
        <v>0</v>
      </c>
      <c r="E424" s="75">
        <v>1</v>
      </c>
      <c r="F424" s="76">
        <f>'Прайс для расчета'!E460</f>
        <v>1470</v>
      </c>
      <c r="G424" s="77">
        <f t="shared" si="65"/>
        <v>1470</v>
      </c>
      <c r="I424" s="135">
        <f>'Прайс для расчета (М)'!E460</f>
        <v>735</v>
      </c>
      <c r="J424" s="36">
        <f t="shared" si="64"/>
        <v>735</v>
      </c>
    </row>
    <row r="425" spans="2:10" ht="15.6" x14ac:dyDescent="0.3">
      <c r="B425" s="72"/>
      <c r="C425" s="78" t="s">
        <v>553</v>
      </c>
      <c r="D425" s="74" t="s">
        <v>0</v>
      </c>
      <c r="E425" s="75">
        <v>1</v>
      </c>
      <c r="F425" s="76">
        <f>'Прайс для расчета'!E461</f>
        <v>2934.75</v>
      </c>
      <c r="G425" s="77">
        <f t="shared" si="65"/>
        <v>2934.75</v>
      </c>
      <c r="I425" s="135">
        <f>'Прайс для расчета (М)'!E461</f>
        <v>1467.375</v>
      </c>
      <c r="J425" s="36">
        <f t="shared" si="64"/>
        <v>1467.375</v>
      </c>
    </row>
    <row r="426" spans="2:10" ht="15.6" x14ac:dyDescent="0.3">
      <c r="B426" s="72"/>
      <c r="C426" s="78" t="s">
        <v>554</v>
      </c>
      <c r="D426" s="74" t="s">
        <v>166</v>
      </c>
      <c r="E426" s="75">
        <v>1</v>
      </c>
      <c r="F426" s="76">
        <f>'Прайс для расчета'!E462</f>
        <v>7140</v>
      </c>
      <c r="G426" s="77">
        <f t="shared" si="65"/>
        <v>7140</v>
      </c>
      <c r="I426" s="135">
        <f>'Прайс для расчета (М)'!E462</f>
        <v>3570</v>
      </c>
      <c r="J426" s="36">
        <f t="shared" si="64"/>
        <v>3570</v>
      </c>
    </row>
    <row r="427" spans="2:10" ht="15.6" x14ac:dyDescent="0.3">
      <c r="B427" s="72"/>
      <c r="C427" s="78" t="s">
        <v>167</v>
      </c>
      <c r="D427" s="74" t="s">
        <v>0</v>
      </c>
      <c r="E427" s="75">
        <v>1</v>
      </c>
      <c r="F427" s="76">
        <f>'Прайс для расчета'!E463</f>
        <v>3255</v>
      </c>
      <c r="G427" s="77">
        <f t="shared" si="65"/>
        <v>3255</v>
      </c>
      <c r="I427" s="135">
        <f>'Прайс для расчета (М)'!E463</f>
        <v>1627.5</v>
      </c>
      <c r="J427" s="36">
        <f t="shared" si="64"/>
        <v>1627.5</v>
      </c>
    </row>
    <row r="428" spans="2:10" ht="15.6" x14ac:dyDescent="0.3">
      <c r="B428" s="72"/>
      <c r="C428" s="78" t="s">
        <v>473</v>
      </c>
      <c r="D428" s="74" t="s">
        <v>0</v>
      </c>
      <c r="E428" s="75">
        <v>1</v>
      </c>
      <c r="F428" s="76">
        <f>'Прайс для расчета'!E464</f>
        <v>472.5</v>
      </c>
      <c r="G428" s="77">
        <f t="shared" si="65"/>
        <v>472.5</v>
      </c>
      <c r="I428" s="135">
        <f>'Прайс для расчета (М)'!E464</f>
        <v>236.25</v>
      </c>
      <c r="J428" s="36">
        <f t="shared" si="64"/>
        <v>236.25</v>
      </c>
    </row>
    <row r="429" spans="2:10" ht="15.6" x14ac:dyDescent="0.3">
      <c r="B429" s="72"/>
      <c r="C429" s="78" t="s">
        <v>555</v>
      </c>
      <c r="D429" s="74" t="s">
        <v>0</v>
      </c>
      <c r="E429" s="75">
        <v>1</v>
      </c>
      <c r="F429" s="76">
        <f>'Прайс для расчета'!E465</f>
        <v>162.75</v>
      </c>
      <c r="G429" s="77">
        <f t="shared" si="65"/>
        <v>162.75</v>
      </c>
      <c r="I429" s="135">
        <f>'Прайс для расчета (М)'!E465</f>
        <v>81.375</v>
      </c>
      <c r="J429" s="36">
        <f t="shared" si="64"/>
        <v>81.375</v>
      </c>
    </row>
    <row r="430" spans="2:10" ht="15.6" x14ac:dyDescent="0.3">
      <c r="B430" s="72"/>
      <c r="C430" s="78" t="s">
        <v>556</v>
      </c>
      <c r="D430" s="74" t="s">
        <v>0</v>
      </c>
      <c r="E430" s="75">
        <v>1</v>
      </c>
      <c r="F430" s="76">
        <f>'Прайс для расчета'!E466</f>
        <v>162.75</v>
      </c>
      <c r="G430" s="77">
        <f t="shared" si="65"/>
        <v>162.75</v>
      </c>
      <c r="I430" s="135">
        <f>'Прайс для расчета (М)'!E466</f>
        <v>81.375</v>
      </c>
      <c r="J430" s="36">
        <f t="shared" si="64"/>
        <v>81.375</v>
      </c>
    </row>
    <row r="431" spans="2:10" ht="15.6" x14ac:dyDescent="0.3">
      <c r="B431" s="72"/>
      <c r="C431" s="78" t="s">
        <v>557</v>
      </c>
      <c r="D431" s="74" t="s">
        <v>0</v>
      </c>
      <c r="E431" s="75">
        <v>1</v>
      </c>
      <c r="F431" s="76">
        <f>'Прайс для расчета'!E467</f>
        <v>162.75</v>
      </c>
      <c r="G431" s="77">
        <f t="shared" si="65"/>
        <v>162.75</v>
      </c>
      <c r="I431" s="135">
        <f>'Прайс для расчета (М)'!E467</f>
        <v>81.375</v>
      </c>
      <c r="J431" s="36">
        <f t="shared" si="64"/>
        <v>81.375</v>
      </c>
    </row>
    <row r="432" spans="2:10" ht="15.6" x14ac:dyDescent="0.3">
      <c r="B432" s="72"/>
      <c r="C432" s="78" t="s">
        <v>701</v>
      </c>
      <c r="D432" s="74" t="s">
        <v>0</v>
      </c>
      <c r="E432" s="75">
        <v>1</v>
      </c>
      <c r="F432" s="76">
        <f>'Прайс для расчета'!E468</f>
        <v>162.75</v>
      </c>
      <c r="G432" s="77">
        <f t="shared" si="65"/>
        <v>162.75</v>
      </c>
      <c r="I432" s="135">
        <f>'Прайс для расчета (М)'!E468</f>
        <v>81.375</v>
      </c>
      <c r="J432" s="36">
        <f t="shared" si="64"/>
        <v>81.375</v>
      </c>
    </row>
    <row r="433" spans="2:10" ht="15.6" x14ac:dyDescent="0.3">
      <c r="B433" s="72"/>
      <c r="C433" s="78" t="s">
        <v>558</v>
      </c>
      <c r="D433" s="74" t="s">
        <v>0</v>
      </c>
      <c r="E433" s="75">
        <v>1</v>
      </c>
      <c r="F433" s="76">
        <f>'Прайс для расчета'!E469</f>
        <v>162.75</v>
      </c>
      <c r="G433" s="77">
        <f t="shared" si="65"/>
        <v>162.75</v>
      </c>
      <c r="I433" s="135">
        <f>'Прайс для расчета (М)'!E469</f>
        <v>81.375</v>
      </c>
      <c r="J433" s="36">
        <f t="shared" si="64"/>
        <v>81.375</v>
      </c>
    </row>
    <row r="434" spans="2:10" ht="15.6" x14ac:dyDescent="0.3">
      <c r="B434" s="72"/>
      <c r="C434" s="78" t="s">
        <v>559</v>
      </c>
      <c r="D434" s="74" t="s">
        <v>0</v>
      </c>
      <c r="E434" s="75">
        <v>1</v>
      </c>
      <c r="F434" s="76">
        <f>'Прайс для расчета'!E470</f>
        <v>2262.75</v>
      </c>
      <c r="G434" s="77">
        <f t="shared" si="65"/>
        <v>2262.75</v>
      </c>
      <c r="I434" s="135">
        <f>'Прайс для расчета (М)'!E470</f>
        <v>1131.375</v>
      </c>
      <c r="J434" s="36">
        <f t="shared" si="64"/>
        <v>1131.375</v>
      </c>
    </row>
    <row r="435" spans="2:10" ht="15.6" x14ac:dyDescent="0.3">
      <c r="B435" s="72"/>
      <c r="C435" s="78" t="s">
        <v>560</v>
      </c>
      <c r="D435" s="74" t="s">
        <v>0</v>
      </c>
      <c r="E435" s="75">
        <v>1</v>
      </c>
      <c r="F435" s="76">
        <f>'Прайс для расчета'!E471</f>
        <v>1527.75</v>
      </c>
      <c r="G435" s="77">
        <f t="shared" si="65"/>
        <v>1527.75</v>
      </c>
      <c r="I435" s="135">
        <f>'Прайс для расчета (М)'!E471</f>
        <v>763.875</v>
      </c>
      <c r="J435" s="36">
        <f t="shared" si="64"/>
        <v>763.875</v>
      </c>
    </row>
    <row r="436" spans="2:10" ht="15.6" x14ac:dyDescent="0.3">
      <c r="B436" s="72"/>
      <c r="C436" s="78" t="s">
        <v>561</v>
      </c>
      <c r="D436" s="74" t="s">
        <v>0</v>
      </c>
      <c r="E436" s="75">
        <f>E434</f>
        <v>1</v>
      </c>
      <c r="F436" s="76">
        <f>'Прайс для расчета'!E472</f>
        <v>897.75</v>
      </c>
      <c r="G436" s="77">
        <f t="shared" si="65"/>
        <v>897.75</v>
      </c>
      <c r="I436" s="135">
        <f>'Прайс для расчета (М)'!E472</f>
        <v>448.875</v>
      </c>
      <c r="J436" s="36">
        <f t="shared" si="64"/>
        <v>448.875</v>
      </c>
    </row>
    <row r="437" spans="2:10" ht="15.6" x14ac:dyDescent="0.3">
      <c r="B437" s="72"/>
      <c r="C437" s="78" t="s">
        <v>474</v>
      </c>
      <c r="D437" s="74" t="s">
        <v>0</v>
      </c>
      <c r="E437" s="75">
        <f>E435</f>
        <v>1</v>
      </c>
      <c r="F437" s="76">
        <f>'Прайс для расчета'!E473</f>
        <v>687.75</v>
      </c>
      <c r="G437" s="77">
        <f t="shared" si="65"/>
        <v>687.75</v>
      </c>
      <c r="I437" s="135">
        <f>'Прайс для расчета (М)'!E473</f>
        <v>343.875</v>
      </c>
      <c r="J437" s="36">
        <f t="shared" si="64"/>
        <v>343.875</v>
      </c>
    </row>
    <row r="438" spans="2:10" ht="15.6" x14ac:dyDescent="0.3">
      <c r="B438" s="72"/>
      <c r="C438" s="78" t="s">
        <v>562</v>
      </c>
      <c r="D438" s="74" t="s">
        <v>0</v>
      </c>
      <c r="E438" s="75">
        <v>1</v>
      </c>
      <c r="F438" s="76">
        <f>'Прайс для расчета'!E474</f>
        <v>3045</v>
      </c>
      <c r="G438" s="77">
        <f t="shared" si="65"/>
        <v>3045</v>
      </c>
      <c r="I438" s="135">
        <f>'Прайс для расчета (М)'!E474</f>
        <v>1522.5</v>
      </c>
      <c r="J438" s="36">
        <f t="shared" si="64"/>
        <v>1522.5</v>
      </c>
    </row>
    <row r="439" spans="2:10" ht="15.6" x14ac:dyDescent="0.3">
      <c r="B439" s="72"/>
      <c r="C439" s="78" t="s">
        <v>563</v>
      </c>
      <c r="D439" s="74" t="s">
        <v>0</v>
      </c>
      <c r="E439" s="75">
        <f>E438</f>
        <v>1</v>
      </c>
      <c r="F439" s="76">
        <f>'Прайс для расчета'!E475</f>
        <v>1417.5</v>
      </c>
      <c r="G439" s="77">
        <f t="shared" si="65"/>
        <v>1417.5</v>
      </c>
      <c r="I439" s="135">
        <f>'Прайс для расчета (М)'!E475</f>
        <v>708.75</v>
      </c>
      <c r="J439" s="36">
        <f t="shared" si="64"/>
        <v>708.75</v>
      </c>
    </row>
    <row r="440" spans="2:10" ht="15.6" x14ac:dyDescent="0.3">
      <c r="B440" s="72"/>
      <c r="C440" s="78" t="s">
        <v>702</v>
      </c>
      <c r="D440" s="74" t="s">
        <v>0</v>
      </c>
      <c r="E440" s="75">
        <v>1</v>
      </c>
      <c r="F440" s="76">
        <f>'Прайс для расчета'!E476</f>
        <v>2982</v>
      </c>
      <c r="G440" s="77">
        <f t="shared" si="65"/>
        <v>2982</v>
      </c>
      <c r="I440" s="135">
        <f>'Прайс для расчета (М)'!E476</f>
        <v>1491</v>
      </c>
      <c r="J440" s="36">
        <f t="shared" si="64"/>
        <v>1491</v>
      </c>
    </row>
    <row r="441" spans="2:10" ht="15.6" x14ac:dyDescent="0.3">
      <c r="B441" s="72"/>
      <c r="C441" s="78" t="s">
        <v>703</v>
      </c>
      <c r="D441" s="74" t="s">
        <v>0</v>
      </c>
      <c r="E441" s="75">
        <v>1</v>
      </c>
      <c r="F441" s="76">
        <f>'Прайс для расчета'!E477</f>
        <v>745.5</v>
      </c>
      <c r="G441" s="77">
        <f t="shared" si="65"/>
        <v>745.5</v>
      </c>
      <c r="I441" s="135">
        <f>'Прайс для расчета (М)'!E477</f>
        <v>372.75</v>
      </c>
      <c r="J441" s="36">
        <f t="shared" si="64"/>
        <v>372.75</v>
      </c>
    </row>
    <row r="442" spans="2:10" ht="15.6" x14ac:dyDescent="0.3">
      <c r="B442" s="72"/>
      <c r="C442" s="78" t="s">
        <v>449</v>
      </c>
      <c r="D442" s="74" t="s">
        <v>3</v>
      </c>
      <c r="E442" s="75">
        <v>1</v>
      </c>
      <c r="F442" s="76">
        <f>'Прайс для расчета'!E410</f>
        <v>240.05099999999999</v>
      </c>
      <c r="G442" s="77">
        <f t="shared" si="65"/>
        <v>240.05099999999999</v>
      </c>
      <c r="I442" s="135">
        <f>'Прайс для расчета (М)'!E410</f>
        <v>120.02549999999999</v>
      </c>
      <c r="J442" s="36">
        <f t="shared" si="64"/>
        <v>120.02549999999999</v>
      </c>
    </row>
    <row r="443" spans="2:10" ht="15.6" x14ac:dyDescent="0.3">
      <c r="B443" s="72"/>
      <c r="C443" s="78" t="s">
        <v>450</v>
      </c>
      <c r="D443" s="74" t="s">
        <v>3</v>
      </c>
      <c r="E443" s="75">
        <v>1</v>
      </c>
      <c r="F443" s="76">
        <f>'Прайс для расчета'!E411</f>
        <v>326.529</v>
      </c>
      <c r="G443" s="77">
        <f t="shared" si="65"/>
        <v>326.529</v>
      </c>
      <c r="I443" s="135">
        <f>'Прайс для расчета (М)'!E411</f>
        <v>163.2645</v>
      </c>
      <c r="J443" s="36">
        <f t="shared" si="64"/>
        <v>163.2645</v>
      </c>
    </row>
    <row r="444" spans="2:10" ht="15.6" x14ac:dyDescent="0.3">
      <c r="B444" s="138">
        <f>IF(SUM(B384:B443)&gt;0,1,0)</f>
        <v>0</v>
      </c>
      <c r="C444" s="264" t="s">
        <v>545</v>
      </c>
      <c r="D444" s="264"/>
      <c r="E444" s="264"/>
      <c r="F444" s="264"/>
      <c r="G444" s="163">
        <f>SUMIF(B384:B443,1,G384:G443)</f>
        <v>0</v>
      </c>
      <c r="J444" s="36">
        <f>SUMIF(B384:B443,1,J384:J443)</f>
        <v>0</v>
      </c>
    </row>
    <row r="445" spans="2:10" ht="15.6" x14ac:dyDescent="0.3">
      <c r="B445" s="158">
        <f>IF(SUM(B446:B453)&gt;0,1,0)</f>
        <v>0</v>
      </c>
      <c r="C445" s="159" t="s">
        <v>708</v>
      </c>
      <c r="D445" s="160" t="s">
        <v>179</v>
      </c>
      <c r="E445" s="160" t="s">
        <v>180</v>
      </c>
      <c r="F445" s="160" t="s">
        <v>1</v>
      </c>
      <c r="G445" s="160" t="s">
        <v>181</v>
      </c>
      <c r="I445" s="36" t="s">
        <v>1</v>
      </c>
      <c r="J445" s="36" t="s">
        <v>181</v>
      </c>
    </row>
    <row r="446" spans="2:10" ht="15.75" customHeight="1" x14ac:dyDescent="0.3">
      <c r="B446" s="72"/>
      <c r="C446" s="78" t="s">
        <v>1078</v>
      </c>
      <c r="D446" s="74" t="s">
        <v>2</v>
      </c>
      <c r="E446" s="75">
        <v>1</v>
      </c>
      <c r="F446" s="76">
        <f>'Прайс для расчета'!E412</f>
        <v>110.25</v>
      </c>
      <c r="G446" s="77">
        <f t="shared" ref="G446:G453" si="66">F446*E446</f>
        <v>110.25</v>
      </c>
      <c r="I446" s="135">
        <f>'Прайс для расчета (М)'!E412</f>
        <v>55.125</v>
      </c>
      <c r="J446" s="36">
        <f t="shared" ref="J446:J453" si="67">I446*E446</f>
        <v>55.125</v>
      </c>
    </row>
    <row r="447" spans="2:10" ht="15.6" x14ac:dyDescent="0.3">
      <c r="B447" s="72"/>
      <c r="C447" s="78" t="s">
        <v>688</v>
      </c>
      <c r="D447" s="74" t="s">
        <v>0</v>
      </c>
      <c r="E447" s="75">
        <v>1</v>
      </c>
      <c r="F447" s="76">
        <f>'Прайс для расчета'!E413</f>
        <v>1714.65</v>
      </c>
      <c r="G447" s="77">
        <f t="shared" si="66"/>
        <v>1714.65</v>
      </c>
      <c r="I447" s="135">
        <f>'Прайс для расчета (М)'!E413</f>
        <v>857.32500000000005</v>
      </c>
      <c r="J447" s="36">
        <f t="shared" si="67"/>
        <v>857.32500000000005</v>
      </c>
    </row>
    <row r="448" spans="2:10" ht="15.6" x14ac:dyDescent="0.3">
      <c r="B448" s="72"/>
      <c r="C448" s="78" t="s">
        <v>452</v>
      </c>
      <c r="D448" s="74" t="s">
        <v>0</v>
      </c>
      <c r="E448" s="75">
        <v>1</v>
      </c>
      <c r="F448" s="76">
        <f>'Прайс для расчета'!E414</f>
        <v>2571.9749999999999</v>
      </c>
      <c r="G448" s="77">
        <f t="shared" si="66"/>
        <v>2571.9749999999999</v>
      </c>
      <c r="I448" s="135">
        <f>'Прайс для расчета (М)'!E414</f>
        <v>1285.9875</v>
      </c>
      <c r="J448" s="36">
        <f t="shared" si="67"/>
        <v>1285.9875</v>
      </c>
    </row>
    <row r="449" spans="2:10" ht="15.6" x14ac:dyDescent="0.3">
      <c r="B449" s="72"/>
      <c r="C449" s="78" t="s">
        <v>453</v>
      </c>
      <c r="D449" s="74" t="s">
        <v>0</v>
      </c>
      <c r="E449" s="75">
        <v>1</v>
      </c>
      <c r="F449" s="76">
        <f>'Прайс для расчета'!E415</f>
        <v>857.32500000000005</v>
      </c>
      <c r="G449" s="77">
        <f t="shared" si="66"/>
        <v>857.32500000000005</v>
      </c>
      <c r="I449" s="135">
        <f>'Прайс для расчета (М)'!E415</f>
        <v>428.66250000000002</v>
      </c>
      <c r="J449" s="36">
        <f t="shared" si="67"/>
        <v>428.66250000000002</v>
      </c>
    </row>
    <row r="450" spans="2:10" ht="15.6" x14ac:dyDescent="0.3">
      <c r="B450" s="72"/>
      <c r="C450" s="78" t="s">
        <v>454</v>
      </c>
      <c r="D450" s="74" t="s">
        <v>885</v>
      </c>
      <c r="E450" s="75">
        <v>1</v>
      </c>
      <c r="F450" s="76">
        <f>'Прайс для расчета'!E416</f>
        <v>1470</v>
      </c>
      <c r="G450" s="77">
        <f t="shared" si="66"/>
        <v>1470</v>
      </c>
      <c r="I450" s="135">
        <f>'Прайс для расчета (М)'!E416</f>
        <v>735</v>
      </c>
      <c r="J450" s="36">
        <f t="shared" si="67"/>
        <v>735</v>
      </c>
    </row>
    <row r="451" spans="2:10" ht="15.6" x14ac:dyDescent="0.3">
      <c r="B451" s="72"/>
      <c r="C451" s="78" t="s">
        <v>455</v>
      </c>
      <c r="D451" s="74" t="s">
        <v>886</v>
      </c>
      <c r="E451" s="75">
        <v>1</v>
      </c>
      <c r="F451" s="76">
        <f>'Прайс для расчета'!E417</f>
        <v>315</v>
      </c>
      <c r="G451" s="77">
        <f t="shared" si="66"/>
        <v>315</v>
      </c>
      <c r="I451" s="135">
        <f>'Прайс для расчета (М)'!E417</f>
        <v>157.5</v>
      </c>
      <c r="J451" s="36">
        <f t="shared" si="67"/>
        <v>157.5</v>
      </c>
    </row>
    <row r="452" spans="2:10" ht="15.6" x14ac:dyDescent="0.3">
      <c r="B452" s="72"/>
      <c r="C452" s="78" t="s">
        <v>456</v>
      </c>
      <c r="D452" s="74" t="s">
        <v>886</v>
      </c>
      <c r="E452" s="75">
        <v>1</v>
      </c>
      <c r="F452" s="76">
        <f>'Прайс для расчета'!E418</f>
        <v>1575</v>
      </c>
      <c r="G452" s="77">
        <f t="shared" si="66"/>
        <v>1575</v>
      </c>
      <c r="I452" s="135">
        <f>'Прайс для расчета (М)'!E418</f>
        <v>787.5</v>
      </c>
      <c r="J452" s="36">
        <f t="shared" si="67"/>
        <v>787.5</v>
      </c>
    </row>
    <row r="453" spans="2:10" ht="15.6" x14ac:dyDescent="0.3">
      <c r="B453" s="72"/>
      <c r="C453" s="78" t="s">
        <v>689</v>
      </c>
      <c r="D453" s="74" t="s">
        <v>886</v>
      </c>
      <c r="E453" s="75">
        <v>1</v>
      </c>
      <c r="F453" s="76">
        <f>'Прайс для расчета'!E419</f>
        <v>315</v>
      </c>
      <c r="G453" s="77">
        <f t="shared" si="66"/>
        <v>315</v>
      </c>
      <c r="I453" s="135">
        <f>'Прайс для расчета (М)'!E419</f>
        <v>157.5</v>
      </c>
      <c r="J453" s="36">
        <f t="shared" si="67"/>
        <v>157.5</v>
      </c>
    </row>
    <row r="454" spans="2:10" ht="15.6" x14ac:dyDescent="0.3">
      <c r="B454" s="138">
        <f>IF(SUM(B446:B453)&gt;0,1,0)</f>
        <v>0</v>
      </c>
      <c r="C454" s="264" t="s">
        <v>546</v>
      </c>
      <c r="D454" s="264"/>
      <c r="E454" s="264"/>
      <c r="F454" s="264"/>
      <c r="G454" s="163">
        <f>SUMIF(B446:B453,1,G446:G453)</f>
        <v>0</v>
      </c>
      <c r="J454" s="36">
        <f>SUMIF(B446:B453,1,J446:J453)</f>
        <v>0</v>
      </c>
    </row>
    <row r="455" spans="2:10" ht="15.6" x14ac:dyDescent="0.3">
      <c r="B455" s="158">
        <f>IF(SUM(B10:B454)&gt;0,1,0)</f>
        <v>0</v>
      </c>
      <c r="C455" s="263" t="s">
        <v>191</v>
      </c>
      <c r="D455" s="263"/>
      <c r="E455" s="263"/>
      <c r="F455" s="263"/>
      <c r="G455" s="161">
        <f>G137+G248+G382+G444+G454</f>
        <v>0</v>
      </c>
      <c r="J455" s="36">
        <f>J137+J248+J382+J444+J454</f>
        <v>0</v>
      </c>
    </row>
    <row r="456" spans="2:10" ht="15.6" x14ac:dyDescent="0.3">
      <c r="B456" s="158" t="e">
        <f>IF(G456&gt;0,1,0)</f>
        <v>#REF!</v>
      </c>
      <c r="C456" s="263" t="s">
        <v>241</v>
      </c>
      <c r="D456" s="263"/>
      <c r="E456" s="263"/>
      <c r="F456" s="263"/>
      <c r="G456" s="162" t="e">
        <f>#REF!</f>
        <v>#REF!</v>
      </c>
      <c r="J456" s="136">
        <v>0</v>
      </c>
    </row>
    <row r="457" spans="2:10" ht="15.6" x14ac:dyDescent="0.3">
      <c r="B457" s="158" t="e">
        <f>IF(G457&gt;0,1,0)</f>
        <v>#REF!</v>
      </c>
      <c r="C457" s="263" t="s">
        <v>240</v>
      </c>
      <c r="D457" s="263"/>
      <c r="E457" s="263"/>
      <c r="F457" s="263"/>
      <c r="G457" s="161" t="e">
        <f>G455-(G455*G456)</f>
        <v>#REF!</v>
      </c>
      <c r="J457" s="36">
        <f>J455-(J455*J456)</f>
        <v>0</v>
      </c>
    </row>
    <row r="458" spans="2:10" x14ac:dyDescent="0.25">
      <c r="B458"/>
      <c r="C458" s="1"/>
      <c r="E458" s="15"/>
    </row>
    <row r="459" spans="2:10" ht="15.6" x14ac:dyDescent="0.25">
      <c r="B459"/>
      <c r="C459" s="3" t="s">
        <v>238</v>
      </c>
      <c r="E459" s="16" t="s">
        <v>239</v>
      </c>
    </row>
    <row r="460" spans="2:10" x14ac:dyDescent="0.25">
      <c r="B460"/>
      <c r="C460" s="1"/>
    </row>
    <row r="461" spans="2:10" x14ac:dyDescent="0.25">
      <c r="B461"/>
      <c r="C461" s="4" t="s">
        <v>185</v>
      </c>
      <c r="E461" s="17" t="s">
        <v>185</v>
      </c>
    </row>
    <row r="462" spans="2:10" x14ac:dyDescent="0.25">
      <c r="B462"/>
      <c r="C462" s="5" t="s">
        <v>690</v>
      </c>
      <c r="E462" s="15" t="s">
        <v>186</v>
      </c>
    </row>
    <row r="463" spans="2:10" x14ac:dyDescent="0.25">
      <c r="C463" s="1"/>
      <c r="E463" s="15"/>
    </row>
  </sheetData>
  <autoFilter ref="B9:H457"/>
  <mergeCells count="12">
    <mergeCell ref="C1:C4"/>
    <mergeCell ref="C457:F457"/>
    <mergeCell ref="C456:F456"/>
    <mergeCell ref="C5:G5"/>
    <mergeCell ref="C6:C7"/>
    <mergeCell ref="C455:F455"/>
    <mergeCell ref="D8:G8"/>
    <mergeCell ref="C454:F454"/>
    <mergeCell ref="C444:F444"/>
    <mergeCell ref="C382:F382"/>
    <mergeCell ref="C248:F248"/>
    <mergeCell ref="C137:F137"/>
  </mergeCells>
  <phoneticPr fontId="8" type="noConversion"/>
  <conditionalFormatting sqref="B10:G11 B151:D151 B149:E150 B144:B148 D144:E148 B152:E164 B142:E142 B141 F141:G142 D141:E141 G140:G142 B12:B32 G12:G32 B33:G33 B60:G60 B34:B59 G34:G59 B69:G87 B61:E68 G61:G68 B220:B246 B270:B286 B88:E96 G88:G96 B287:G288 B165:G166 F144:G164 B143:G143 G220:G247 B353:G457 B248:G250 B97:G140 B290:G290 B289 D289:G289 B293:G339 B291:B292 D291:G292 B172:G175 B167:B171 D167:G171 B187:G219 B176:B186 D176:G186">
    <cfRule type="expression" dxfId="496" priority="50">
      <formula>$B10=0</formula>
    </cfRule>
  </conditionalFormatting>
  <conditionalFormatting sqref="B247">
    <cfRule type="expression" dxfId="495" priority="39">
      <formula>$B247=0</formula>
    </cfRule>
  </conditionalFormatting>
  <conditionalFormatting sqref="E151">
    <cfRule type="expression" dxfId="494" priority="37">
      <formula>$B151=0</formula>
    </cfRule>
  </conditionalFormatting>
  <conditionalFormatting sqref="C144:C147">
    <cfRule type="expression" dxfId="493" priority="36">
      <formula>$B144=0</formula>
    </cfRule>
  </conditionalFormatting>
  <conditionalFormatting sqref="C141">
    <cfRule type="expression" dxfId="492" priority="35">
      <formula>$B141=0</formula>
    </cfRule>
  </conditionalFormatting>
  <conditionalFormatting sqref="B251:B269 G251:G286">
    <cfRule type="expression" dxfId="491" priority="34">
      <formula>$B251=0</formula>
    </cfRule>
  </conditionalFormatting>
  <conditionalFormatting sqref="F220:F247">
    <cfRule type="expression" dxfId="490" priority="27">
      <formula>$B220=0</formula>
    </cfRule>
  </conditionalFormatting>
  <conditionalFormatting sqref="C12:F32">
    <cfRule type="expression" dxfId="489" priority="32">
      <formula>$B12=0</formula>
    </cfRule>
  </conditionalFormatting>
  <conditionalFormatting sqref="C34:F59">
    <cfRule type="expression" dxfId="488" priority="31">
      <formula>$B34=0</formula>
    </cfRule>
  </conditionalFormatting>
  <conditionalFormatting sqref="F61:F68">
    <cfRule type="expression" dxfId="487" priority="30">
      <formula>$B61=0</formula>
    </cfRule>
  </conditionalFormatting>
  <conditionalFormatting sqref="C220:E221 C223:E235 D222:E222 C239:E246 D236:E238">
    <cfRule type="expression" dxfId="486" priority="29">
      <formula>$B220=0</formula>
    </cfRule>
  </conditionalFormatting>
  <conditionalFormatting sqref="C247:E247">
    <cfRule type="expression" dxfId="485" priority="28">
      <formula>$B247=0</formula>
    </cfRule>
  </conditionalFormatting>
  <conditionalFormatting sqref="C251:C269">
    <cfRule type="expression" dxfId="484" priority="22">
      <formula>$B251=0</formula>
    </cfRule>
  </conditionalFormatting>
  <conditionalFormatting sqref="D251:D269">
    <cfRule type="expression" dxfId="483" priority="21">
      <formula>$B251=0</formula>
    </cfRule>
  </conditionalFormatting>
  <conditionalFormatting sqref="E251:F251 C270:E286 E252:E269 F252:F286">
    <cfRule type="expression" dxfId="482" priority="23">
      <formula>$B251=0</formula>
    </cfRule>
  </conditionalFormatting>
  <conditionalFormatting sqref="B340:G352">
    <cfRule type="expression" dxfId="481" priority="16">
      <formula>$B340=0</formula>
    </cfRule>
  </conditionalFormatting>
  <conditionalFormatting sqref="F88:F96">
    <cfRule type="expression" dxfId="480" priority="15">
      <formula>$B88=0</formula>
    </cfRule>
  </conditionalFormatting>
  <conditionalFormatting sqref="C289">
    <cfRule type="expression" dxfId="479" priority="14">
      <formula>$B289=0</formula>
    </cfRule>
  </conditionalFormatting>
  <conditionalFormatting sqref="C291">
    <cfRule type="expression" dxfId="478" priority="12">
      <formula>$B291=0</formula>
    </cfRule>
  </conditionalFormatting>
  <conditionalFormatting sqref="C292">
    <cfRule type="expression" dxfId="477" priority="11">
      <formula>$B292=0</formula>
    </cfRule>
  </conditionalFormatting>
  <conditionalFormatting sqref="C183:C184">
    <cfRule type="expression" dxfId="476" priority="10">
      <formula>$B183=0</formula>
    </cfRule>
  </conditionalFormatting>
  <conditionalFormatting sqref="C167:C171">
    <cfRule type="expression" dxfId="475" priority="9">
      <formula>$B167=0</formula>
    </cfRule>
  </conditionalFormatting>
  <conditionalFormatting sqref="C186">
    <cfRule type="expression" dxfId="474" priority="8">
      <formula>$B186=0</formula>
    </cfRule>
  </conditionalFormatting>
  <conditionalFormatting sqref="C185">
    <cfRule type="expression" dxfId="473" priority="7">
      <formula>$B185=0</formula>
    </cfRule>
  </conditionalFormatting>
  <conditionalFormatting sqref="C176:C177 C179:C182">
    <cfRule type="expression" dxfId="472" priority="6">
      <formula>$B176=0</formula>
    </cfRule>
  </conditionalFormatting>
  <conditionalFormatting sqref="C178">
    <cfRule type="expression" dxfId="471" priority="5">
      <formula>$B178=0</formula>
    </cfRule>
  </conditionalFormatting>
  <conditionalFormatting sqref="C148">
    <cfRule type="expression" dxfId="470" priority="4">
      <formula>$B148=0</formula>
    </cfRule>
  </conditionalFormatting>
  <conditionalFormatting sqref="C222">
    <cfRule type="expression" dxfId="469" priority="3">
      <formula>$B222=0</formula>
    </cfRule>
  </conditionalFormatting>
  <conditionalFormatting sqref="C236:C237">
    <cfRule type="expression" dxfId="468" priority="2">
      <formula>$B236=0</formula>
    </cfRule>
  </conditionalFormatting>
  <conditionalFormatting sqref="C238">
    <cfRule type="expression" dxfId="467" priority="1">
      <formula>$B238=0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ignoredErrors>
    <ignoredError sqref="A3 A5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1111111">
    <tabColor rgb="FF00B050"/>
    <pageSetUpPr fitToPage="1"/>
  </sheetPr>
  <dimension ref="A1:U463"/>
  <sheetViews>
    <sheetView topLeftCell="A212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G382</f>
        <v>0</v>
      </c>
      <c r="U3" s="35">
        <f>J382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f>G444</f>
        <v>0</v>
      </c>
      <c r="U5" s="35">
        <f>J444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G454</f>
        <v>0</v>
      </c>
      <c r="U6" s="35">
        <f>J454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G455</f>
        <v>0</v>
      </c>
      <c r="U7" s="35">
        <f>J455</f>
        <v>0</v>
      </c>
    </row>
    <row r="8" spans="1:21" x14ac:dyDescent="0.25">
      <c r="C8" s="70" t="s">
        <v>1015</v>
      </c>
      <c r="D8" s="255" t="e">
        <f>G457</f>
        <v>#REF!</v>
      </c>
      <c r="E8" s="256"/>
      <c r="F8" s="256"/>
      <c r="G8" s="257"/>
      <c r="H8" s="44" t="s">
        <v>760</v>
      </c>
      <c r="T8" s="35" t="e">
        <f>G457</f>
        <v>#REF!</v>
      </c>
      <c r="U8" s="35">
        <f>J457</f>
        <v>0</v>
      </c>
    </row>
    <row r="9" spans="1:21" ht="15.6" x14ac:dyDescent="0.25">
      <c r="B9" s="110"/>
      <c r="C9" s="111"/>
      <c r="D9" s="112"/>
      <c r="E9" s="112"/>
      <c r="F9" s="112"/>
      <c r="G9" s="112"/>
      <c r="U9" s="35">
        <f>J448</f>
        <v>1285.9875</v>
      </c>
    </row>
    <row r="10" spans="1:21" ht="15.6" x14ac:dyDescent="0.25">
      <c r="B10" s="153">
        <f>IF(SUM(B11:B136)&gt;0,1,0)</f>
        <v>0</v>
      </c>
      <c r="C10" s="148" t="s">
        <v>709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  <c r="U10" s="35">
        <f>J458</f>
        <v>0</v>
      </c>
    </row>
    <row r="11" spans="1:21" ht="15.6" x14ac:dyDescent="0.25">
      <c r="B11" s="59">
        <f>IF(SUM(B12:B32)&gt;0,1,0)</f>
        <v>0</v>
      </c>
      <c r="C11" s="60" t="s">
        <v>877</v>
      </c>
      <c r="D11" s="61"/>
      <c r="E11" s="62"/>
      <c r="F11" s="63"/>
      <c r="G11" s="64"/>
      <c r="U11" s="35">
        <f>J459</f>
        <v>0</v>
      </c>
    </row>
    <row r="12" spans="1:21" ht="15.6" x14ac:dyDescent="0.3">
      <c r="B12" s="72"/>
      <c r="C12" s="69" t="s">
        <v>305</v>
      </c>
      <c r="D12" s="61" t="s">
        <v>3</v>
      </c>
      <c r="E12" s="62">
        <f>A2</f>
        <v>0</v>
      </c>
      <c r="F12" s="63">
        <f>'Прайс для расчета'!E5</f>
        <v>89.25</v>
      </c>
      <c r="G12" s="77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  <c r="U12" s="35">
        <f>J461</f>
        <v>0</v>
      </c>
    </row>
    <row r="13" spans="1:21" ht="15.6" x14ac:dyDescent="0.3">
      <c r="B13" s="72"/>
      <c r="C13" s="69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77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3">
      <c r="B14" s="72"/>
      <c r="C14" s="69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77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3">
      <c r="B15" s="72"/>
      <c r="C15" s="69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77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3">
      <c r="B16" s="72"/>
      <c r="C16" s="69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77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3">
      <c r="B17" s="72"/>
      <c r="C17" s="69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77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3">
      <c r="B18" s="72"/>
      <c r="C18" s="69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77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3">
      <c r="B19" s="72"/>
      <c r="C19" s="69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77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3">
      <c r="B20" s="72"/>
      <c r="C20" s="69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77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3">
      <c r="B21" s="72"/>
      <c r="C21" s="69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77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3">
      <c r="B22" s="72"/>
      <c r="C22" s="69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77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3">
      <c r="B23" s="72"/>
      <c r="C23" s="69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77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3">
      <c r="B24" s="72"/>
      <c r="C24" s="69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77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3">
      <c r="B25" s="72"/>
      <c r="C25" s="69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77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3">
      <c r="B26" s="72"/>
      <c r="C26" s="69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77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3">
      <c r="B27" s="72"/>
      <c r="C27" s="69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77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3">
      <c r="B28" s="72"/>
      <c r="C28" s="69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77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3">
      <c r="B29" s="72"/>
      <c r="C29" s="69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77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3">
      <c r="B30" s="72"/>
      <c r="C30" s="69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77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3">
      <c r="B31" s="72"/>
      <c r="C31" s="69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77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3">
      <c r="B32" s="72"/>
      <c r="C32" s="69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77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0" t="s">
        <v>878</v>
      </c>
      <c r="D33" s="61"/>
      <c r="E33" s="62"/>
      <c r="F33" s="63"/>
      <c r="G33" s="64"/>
    </row>
    <row r="34" spans="2:10" ht="15.6" x14ac:dyDescent="0.3">
      <c r="B34" s="72"/>
      <c r="C34" s="69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77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3">
      <c r="B35" s="72"/>
      <c r="C35" s="69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77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3">
      <c r="B36" s="72"/>
      <c r="C36" s="69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77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3">
      <c r="B37" s="72"/>
      <c r="C37" s="69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77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3">
      <c r="B38" s="72"/>
      <c r="C38" s="69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77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3">
      <c r="B39" s="72"/>
      <c r="C39" s="69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77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3">
      <c r="B40" s="72"/>
      <c r="C40" s="69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77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3">
      <c r="B41" s="72"/>
      <c r="C41" s="69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77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3">
      <c r="B42" s="72"/>
      <c r="C42" s="69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77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3">
      <c r="B43" s="72"/>
      <c r="C43" s="69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77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3">
      <c r="B44" s="72"/>
      <c r="C44" s="69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77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3">
      <c r="B45" s="72"/>
      <c r="C45" s="69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77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3">
      <c r="B46" s="72"/>
      <c r="C46" s="69" t="s">
        <v>328</v>
      </c>
      <c r="D46" s="61" t="s">
        <v>2</v>
      </c>
      <c r="E46" s="62" t="e">
        <f t="shared" ref="E46:E58" si="6">$A$6</f>
        <v>#REF!</v>
      </c>
      <c r="F46" s="63">
        <f>'Прайс для расчета'!E41</f>
        <v>315</v>
      </c>
      <c r="G46" s="77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3">
      <c r="B47" s="72"/>
      <c r="C47" s="69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77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3">
      <c r="B48" s="72"/>
      <c r="C48" s="69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77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3">
      <c r="B49" s="72"/>
      <c r="C49" s="69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77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3">
      <c r="B50" s="72"/>
      <c r="C50" s="69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77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3">
      <c r="B51" s="72"/>
      <c r="C51" s="69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77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3">
      <c r="B52" s="72"/>
      <c r="C52" s="69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77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3">
      <c r="B53" s="72"/>
      <c r="C53" s="69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77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3">
      <c r="B54" s="72"/>
      <c r="C54" s="69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77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3">
      <c r="B55" s="72"/>
      <c r="C55" s="69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77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3">
      <c r="B56" s="72"/>
      <c r="C56" s="69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77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3">
      <c r="B57" s="72"/>
      <c r="C57" s="69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77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3">
      <c r="B58" s="72"/>
      <c r="C58" s="69" t="s">
        <v>333</v>
      </c>
      <c r="D58" s="61" t="s">
        <v>2</v>
      </c>
      <c r="E58" s="62" t="e">
        <f t="shared" si="6"/>
        <v>#REF!</v>
      </c>
      <c r="F58" s="63">
        <f>'Прайс для расчета'!E53</f>
        <v>5093.2559999999994</v>
      </c>
      <c r="G58" s="77" t="e">
        <f t="shared" si="3"/>
        <v>#REF!</v>
      </c>
      <c r="I58" s="135">
        <f>'Прайс для расчета (М)'!E53</f>
        <v>2546.6279999999997</v>
      </c>
      <c r="J58" s="36" t="e">
        <f t="shared" si="4"/>
        <v>#REF!</v>
      </c>
    </row>
    <row r="59" spans="2:10" ht="15.6" x14ac:dyDescent="0.3">
      <c r="B59" s="72"/>
      <c r="C59" s="69" t="s">
        <v>692</v>
      </c>
      <c r="D59" s="61" t="s">
        <v>0</v>
      </c>
      <c r="E59" s="62">
        <v>1</v>
      </c>
      <c r="F59" s="63">
        <f>'Прайс для расчета'!E28</f>
        <v>1186.836</v>
      </c>
      <c r="G59" s="77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6" t="s">
        <v>44</v>
      </c>
      <c r="D60" s="61"/>
      <c r="E60" s="62"/>
      <c r="F60" s="63"/>
      <c r="G60" s="64"/>
    </row>
    <row r="61" spans="2:10" ht="15.6" x14ac:dyDescent="0.3">
      <c r="B61" s="72"/>
      <c r="C61" s="78" t="s">
        <v>45</v>
      </c>
      <c r="D61" s="74" t="s">
        <v>3</v>
      </c>
      <c r="E61" s="75">
        <v>1</v>
      </c>
      <c r="F61" s="63">
        <f>'Прайс для расчета'!E54</f>
        <v>335.47500000000002</v>
      </c>
      <c r="G61" s="77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3">
      <c r="B62" s="72"/>
      <c r="C62" s="78" t="s">
        <v>46</v>
      </c>
      <c r="D62" s="74" t="s">
        <v>3</v>
      </c>
      <c r="E62" s="75">
        <v>1</v>
      </c>
      <c r="F62" s="63">
        <f>'Прайс для расчета'!E55</f>
        <v>137.172</v>
      </c>
      <c r="G62" s="77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3">
      <c r="B63" s="72"/>
      <c r="C63" s="78" t="s">
        <v>60</v>
      </c>
      <c r="D63" s="74" t="s">
        <v>3</v>
      </c>
      <c r="E63" s="75">
        <v>1</v>
      </c>
      <c r="F63" s="63">
        <f>'Прайс для расчета'!E56</f>
        <v>205.75799999999998</v>
      </c>
      <c r="G63" s="77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3">
      <c r="B64" s="72"/>
      <c r="C64" s="78" t="s">
        <v>47</v>
      </c>
      <c r="D64" s="74" t="s">
        <v>3</v>
      </c>
      <c r="E64" s="75">
        <v>1</v>
      </c>
      <c r="F64" s="63">
        <f>'Прайс для расчета'!E57</f>
        <v>137.172</v>
      </c>
      <c r="G64" s="77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3">
      <c r="B65" s="72"/>
      <c r="C65" s="78" t="s">
        <v>48</v>
      </c>
      <c r="D65" s="74" t="s">
        <v>3</v>
      </c>
      <c r="E65" s="75">
        <v>1</v>
      </c>
      <c r="F65" s="63">
        <f>'Прайс для расчета'!E58</f>
        <v>205.75799999999998</v>
      </c>
      <c r="G65" s="77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3">
      <c r="B66" s="72"/>
      <c r="C66" s="78" t="s">
        <v>49</v>
      </c>
      <c r="D66" s="74" t="s">
        <v>3</v>
      </c>
      <c r="E66" s="75">
        <v>1</v>
      </c>
      <c r="F66" s="63">
        <f>'Прайс для расчета'!E59</f>
        <v>43.239000000000004</v>
      </c>
      <c r="G66" s="77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3">
      <c r="B67" s="72"/>
      <c r="C67" s="78" t="s">
        <v>50</v>
      </c>
      <c r="D67" s="74" t="s">
        <v>3</v>
      </c>
      <c r="E67" s="75">
        <v>1</v>
      </c>
      <c r="F67" s="63">
        <f>'Прайс для расчета'!E60</f>
        <v>86.478000000000009</v>
      </c>
      <c r="G67" s="77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3">
      <c r="B68" s="72"/>
      <c r="C68" s="78" t="s">
        <v>51</v>
      </c>
      <c r="D68" s="74" t="s">
        <v>3</v>
      </c>
      <c r="E68" s="75">
        <v>1</v>
      </c>
      <c r="F68" s="63">
        <f>'Прайс для расчета'!E61</f>
        <v>43.239000000000004</v>
      </c>
      <c r="G68" s="77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25">
      <c r="B69" s="59">
        <f>IF(SUM(B70:B86)&gt;0,1,0)</f>
        <v>0</v>
      </c>
      <c r="C69" s="60" t="s">
        <v>879</v>
      </c>
      <c r="D69" s="61"/>
      <c r="E69" s="62"/>
      <c r="F69" s="63"/>
      <c r="G69" s="64"/>
    </row>
    <row r="70" spans="2:10" ht="15.6" x14ac:dyDescent="0.3">
      <c r="B70" s="72"/>
      <c r="C70" s="78" t="s">
        <v>334</v>
      </c>
      <c r="D70" s="74" t="s">
        <v>3</v>
      </c>
      <c r="E70" s="75">
        <f>$A$2</f>
        <v>0</v>
      </c>
      <c r="F70" s="76">
        <f>'Прайс для расчета'!E62</f>
        <v>110.25</v>
      </c>
      <c r="G70" s="77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3">
      <c r="B71" s="72"/>
      <c r="C71" s="78" t="s">
        <v>335</v>
      </c>
      <c r="D71" s="74" t="s">
        <v>2</v>
      </c>
      <c r="E71" s="75">
        <f t="shared" ref="E71:E76" si="11">$A$4</f>
        <v>0</v>
      </c>
      <c r="F71" s="76">
        <f>'Прайс для расчета'!E63</f>
        <v>248.99699999999999</v>
      </c>
      <c r="G71" s="77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3">
      <c r="B72" s="72"/>
      <c r="C72" s="78" t="s">
        <v>336</v>
      </c>
      <c r="D72" s="74" t="s">
        <v>2</v>
      </c>
      <c r="E72" s="75">
        <f t="shared" si="11"/>
        <v>0</v>
      </c>
      <c r="F72" s="76">
        <f>'Прайс для расчета'!E64</f>
        <v>205.75799999999998</v>
      </c>
      <c r="G72" s="77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3">
      <c r="B73" s="72"/>
      <c r="C73" s="78" t="s">
        <v>481</v>
      </c>
      <c r="D73" s="74" t="s">
        <v>2</v>
      </c>
      <c r="E73" s="75">
        <f t="shared" si="11"/>
        <v>0</v>
      </c>
      <c r="F73" s="76">
        <f>'Прайс для расчета'!E65</f>
        <v>155.06400000000002</v>
      </c>
      <c r="G73" s="77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3">
      <c r="B74" s="72"/>
      <c r="C74" s="78" t="s">
        <v>482</v>
      </c>
      <c r="D74" s="74" t="s">
        <v>2</v>
      </c>
      <c r="E74" s="75">
        <f t="shared" si="11"/>
        <v>0</v>
      </c>
      <c r="F74" s="76">
        <f>'Прайс для расчета'!E66</f>
        <v>137.172</v>
      </c>
      <c r="G74" s="77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3">
      <c r="B75" s="72"/>
      <c r="C75" s="78" t="s">
        <v>483</v>
      </c>
      <c r="D75" s="74" t="s">
        <v>2</v>
      </c>
      <c r="E75" s="75">
        <f t="shared" si="11"/>
        <v>0</v>
      </c>
      <c r="F75" s="76">
        <f>'Прайс для расчета'!E67</f>
        <v>86.478000000000009</v>
      </c>
      <c r="G75" s="77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3">
      <c r="B76" s="72"/>
      <c r="C76" s="78" t="s">
        <v>484</v>
      </c>
      <c r="D76" s="74" t="s">
        <v>2</v>
      </c>
      <c r="E76" s="75">
        <f t="shared" si="11"/>
        <v>0</v>
      </c>
      <c r="F76" s="76">
        <f>'Прайс для расчета'!E68</f>
        <v>102.87899999999999</v>
      </c>
      <c r="G76" s="77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3">
      <c r="B77" s="72"/>
      <c r="C77" s="78" t="s">
        <v>337</v>
      </c>
      <c r="D77" s="74" t="s">
        <v>0</v>
      </c>
      <c r="E77" s="75">
        <v>1</v>
      </c>
      <c r="F77" s="76">
        <f>'Прайс для расчета'!E69</f>
        <v>164.01</v>
      </c>
      <c r="G77" s="77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3">
      <c r="B78" s="72"/>
      <c r="C78" s="78" t="s">
        <v>661</v>
      </c>
      <c r="D78" s="74" t="s">
        <v>2</v>
      </c>
      <c r="E78" s="75">
        <f>$A$4</f>
        <v>0</v>
      </c>
      <c r="F78" s="76">
        <f>'Прайс для расчета'!E70</f>
        <v>377.22300000000001</v>
      </c>
      <c r="G78" s="77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3">
      <c r="B79" s="72"/>
      <c r="C79" s="78" t="s">
        <v>338</v>
      </c>
      <c r="D79" s="74" t="s">
        <v>3</v>
      </c>
      <c r="E79" s="75">
        <v>1</v>
      </c>
      <c r="F79" s="76">
        <f>'Прайс для расчета'!E71</f>
        <v>274.34399999999999</v>
      </c>
      <c r="G79" s="77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3">
      <c r="B80" s="72"/>
      <c r="C80" s="78" t="s">
        <v>138</v>
      </c>
      <c r="D80" s="74" t="s">
        <v>3</v>
      </c>
      <c r="E80" s="75">
        <f t="shared" ref="E80:E86" si="12">$A$4</f>
        <v>0</v>
      </c>
      <c r="F80" s="76">
        <f>'Прайс для расчета'!E72</f>
        <v>204.75</v>
      </c>
      <c r="G80" s="77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3">
      <c r="B81" s="72"/>
      <c r="C81" s="78" t="s">
        <v>339</v>
      </c>
      <c r="D81" s="74" t="s">
        <v>2</v>
      </c>
      <c r="E81" s="75">
        <f t="shared" si="12"/>
        <v>0</v>
      </c>
      <c r="F81" s="76">
        <f>'Прайс для расчета'!E73</f>
        <v>274.34399999999999</v>
      </c>
      <c r="G81" s="77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3">
      <c r="B82" s="72"/>
      <c r="C82" s="78" t="s">
        <v>156</v>
      </c>
      <c r="D82" s="74" t="s">
        <v>2</v>
      </c>
      <c r="E82" s="75">
        <f t="shared" si="12"/>
        <v>0</v>
      </c>
      <c r="F82" s="76">
        <f>'Прайс для расчета'!E74</f>
        <v>223.65</v>
      </c>
      <c r="G82" s="77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3">
      <c r="B83" s="72"/>
      <c r="C83" s="78" t="s">
        <v>340</v>
      </c>
      <c r="D83" s="74" t="s">
        <v>2</v>
      </c>
      <c r="E83" s="75">
        <f t="shared" si="12"/>
        <v>0</v>
      </c>
      <c r="F83" s="76">
        <f>'Прайс для расчета'!E75</f>
        <v>506.94</v>
      </c>
      <c r="G83" s="77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3">
      <c r="B84" s="72"/>
      <c r="C84" s="78" t="s">
        <v>54</v>
      </c>
      <c r="D84" s="74" t="s">
        <v>2</v>
      </c>
      <c r="E84" s="75">
        <f t="shared" si="12"/>
        <v>0</v>
      </c>
      <c r="F84" s="76">
        <f>'Прайс для расчета'!E76</f>
        <v>591.92700000000002</v>
      </c>
      <c r="G84" s="77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3">
      <c r="B85" s="72"/>
      <c r="C85" s="78" t="s">
        <v>221</v>
      </c>
      <c r="D85" s="74" t="s">
        <v>2</v>
      </c>
      <c r="E85" s="75">
        <f t="shared" si="12"/>
        <v>0</v>
      </c>
      <c r="F85" s="76">
        <f>'Прайс для расчета'!E77</f>
        <v>210</v>
      </c>
      <c r="G85" s="77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3">
      <c r="B86" s="72"/>
      <c r="C86" s="78" t="s">
        <v>157</v>
      </c>
      <c r="D86" s="74" t="s">
        <v>2</v>
      </c>
      <c r="E86" s="75">
        <f t="shared" si="12"/>
        <v>0</v>
      </c>
      <c r="F86" s="76">
        <f>'Прайс для расчета'!E78</f>
        <v>240.05099999999999</v>
      </c>
      <c r="G86" s="77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25">
      <c r="B87" s="59">
        <f>IF(SUM(B88:B96)&gt;0,1,0)</f>
        <v>0</v>
      </c>
      <c r="C87" s="60" t="s">
        <v>880</v>
      </c>
      <c r="D87" s="61"/>
      <c r="E87" s="62"/>
      <c r="F87" s="63"/>
      <c r="G87" s="64"/>
    </row>
    <row r="88" spans="2:10" ht="15.6" x14ac:dyDescent="0.3">
      <c r="B88" s="72"/>
      <c r="C88" s="78" t="s">
        <v>662</v>
      </c>
      <c r="D88" s="74" t="s">
        <v>3</v>
      </c>
      <c r="E88" s="75">
        <v>1</v>
      </c>
      <c r="F88" s="76">
        <f>'Прайс для расчета'!E79</f>
        <v>86.478000000000009</v>
      </c>
      <c r="G88" s="77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3">
      <c r="B89" s="72"/>
      <c r="C89" s="78" t="s">
        <v>485</v>
      </c>
      <c r="D89" s="74" t="s">
        <v>2</v>
      </c>
      <c r="E89" s="75">
        <v>1</v>
      </c>
      <c r="F89" s="76">
        <f>'Прайс для расчета'!E80</f>
        <v>420.46199999999999</v>
      </c>
      <c r="G89" s="77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3">
      <c r="B90" s="72"/>
      <c r="C90" s="78" t="s">
        <v>486</v>
      </c>
      <c r="D90" s="74" t="s">
        <v>2</v>
      </c>
      <c r="E90" s="75">
        <v>1</v>
      </c>
      <c r="F90" s="76">
        <f>'Прайс для расчета'!E81</f>
        <v>591.92700000000002</v>
      </c>
      <c r="G90" s="77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3">
      <c r="B91" s="72"/>
      <c r="C91" s="78" t="s">
        <v>341</v>
      </c>
      <c r="D91" s="74" t="s">
        <v>0</v>
      </c>
      <c r="E91" s="75">
        <v>1</v>
      </c>
      <c r="F91" s="76">
        <f>'Прайс для расчета'!E82</f>
        <v>335.47500000000002</v>
      </c>
      <c r="G91" s="77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3">
      <c r="B92" s="72"/>
      <c r="C92" s="78" t="s">
        <v>61</v>
      </c>
      <c r="D92" s="74" t="s">
        <v>3</v>
      </c>
      <c r="E92" s="75">
        <v>1</v>
      </c>
      <c r="F92" s="76">
        <f>'Прайс для расчета'!E83</f>
        <v>102.87899999999999</v>
      </c>
      <c r="G92" s="77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3">
      <c r="B93" s="72"/>
      <c r="C93" s="78" t="s">
        <v>342</v>
      </c>
      <c r="D93" s="74" t="s">
        <v>2</v>
      </c>
      <c r="E93" s="75">
        <v>1</v>
      </c>
      <c r="F93" s="76">
        <f>'Прайс для расчета'!E84</f>
        <v>644.11199999999997</v>
      </c>
      <c r="G93" s="77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3">
      <c r="B94" s="72"/>
      <c r="C94" s="78" t="s">
        <v>343</v>
      </c>
      <c r="D94" s="74" t="s">
        <v>2</v>
      </c>
      <c r="E94" s="75">
        <v>1</v>
      </c>
      <c r="F94" s="76">
        <f>'Прайс для расчета'!E85</f>
        <v>678.40500000000009</v>
      </c>
      <c r="G94" s="77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3">
      <c r="B95" s="72"/>
      <c r="C95" s="78" t="s">
        <v>663</v>
      </c>
      <c r="D95" s="74" t="s">
        <v>3</v>
      </c>
      <c r="E95" s="75">
        <v>1</v>
      </c>
      <c r="F95" s="76">
        <f>'Прайс для расчета'!E86</f>
        <v>395.11499999999995</v>
      </c>
      <c r="G95" s="77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3">
      <c r="B96" s="72"/>
      <c r="C96" s="78" t="s">
        <v>344</v>
      </c>
      <c r="D96" s="74" t="s">
        <v>2</v>
      </c>
      <c r="E96" s="75">
        <v>1</v>
      </c>
      <c r="F96" s="76">
        <f>'Прайс для расчета'!E87</f>
        <v>849.87</v>
      </c>
      <c r="G96" s="77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25">
      <c r="B97" s="59">
        <f>IF(SUM(B98:B104)&gt;0,1,0)</f>
        <v>0</v>
      </c>
      <c r="C97" s="60" t="s">
        <v>881</v>
      </c>
      <c r="D97" s="61"/>
      <c r="E97" s="62"/>
      <c r="F97" s="63"/>
      <c r="G97" s="64"/>
    </row>
    <row r="98" spans="2:10" ht="15.6" x14ac:dyDescent="0.3">
      <c r="B98" s="72"/>
      <c r="C98" s="78" t="s">
        <v>158</v>
      </c>
      <c r="D98" s="74" t="s">
        <v>2</v>
      </c>
      <c r="E98" s="75">
        <v>1</v>
      </c>
      <c r="F98" s="76">
        <f>'Прайс для расчета'!E88</f>
        <v>987.04200000000003</v>
      </c>
      <c r="G98" s="77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3">
      <c r="B99" s="72"/>
      <c r="C99" s="78" t="s">
        <v>345</v>
      </c>
      <c r="D99" s="74" t="s">
        <v>645</v>
      </c>
      <c r="E99" s="75">
        <f>E7</f>
        <v>0</v>
      </c>
      <c r="F99" s="76">
        <f>'Прайс для расчета'!E89</f>
        <v>248.99699999999999</v>
      </c>
      <c r="G99" s="77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3">
      <c r="B100" s="72"/>
      <c r="C100" s="78" t="s">
        <v>62</v>
      </c>
      <c r="D100" s="74" t="s">
        <v>0</v>
      </c>
      <c r="E100" s="75">
        <v>1</v>
      </c>
      <c r="F100" s="76">
        <f>'Прайс для расчета'!E90</f>
        <v>326.529</v>
      </c>
      <c r="G100" s="77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3">
      <c r="B101" s="72"/>
      <c r="C101" s="78" t="s">
        <v>487</v>
      </c>
      <c r="D101" s="74" t="s">
        <v>0</v>
      </c>
      <c r="E101" s="75">
        <v>1</v>
      </c>
      <c r="F101" s="76">
        <f>'Прайс для расчета'!E91</f>
        <v>1698.249</v>
      </c>
      <c r="G101" s="77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3">
      <c r="B102" s="72"/>
      <c r="C102" s="78" t="s">
        <v>346</v>
      </c>
      <c r="D102" s="74" t="s">
        <v>0</v>
      </c>
      <c r="E102" s="75">
        <v>1</v>
      </c>
      <c r="F102" s="76">
        <f>'Прайс для расчета'!E92</f>
        <v>335.47500000000002</v>
      </c>
      <c r="G102" s="77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3">
      <c r="B103" s="72"/>
      <c r="C103" s="78" t="s">
        <v>664</v>
      </c>
      <c r="D103" s="74" t="s">
        <v>645</v>
      </c>
      <c r="E103" s="75">
        <v>1</v>
      </c>
      <c r="F103" s="76">
        <f>'Прайс для расчета'!E93</f>
        <v>240.05099999999999</v>
      </c>
      <c r="G103" s="77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3">
      <c r="B104" s="72"/>
      <c r="C104" s="78" t="s">
        <v>665</v>
      </c>
      <c r="D104" s="74" t="s">
        <v>0</v>
      </c>
      <c r="E104" s="75">
        <v>1</v>
      </c>
      <c r="F104" s="76">
        <f>'Прайс для расчета'!E94</f>
        <v>102.87899999999999</v>
      </c>
      <c r="G104" s="77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25">
      <c r="B105" s="59">
        <f>IF(SUM(B106:B125)&gt;0,1,0)</f>
        <v>0</v>
      </c>
      <c r="C105" s="60" t="s">
        <v>882</v>
      </c>
      <c r="D105" s="61"/>
      <c r="E105" s="62"/>
      <c r="F105" s="63"/>
      <c r="G105" s="64"/>
    </row>
    <row r="106" spans="2:10" ht="15.6" x14ac:dyDescent="0.3">
      <c r="B106" s="72"/>
      <c r="C106" s="78" t="s">
        <v>666</v>
      </c>
      <c r="D106" s="74" t="s">
        <v>0</v>
      </c>
      <c r="E106" s="75">
        <v>1</v>
      </c>
      <c r="F106" s="76">
        <f>'Прайс для расчета'!E95</f>
        <v>472.5</v>
      </c>
      <c r="G106" s="77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3">
      <c r="B107" s="72"/>
      <c r="C107" s="78" t="s">
        <v>159</v>
      </c>
      <c r="D107" s="74" t="s">
        <v>0</v>
      </c>
      <c r="E107" s="75">
        <v>1</v>
      </c>
      <c r="F107" s="76">
        <f>'Прайс для расчета'!E96</f>
        <v>840</v>
      </c>
      <c r="G107" s="77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3">
      <c r="B108" s="72"/>
      <c r="C108" s="78" t="s">
        <v>63</v>
      </c>
      <c r="D108" s="74" t="s">
        <v>2</v>
      </c>
      <c r="E108" s="75">
        <v>1</v>
      </c>
      <c r="F108" s="76">
        <f>'Прайс для расчета'!E97</f>
        <v>420.46199999999999</v>
      </c>
      <c r="G108" s="77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3">
      <c r="B109" s="72"/>
      <c r="C109" s="78" t="s">
        <v>488</v>
      </c>
      <c r="D109" s="74" t="s">
        <v>0</v>
      </c>
      <c r="E109" s="75">
        <v>1</v>
      </c>
      <c r="F109" s="76">
        <f>'Прайс для расчета'!E98</f>
        <v>1021.3349999999999</v>
      </c>
      <c r="G109" s="77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3">
      <c r="B110" s="72"/>
      <c r="C110" s="78" t="s">
        <v>489</v>
      </c>
      <c r="D110" s="74" t="s">
        <v>0</v>
      </c>
      <c r="E110" s="75">
        <v>1</v>
      </c>
      <c r="F110" s="76">
        <f>'Прайс для расчета'!E99</f>
        <v>4179</v>
      </c>
      <c r="G110" s="77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3">
      <c r="B111" s="72"/>
      <c r="C111" s="78" t="s">
        <v>490</v>
      </c>
      <c r="D111" s="74" t="s">
        <v>0</v>
      </c>
      <c r="E111" s="75">
        <v>1</v>
      </c>
      <c r="F111" s="76">
        <f>'Прайс для расчета'!E100</f>
        <v>1183.854</v>
      </c>
      <c r="G111" s="77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3">
      <c r="B112" s="72"/>
      <c r="C112" s="78" t="s">
        <v>491</v>
      </c>
      <c r="D112" s="74" t="s">
        <v>0</v>
      </c>
      <c r="E112" s="75">
        <v>1</v>
      </c>
      <c r="F112" s="76">
        <f>'Прайс для расчета'!E101</f>
        <v>3129</v>
      </c>
      <c r="G112" s="77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3">
      <c r="B113" s="72"/>
      <c r="C113" s="78" t="s">
        <v>667</v>
      </c>
      <c r="D113" s="74" t="s">
        <v>0</v>
      </c>
      <c r="E113" s="75">
        <v>1</v>
      </c>
      <c r="F113" s="76">
        <f>'Прайс для расчета'!E102</f>
        <v>591.92700000000002</v>
      </c>
      <c r="G113" s="77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3">
      <c r="B114" s="72"/>
      <c r="C114" s="78" t="s">
        <v>347</v>
      </c>
      <c r="D114" s="74" t="s">
        <v>0</v>
      </c>
      <c r="E114" s="75">
        <v>1</v>
      </c>
      <c r="F114" s="76">
        <f>'Прайс для расчета'!E103</f>
        <v>678.40500000000009</v>
      </c>
      <c r="G114" s="77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3">
      <c r="B115" s="72"/>
      <c r="C115" s="78" t="s">
        <v>348</v>
      </c>
      <c r="D115" s="74" t="s">
        <v>0</v>
      </c>
      <c r="E115" s="75">
        <v>1</v>
      </c>
      <c r="F115" s="76">
        <f>'Прайс для расчета'!E104</f>
        <v>849.87</v>
      </c>
      <c r="G115" s="77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3">
      <c r="B116" s="72"/>
      <c r="C116" s="78" t="s">
        <v>349</v>
      </c>
      <c r="D116" s="74" t="s">
        <v>0</v>
      </c>
      <c r="E116" s="75">
        <v>1</v>
      </c>
      <c r="F116" s="76">
        <f>'Прайс для расчета'!E105</f>
        <v>849.87</v>
      </c>
      <c r="G116" s="77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3">
      <c r="B117" s="72"/>
      <c r="C117" s="78" t="s">
        <v>668</v>
      </c>
      <c r="D117" s="74" t="s">
        <v>0</v>
      </c>
      <c r="E117" s="75">
        <v>1</v>
      </c>
      <c r="F117" s="76">
        <f>'Прайс для расчета'!E106</f>
        <v>678.40500000000009</v>
      </c>
      <c r="G117" s="77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3">
      <c r="B118" s="72"/>
      <c r="C118" s="78" t="s">
        <v>669</v>
      </c>
      <c r="D118" s="74" t="s">
        <v>0</v>
      </c>
      <c r="E118" s="75">
        <v>1</v>
      </c>
      <c r="F118" s="76">
        <f>'Прайс для расчета'!E107</f>
        <v>1106.3219999999999</v>
      </c>
      <c r="G118" s="77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3">
      <c r="B119" s="72"/>
      <c r="C119" s="78" t="s">
        <v>670</v>
      </c>
      <c r="D119" s="74" t="s">
        <v>0</v>
      </c>
      <c r="E119" s="75">
        <v>1</v>
      </c>
      <c r="F119" s="76">
        <f>'Прайс для расчета'!E108</f>
        <v>892.5</v>
      </c>
      <c r="G119" s="77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3">
      <c r="B120" s="72"/>
      <c r="C120" s="78" t="s">
        <v>350</v>
      </c>
      <c r="D120" s="74" t="s">
        <v>0</v>
      </c>
      <c r="E120" s="75">
        <v>1</v>
      </c>
      <c r="F120" s="76">
        <f>'Прайс для расчета'!E109</f>
        <v>164.01</v>
      </c>
      <c r="G120" s="77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3">
      <c r="B121" s="72"/>
      <c r="C121" s="78" t="s">
        <v>351</v>
      </c>
      <c r="D121" s="74" t="s">
        <v>0</v>
      </c>
      <c r="E121" s="75">
        <v>1</v>
      </c>
      <c r="F121" s="76">
        <f>'Прайс для расчета'!E110</f>
        <v>102.87899999999999</v>
      </c>
      <c r="G121" s="77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3">
      <c r="B122" s="72"/>
      <c r="C122" s="78" t="s">
        <v>352</v>
      </c>
      <c r="D122" s="74" t="s">
        <v>3</v>
      </c>
      <c r="E122" s="75">
        <v>1</v>
      </c>
      <c r="F122" s="76">
        <f>'Прайс для расчета'!E111</f>
        <v>248.99699999999999</v>
      </c>
      <c r="G122" s="77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3">
      <c r="B123" s="72"/>
      <c r="C123" s="78" t="s">
        <v>353</v>
      </c>
      <c r="D123" s="74" t="s">
        <v>3</v>
      </c>
      <c r="E123" s="75">
        <v>1</v>
      </c>
      <c r="F123" s="76">
        <f>'Прайс для расчета'!E112</f>
        <v>395.11499999999995</v>
      </c>
      <c r="G123" s="77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3">
      <c r="B124" s="72"/>
      <c r="C124" s="78" t="s">
        <v>492</v>
      </c>
      <c r="D124" s="74" t="s">
        <v>3</v>
      </c>
      <c r="E124" s="75">
        <v>1</v>
      </c>
      <c r="F124" s="76">
        <f>'Прайс для расчета'!E113</f>
        <v>978.096</v>
      </c>
      <c r="G124" s="77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3">
      <c r="B125" s="72"/>
      <c r="C125" s="78" t="s">
        <v>493</v>
      </c>
      <c r="D125" s="74" t="s">
        <v>3</v>
      </c>
      <c r="E125" s="75">
        <v>1</v>
      </c>
      <c r="F125" s="76">
        <f>'Прайс для расчета'!E114</f>
        <v>1183.854</v>
      </c>
      <c r="G125" s="77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0</v>
      </c>
      <c r="C126" s="60" t="s">
        <v>883</v>
      </c>
      <c r="D126" s="61"/>
      <c r="E126" s="62"/>
      <c r="F126" s="63"/>
      <c r="G126" s="64"/>
    </row>
    <row r="127" spans="2:10" ht="15.6" x14ac:dyDescent="0.3">
      <c r="B127" s="72"/>
      <c r="C127" s="78" t="s">
        <v>354</v>
      </c>
      <c r="D127" s="74" t="s">
        <v>0</v>
      </c>
      <c r="E127" s="75">
        <v>1</v>
      </c>
      <c r="F127" s="76">
        <f>'Прайс для расчета'!E115</f>
        <v>146.11799999999999</v>
      </c>
      <c r="G127" s="77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3">
      <c r="B128" s="72"/>
      <c r="C128" s="78" t="s">
        <v>671</v>
      </c>
      <c r="D128" s="74" t="s">
        <v>0</v>
      </c>
      <c r="E128" s="75">
        <v>1</v>
      </c>
      <c r="F128" s="76">
        <f>'Прайс для расчета'!E116</f>
        <v>164.01</v>
      </c>
      <c r="G128" s="77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3">
      <c r="B129" s="72"/>
      <c r="C129" s="78" t="s">
        <v>146</v>
      </c>
      <c r="D129" s="74" t="s">
        <v>0</v>
      </c>
      <c r="E129" s="75">
        <v>1</v>
      </c>
      <c r="F129" s="76">
        <f>'Прайс для расчета'!E117</f>
        <v>335.47500000000002</v>
      </c>
      <c r="G129" s="77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3">
      <c r="B130" s="72"/>
      <c r="C130" s="78" t="s">
        <v>64</v>
      </c>
      <c r="D130" s="74" t="s">
        <v>0</v>
      </c>
      <c r="E130" s="75">
        <v>1</v>
      </c>
      <c r="F130" s="76">
        <f>'Прайс для расчета'!E118</f>
        <v>1021.3349999999999</v>
      </c>
      <c r="G130" s="77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3">
      <c r="B131" s="72"/>
      <c r="C131" s="78" t="s">
        <v>672</v>
      </c>
      <c r="D131" s="74" t="s">
        <v>645</v>
      </c>
      <c r="E131" s="75">
        <v>1</v>
      </c>
      <c r="F131" s="76">
        <f>'Прайс для расчета'!E119</f>
        <v>34.292999999999999</v>
      </c>
      <c r="G131" s="77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3">
      <c r="B132" s="72"/>
      <c r="C132" s="78" t="s">
        <v>177</v>
      </c>
      <c r="D132" s="74" t="s">
        <v>0</v>
      </c>
      <c r="E132" s="75">
        <v>1</v>
      </c>
      <c r="F132" s="76">
        <f>'Прайс для расчета'!E120</f>
        <v>164.01</v>
      </c>
      <c r="G132" s="77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3">
      <c r="B133" s="72"/>
      <c r="C133" s="78" t="s">
        <v>355</v>
      </c>
      <c r="D133" s="74" t="s">
        <v>0</v>
      </c>
      <c r="E133" s="75">
        <v>1</v>
      </c>
      <c r="F133" s="76">
        <f>'Прайс для расчета'!E121</f>
        <v>600.87300000000005</v>
      </c>
      <c r="G133" s="77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3">
      <c r="B134" s="72"/>
      <c r="C134" s="78" t="s">
        <v>494</v>
      </c>
      <c r="D134" s="74" t="s">
        <v>0</v>
      </c>
      <c r="E134" s="75">
        <v>1</v>
      </c>
      <c r="F134" s="76">
        <f>'Прайс для расчета'!E122</f>
        <v>3936.24</v>
      </c>
      <c r="G134" s="77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3">
      <c r="B135" s="72"/>
      <c r="C135" s="78" t="s">
        <v>495</v>
      </c>
      <c r="D135" s="74" t="s">
        <v>0</v>
      </c>
      <c r="E135" s="75">
        <v>1</v>
      </c>
      <c r="F135" s="76">
        <f>'Прайс для расчета'!E123</f>
        <v>5093.2559999999994</v>
      </c>
      <c r="G135" s="77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3">
      <c r="B136" s="72"/>
      <c r="C136" s="78" t="s">
        <v>496</v>
      </c>
      <c r="D136" s="74" t="s">
        <v>0</v>
      </c>
      <c r="E136" s="75">
        <v>1</v>
      </c>
      <c r="F136" s="76">
        <f>'Прайс для расчета'!E124</f>
        <v>4244.8769999999995</v>
      </c>
      <c r="G136" s="77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20.100000000000001" customHeight="1" x14ac:dyDescent="0.25">
      <c r="B137" s="110">
        <f>IF(SUM(B10:B136)&gt;0,1,0)</f>
        <v>0</v>
      </c>
      <c r="C137" s="245" t="s">
        <v>497</v>
      </c>
      <c r="D137" s="245"/>
      <c r="E137" s="245"/>
      <c r="F137" s="245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48" t="s">
        <v>652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0" t="s">
        <v>877</v>
      </c>
      <c r="D139" s="61"/>
      <c r="E139" s="62"/>
      <c r="F139" s="63"/>
      <c r="G139" s="64"/>
    </row>
    <row r="140" spans="2:10" ht="15.6" x14ac:dyDescent="0.3">
      <c r="B140" s="72"/>
      <c r="C140" s="78" t="s">
        <v>1018</v>
      </c>
      <c r="D140" s="74" t="s">
        <v>2</v>
      </c>
      <c r="E140" s="75">
        <f t="shared" ref="E140:E164" si="21">$A$4</f>
        <v>0</v>
      </c>
      <c r="F140" s="76">
        <f>'Прайс для расчета'!E125</f>
        <v>94.5</v>
      </c>
      <c r="G140" s="77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3">
      <c r="B141" s="72"/>
      <c r="C141" s="69" t="s">
        <v>1128</v>
      </c>
      <c r="D141" s="74" t="s">
        <v>2</v>
      </c>
      <c r="E141" s="75">
        <f t="shared" si="21"/>
        <v>0</v>
      </c>
      <c r="F141" s="76">
        <f>'Прайс для расчета'!E126</f>
        <v>157.5</v>
      </c>
      <c r="G141" s="77">
        <f t="shared" si="22"/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3">
      <c r="B142" s="72"/>
      <c r="C142" s="78" t="s">
        <v>1019</v>
      </c>
      <c r="D142" s="74" t="s">
        <v>2</v>
      </c>
      <c r="E142" s="75">
        <f t="shared" si="21"/>
        <v>0</v>
      </c>
      <c r="F142" s="76">
        <f>'Прайс для расчета'!E127</f>
        <v>114.45</v>
      </c>
      <c r="G142" s="77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3">
      <c r="B143" s="72"/>
      <c r="C143" s="78" t="s">
        <v>1034</v>
      </c>
      <c r="D143" s="74" t="s">
        <v>2</v>
      </c>
      <c r="E143" s="75">
        <f t="shared" si="21"/>
        <v>0</v>
      </c>
      <c r="F143" s="76">
        <f>'Прайс для расчета'!E128</f>
        <v>0</v>
      </c>
      <c r="G143" s="77">
        <f t="shared" ref="G143" si="24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72"/>
      <c r="C144" s="69" t="s">
        <v>930</v>
      </c>
      <c r="D144" s="74" t="s">
        <v>2</v>
      </c>
      <c r="E144" s="75">
        <f t="shared" si="21"/>
        <v>0</v>
      </c>
      <c r="F144" s="76">
        <f>'Прайс для расчета'!E129</f>
        <v>576.45000000000005</v>
      </c>
      <c r="G144" s="77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3">
      <c r="B145" s="72"/>
      <c r="C145" s="69" t="s">
        <v>931</v>
      </c>
      <c r="D145" s="74" t="s">
        <v>2</v>
      </c>
      <c r="E145" s="75">
        <f t="shared" si="21"/>
        <v>0</v>
      </c>
      <c r="F145" s="76">
        <f>'Прайс для расчета'!E130</f>
        <v>681.45</v>
      </c>
      <c r="G145" s="77">
        <f t="shared" si="22"/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3">
      <c r="B146" s="72"/>
      <c r="C146" s="69" t="s">
        <v>932</v>
      </c>
      <c r="D146" s="74" t="s">
        <v>2</v>
      </c>
      <c r="E146" s="75">
        <f t="shared" si="21"/>
        <v>0</v>
      </c>
      <c r="F146" s="76">
        <f>'Прайс для расчета'!E131</f>
        <v>891.45</v>
      </c>
      <c r="G146" s="77">
        <f t="shared" si="22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3">
      <c r="B147" s="72"/>
      <c r="C147" s="69" t="s">
        <v>357</v>
      </c>
      <c r="D147" s="74" t="s">
        <v>2</v>
      </c>
      <c r="E147" s="75">
        <f t="shared" si="21"/>
        <v>0</v>
      </c>
      <c r="F147" s="76">
        <f>'Прайс для расчета'!E132</f>
        <v>996.45</v>
      </c>
      <c r="G147" s="77">
        <f t="shared" si="22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3">
      <c r="B148" s="72"/>
      <c r="C148" s="69" t="s">
        <v>1127</v>
      </c>
      <c r="D148" s="74" t="s">
        <v>2</v>
      </c>
      <c r="E148" s="75">
        <f t="shared" si="21"/>
        <v>0</v>
      </c>
      <c r="F148" s="76">
        <f>'Прайс для расчета'!E133</f>
        <v>1101.45</v>
      </c>
      <c r="G148" s="77">
        <f t="shared" si="22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3">
      <c r="B149" s="72"/>
      <c r="C149" s="78" t="s">
        <v>151</v>
      </c>
      <c r="D149" s="74" t="s">
        <v>2</v>
      </c>
      <c r="E149" s="75">
        <f t="shared" si="21"/>
        <v>0</v>
      </c>
      <c r="F149" s="76">
        <f>'Прайс для расчета'!E134</f>
        <v>271.95</v>
      </c>
      <c r="G149" s="77">
        <f t="shared" si="22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3">
      <c r="B150" s="72"/>
      <c r="C150" s="78" t="s">
        <v>499</v>
      </c>
      <c r="D150" s="74" t="s">
        <v>2</v>
      </c>
      <c r="E150" s="75">
        <f t="shared" si="21"/>
        <v>0</v>
      </c>
      <c r="F150" s="76">
        <f>'Прайс для расчета'!E135</f>
        <v>262.5</v>
      </c>
      <c r="G150" s="77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3">
      <c r="B151" s="72"/>
      <c r="C151" s="78" t="s">
        <v>500</v>
      </c>
      <c r="D151" s="74" t="s">
        <v>3</v>
      </c>
      <c r="E151" s="62">
        <f>$A$2</f>
        <v>0</v>
      </c>
      <c r="F151" s="76">
        <f>'Прайс для расчета'!E136</f>
        <v>250.95000000000002</v>
      </c>
      <c r="G151" s="77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3">
      <c r="B152" s="72"/>
      <c r="C152" s="78" t="s">
        <v>1024</v>
      </c>
      <c r="D152" s="74" t="s">
        <v>2</v>
      </c>
      <c r="E152" s="75">
        <f t="shared" si="21"/>
        <v>0</v>
      </c>
      <c r="F152" s="76">
        <f>'Прайс для расчета'!E137</f>
        <v>204.75</v>
      </c>
      <c r="G152" s="77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3">
      <c r="B153" s="72"/>
      <c r="C153" s="78" t="s">
        <v>359</v>
      </c>
      <c r="D153" s="74" t="s">
        <v>2</v>
      </c>
      <c r="E153" s="75">
        <f t="shared" si="21"/>
        <v>0</v>
      </c>
      <c r="F153" s="76">
        <f>'Прайс для расчета'!E138</f>
        <v>299.25</v>
      </c>
      <c r="G153" s="77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3">
      <c r="B154" s="72"/>
      <c r="C154" s="78" t="s">
        <v>360</v>
      </c>
      <c r="D154" s="74" t="s">
        <v>2</v>
      </c>
      <c r="E154" s="75">
        <f t="shared" si="21"/>
        <v>0</v>
      </c>
      <c r="F154" s="76">
        <f>'Прайс для расчета'!E139</f>
        <v>104.36999999999999</v>
      </c>
      <c r="G154" s="77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3">
      <c r="B155" s="72"/>
      <c r="C155" s="78" t="s">
        <v>361</v>
      </c>
      <c r="D155" s="74" t="s">
        <v>2</v>
      </c>
      <c r="E155" s="75">
        <f t="shared" si="21"/>
        <v>0</v>
      </c>
      <c r="F155" s="76">
        <f>'Прайс для расчета'!E140</f>
        <v>498.75</v>
      </c>
      <c r="G155" s="77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3">
      <c r="B156" s="72"/>
      <c r="C156" s="78" t="s">
        <v>501</v>
      </c>
      <c r="D156" s="74" t="s">
        <v>2</v>
      </c>
      <c r="E156" s="75">
        <f t="shared" si="21"/>
        <v>0</v>
      </c>
      <c r="F156" s="76">
        <f>'Прайс для расчета'!E141</f>
        <v>460.95000000000005</v>
      </c>
      <c r="G156" s="77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3">
      <c r="B157" s="72"/>
      <c r="C157" s="78" t="s">
        <v>362</v>
      </c>
      <c r="D157" s="74" t="s">
        <v>2</v>
      </c>
      <c r="E157" s="75">
        <f t="shared" si="21"/>
        <v>0</v>
      </c>
      <c r="F157" s="76">
        <f>'Прайс для расчета'!E142</f>
        <v>1942.5</v>
      </c>
      <c r="G157" s="77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3">
      <c r="B158" s="72"/>
      <c r="C158" s="78" t="s">
        <v>227</v>
      </c>
      <c r="D158" s="74" t="s">
        <v>2</v>
      </c>
      <c r="E158" s="75">
        <f t="shared" si="21"/>
        <v>0</v>
      </c>
      <c r="F158" s="76">
        <f>'Прайс для расчета'!E143</f>
        <v>362.25</v>
      </c>
      <c r="G158" s="77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3">
      <c r="B159" s="72"/>
      <c r="C159" s="78" t="s">
        <v>224</v>
      </c>
      <c r="D159" s="74" t="s">
        <v>2</v>
      </c>
      <c r="E159" s="75">
        <f t="shared" si="21"/>
        <v>0</v>
      </c>
      <c r="F159" s="76">
        <f>'Прайс для расчета'!E144</f>
        <v>271.95</v>
      </c>
      <c r="G159" s="77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3">
      <c r="B160" s="72"/>
      <c r="C160" s="78" t="s">
        <v>1025</v>
      </c>
      <c r="D160" s="74" t="s">
        <v>2</v>
      </c>
      <c r="E160" s="75">
        <f t="shared" si="21"/>
        <v>0</v>
      </c>
      <c r="F160" s="76">
        <f>'Прайс для расчета'!E145</f>
        <v>509.25</v>
      </c>
      <c r="G160" s="77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3">
      <c r="B161" s="72"/>
      <c r="C161" s="78" t="s">
        <v>363</v>
      </c>
      <c r="D161" s="74" t="s">
        <v>3</v>
      </c>
      <c r="E161" s="75">
        <f t="shared" si="21"/>
        <v>0</v>
      </c>
      <c r="F161" s="76">
        <f>'Прайс для расчета'!E146</f>
        <v>472.5</v>
      </c>
      <c r="G161" s="77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3">
      <c r="B162" s="72"/>
      <c r="C162" s="78" t="s">
        <v>364</v>
      </c>
      <c r="D162" s="74" t="s">
        <v>2</v>
      </c>
      <c r="E162" s="75">
        <f t="shared" si="21"/>
        <v>0</v>
      </c>
      <c r="F162" s="76">
        <f>'Прайс для расчета'!E147</f>
        <v>404.06100000000004</v>
      </c>
      <c r="G162" s="77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3">
      <c r="B163" s="72"/>
      <c r="C163" s="78" t="s">
        <v>365</v>
      </c>
      <c r="D163" s="74" t="s">
        <v>2</v>
      </c>
      <c r="E163" s="75">
        <f t="shared" si="21"/>
        <v>0</v>
      </c>
      <c r="F163" s="76">
        <f>'Прайс для расчета'!E148</f>
        <v>304.5</v>
      </c>
      <c r="G163" s="77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3">
      <c r="B164" s="72"/>
      <c r="C164" s="78" t="s">
        <v>366</v>
      </c>
      <c r="D164" s="74" t="s">
        <v>2</v>
      </c>
      <c r="E164" s="75">
        <f t="shared" si="21"/>
        <v>0</v>
      </c>
      <c r="F164" s="76">
        <f>'Прайс для расчета'!E149</f>
        <v>472.5</v>
      </c>
      <c r="G164" s="77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25">
      <c r="B165" s="59">
        <f>IF(SUM(B166:B208)&gt;0,1,0)</f>
        <v>0</v>
      </c>
      <c r="C165" s="60" t="s">
        <v>878</v>
      </c>
      <c r="D165" s="61"/>
      <c r="E165" s="62"/>
      <c r="F165" s="63"/>
      <c r="G165" s="64"/>
    </row>
    <row r="166" spans="2:10" ht="15.6" x14ac:dyDescent="0.3">
      <c r="B166" s="72"/>
      <c r="C166" s="78" t="s">
        <v>1020</v>
      </c>
      <c r="D166" s="74" t="s">
        <v>2</v>
      </c>
      <c r="E166" s="75" t="e">
        <f t="shared" ref="E166:E182" si="25">$A$6</f>
        <v>#REF!</v>
      </c>
      <c r="F166" s="76">
        <f>'Прайс для расчета'!E150</f>
        <v>124.95</v>
      </c>
      <c r="G166" s="77" t="e">
        <f t="shared" ref="G166:G208" si="26">F166*E166</f>
        <v>#REF!</v>
      </c>
      <c r="I166" s="135">
        <f>'Прайс для расчета (М)'!E150</f>
        <v>62.475000000000001</v>
      </c>
      <c r="J166" s="36" t="e">
        <f t="shared" ref="J166:J208" si="27">I166*E166</f>
        <v>#REF!</v>
      </c>
    </row>
    <row r="167" spans="2:10" ht="15.6" x14ac:dyDescent="0.3">
      <c r="B167" s="72"/>
      <c r="C167" s="69" t="s">
        <v>1107</v>
      </c>
      <c r="D167" s="74" t="s">
        <v>2</v>
      </c>
      <c r="E167" s="75" t="e">
        <f t="shared" si="25"/>
        <v>#REF!</v>
      </c>
      <c r="F167" s="76">
        <f>'Прайс для расчета'!E151</f>
        <v>892.5</v>
      </c>
      <c r="G167" s="77" t="e">
        <f t="shared" ref="G167" si="28">F167*E167</f>
        <v>#REF!</v>
      </c>
      <c r="I167" s="135">
        <f>'Прайс для расчета (М)'!E151</f>
        <v>446.25</v>
      </c>
      <c r="J167" s="36" t="e">
        <f t="shared" si="27"/>
        <v>#REF!</v>
      </c>
    </row>
    <row r="168" spans="2:10" ht="15.6" x14ac:dyDescent="0.3">
      <c r="B168" s="72"/>
      <c r="C168" s="69" t="s">
        <v>1108</v>
      </c>
      <c r="D168" s="74" t="s">
        <v>2</v>
      </c>
      <c r="E168" s="75" t="e">
        <f t="shared" si="25"/>
        <v>#REF!</v>
      </c>
      <c r="F168" s="76">
        <f>'Прайс для расчета'!E152</f>
        <v>1207.5</v>
      </c>
      <c r="G168" s="77" t="e">
        <f t="shared" si="26"/>
        <v>#REF!</v>
      </c>
      <c r="I168" s="135">
        <f>'Прайс для расчета (М)'!E152</f>
        <v>603.75</v>
      </c>
      <c r="J168" s="36" t="e">
        <f t="shared" si="27"/>
        <v>#REF!</v>
      </c>
    </row>
    <row r="169" spans="2:10" ht="15.6" x14ac:dyDescent="0.3">
      <c r="B169" s="72"/>
      <c r="C169" s="69" t="s">
        <v>1109</v>
      </c>
      <c r="D169" s="74" t="s">
        <v>2</v>
      </c>
      <c r="E169" s="75" t="e">
        <f t="shared" si="25"/>
        <v>#REF!</v>
      </c>
      <c r="F169" s="76">
        <f>'Прайс для расчета'!E153</f>
        <v>624.75</v>
      </c>
      <c r="G169" s="77" t="e">
        <f t="shared" si="26"/>
        <v>#REF!</v>
      </c>
      <c r="I169" s="135">
        <f>'Прайс для расчета (М)'!E153</f>
        <v>312.375</v>
      </c>
      <c r="J169" s="36" t="e">
        <f t="shared" si="27"/>
        <v>#REF!</v>
      </c>
    </row>
    <row r="170" spans="2:10" ht="15.6" x14ac:dyDescent="0.3">
      <c r="B170" s="72"/>
      <c r="C170" s="69" t="s">
        <v>1110</v>
      </c>
      <c r="D170" s="74" t="s">
        <v>2</v>
      </c>
      <c r="E170" s="75" t="e">
        <f t="shared" si="25"/>
        <v>#REF!</v>
      </c>
      <c r="F170" s="76">
        <f>'Прайс для расчета'!E154</f>
        <v>729.75</v>
      </c>
      <c r="G170" s="77" t="e">
        <f t="shared" si="26"/>
        <v>#REF!</v>
      </c>
      <c r="I170" s="135">
        <f>'Прайс для расчета (М)'!E154</f>
        <v>364.875</v>
      </c>
      <c r="J170" s="36" t="e">
        <f t="shared" si="27"/>
        <v>#REF!</v>
      </c>
    </row>
    <row r="171" spans="2:10" ht="15.6" x14ac:dyDescent="0.3">
      <c r="B171" s="72"/>
      <c r="C171" s="69" t="s">
        <v>1115</v>
      </c>
      <c r="D171" s="74" t="s">
        <v>2</v>
      </c>
      <c r="E171" s="75" t="e">
        <f t="shared" si="25"/>
        <v>#REF!</v>
      </c>
      <c r="F171" s="76">
        <f>'Прайс для расчета'!E155</f>
        <v>943.95</v>
      </c>
      <c r="G171" s="77" t="e">
        <f t="shared" si="26"/>
        <v>#REF!</v>
      </c>
      <c r="I171" s="135">
        <f>'Прайс для расчета (М)'!E155</f>
        <v>471.97500000000002</v>
      </c>
      <c r="J171" s="36" t="e">
        <f t="shared" si="27"/>
        <v>#REF!</v>
      </c>
    </row>
    <row r="172" spans="2:10" ht="15.6" x14ac:dyDescent="0.3">
      <c r="B172" s="72"/>
      <c r="C172" s="78" t="s">
        <v>1028</v>
      </c>
      <c r="D172" s="74" t="s">
        <v>2</v>
      </c>
      <c r="E172" s="75" t="e">
        <f t="shared" si="25"/>
        <v>#REF!</v>
      </c>
      <c r="F172" s="76">
        <f>'Прайс для расчета'!E156</f>
        <v>787.5</v>
      </c>
      <c r="G172" s="77" t="e">
        <f t="shared" si="26"/>
        <v>#REF!</v>
      </c>
      <c r="I172" s="135">
        <f>'Прайс для расчета (М)'!E156</f>
        <v>393.75</v>
      </c>
      <c r="J172" s="36" t="e">
        <f t="shared" si="27"/>
        <v>#REF!</v>
      </c>
    </row>
    <row r="173" spans="2:10" ht="15.6" x14ac:dyDescent="0.3">
      <c r="B173" s="72"/>
      <c r="C173" s="78" t="s">
        <v>1029</v>
      </c>
      <c r="D173" s="74" t="s">
        <v>3</v>
      </c>
      <c r="E173" s="75" t="e">
        <f t="shared" si="25"/>
        <v>#REF!</v>
      </c>
      <c r="F173" s="76">
        <f>'Прайс для расчета'!E157</f>
        <v>651</v>
      </c>
      <c r="G173" s="77" t="e">
        <f t="shared" si="26"/>
        <v>#REF!</v>
      </c>
      <c r="I173" s="135">
        <f>'Прайс для расчета (М)'!E157</f>
        <v>325.5</v>
      </c>
      <c r="J173" s="36" t="e">
        <f t="shared" si="27"/>
        <v>#REF!</v>
      </c>
    </row>
    <row r="174" spans="2:10" ht="15.6" x14ac:dyDescent="0.3">
      <c r="B174" s="72"/>
      <c r="C174" s="78" t="s">
        <v>674</v>
      </c>
      <c r="D174" s="74" t="s">
        <v>2</v>
      </c>
      <c r="E174" s="75" t="e">
        <f t="shared" si="25"/>
        <v>#REF!</v>
      </c>
      <c r="F174" s="76">
        <f>'Прайс для расчета'!E158</f>
        <v>267.75</v>
      </c>
      <c r="G174" s="77" t="e">
        <f t="shared" si="26"/>
        <v>#REF!</v>
      </c>
      <c r="I174" s="135">
        <f>'Прайс для расчета (М)'!E158</f>
        <v>133.875</v>
      </c>
      <c r="J174" s="36" t="e">
        <f t="shared" si="27"/>
        <v>#REF!</v>
      </c>
    </row>
    <row r="175" spans="2:10" ht="15.6" x14ac:dyDescent="0.3">
      <c r="B175" s="72"/>
      <c r="C175" s="200" t="s">
        <v>1007</v>
      </c>
      <c r="D175" s="74" t="s">
        <v>2</v>
      </c>
      <c r="E175" s="75" t="e">
        <f t="shared" si="25"/>
        <v>#REF!</v>
      </c>
      <c r="F175" s="76">
        <f>'Прайс для расчета'!E159</f>
        <v>2992.5</v>
      </c>
      <c r="G175" s="77" t="e">
        <f t="shared" si="26"/>
        <v>#REF!</v>
      </c>
      <c r="I175" s="135">
        <f>'Прайс для расчета (М)'!E159</f>
        <v>1496.25</v>
      </c>
      <c r="J175" s="36" t="e">
        <f t="shared" si="27"/>
        <v>#REF!</v>
      </c>
    </row>
    <row r="176" spans="2:10" ht="15.6" x14ac:dyDescent="0.3">
      <c r="B176" s="72"/>
      <c r="C176" s="69" t="s">
        <v>1021</v>
      </c>
      <c r="D176" s="74" t="s">
        <v>2</v>
      </c>
      <c r="E176" s="75" t="e">
        <f t="shared" si="25"/>
        <v>#REF!</v>
      </c>
      <c r="F176" s="76">
        <f>'Прайс для расчета'!E160</f>
        <v>94.5</v>
      </c>
      <c r="G176" s="77" t="e">
        <f t="shared" si="26"/>
        <v>#REF!</v>
      </c>
      <c r="I176" s="135">
        <f>'Прайс для расчета (М)'!E160</f>
        <v>47.25</v>
      </c>
      <c r="J176" s="36" t="e">
        <f t="shared" si="27"/>
        <v>#REF!</v>
      </c>
    </row>
    <row r="177" spans="2:10" ht="15.6" x14ac:dyDescent="0.3">
      <c r="B177" s="72"/>
      <c r="C177" s="69" t="s">
        <v>1125</v>
      </c>
      <c r="D177" s="74" t="s">
        <v>2</v>
      </c>
      <c r="E177" s="75" t="e">
        <f t="shared" si="25"/>
        <v>#REF!</v>
      </c>
      <c r="F177" s="76">
        <f>'Прайс для расчета'!E161</f>
        <v>157.5</v>
      </c>
      <c r="G177" s="77" t="e">
        <f t="shared" ref="G177" si="29">F177*E177</f>
        <v>#REF!</v>
      </c>
      <c r="I177" s="135">
        <f>'Прайс для расчета (М)'!E161</f>
        <v>78.75</v>
      </c>
      <c r="J177" s="36" t="e">
        <f t="shared" si="27"/>
        <v>#REF!</v>
      </c>
    </row>
    <row r="178" spans="2:10" ht="15.6" x14ac:dyDescent="0.3">
      <c r="B178" s="72"/>
      <c r="C178" s="69" t="s">
        <v>1126</v>
      </c>
      <c r="D178" s="74" t="s">
        <v>2</v>
      </c>
      <c r="E178" s="75" t="e">
        <f t="shared" si="25"/>
        <v>#REF!</v>
      </c>
      <c r="F178" s="76">
        <f>'Прайс для расчета'!E162</f>
        <v>519.75</v>
      </c>
      <c r="G178" s="77" t="e">
        <f t="shared" si="26"/>
        <v>#REF!</v>
      </c>
      <c r="I178" s="135">
        <f>'Прайс для расчета (М)'!E162</f>
        <v>259.875</v>
      </c>
      <c r="J178" s="36" t="e">
        <f t="shared" si="27"/>
        <v>#REF!</v>
      </c>
    </row>
    <row r="179" spans="2:10" ht="15.6" x14ac:dyDescent="0.3">
      <c r="B179" s="72"/>
      <c r="C179" s="69" t="s">
        <v>1119</v>
      </c>
      <c r="D179" s="74" t="s">
        <v>2</v>
      </c>
      <c r="E179" s="75" t="e">
        <f t="shared" si="25"/>
        <v>#REF!</v>
      </c>
      <c r="F179" s="76">
        <f>'Прайс для расчета'!E163</f>
        <v>687.75</v>
      </c>
      <c r="G179" s="77" t="e">
        <f t="shared" si="26"/>
        <v>#REF!</v>
      </c>
      <c r="I179" s="135">
        <f>'Прайс для расчета (М)'!E163</f>
        <v>343.875</v>
      </c>
      <c r="J179" s="36" t="e">
        <f t="shared" si="27"/>
        <v>#REF!</v>
      </c>
    </row>
    <row r="180" spans="2:10" ht="15.6" x14ac:dyDescent="0.3">
      <c r="B180" s="72"/>
      <c r="C180" s="69" t="s">
        <v>1121</v>
      </c>
      <c r="D180" s="74" t="s">
        <v>2</v>
      </c>
      <c r="E180" s="75" t="e">
        <f t="shared" si="25"/>
        <v>#REF!</v>
      </c>
      <c r="F180" s="76">
        <f>'Прайс для расчета'!E164</f>
        <v>420</v>
      </c>
      <c r="G180" s="77" t="e">
        <f t="shared" si="26"/>
        <v>#REF!</v>
      </c>
      <c r="I180" s="135">
        <f>'Прайс для расчета (М)'!E164</f>
        <v>210</v>
      </c>
      <c r="J180" s="36" t="e">
        <f t="shared" si="27"/>
        <v>#REF!</v>
      </c>
    </row>
    <row r="181" spans="2:10" ht="15.6" x14ac:dyDescent="0.3">
      <c r="B181" s="72"/>
      <c r="C181" s="69" t="s">
        <v>1122</v>
      </c>
      <c r="D181" s="74" t="s">
        <v>2</v>
      </c>
      <c r="E181" s="75" t="e">
        <f t="shared" si="25"/>
        <v>#REF!</v>
      </c>
      <c r="F181" s="76">
        <f>'Прайс для расчета'!E165</f>
        <v>829.5</v>
      </c>
      <c r="G181" s="77" t="e">
        <f t="shared" si="26"/>
        <v>#REF!</v>
      </c>
      <c r="I181" s="135">
        <f>'Прайс для расчета (М)'!E165</f>
        <v>414.75</v>
      </c>
      <c r="J181" s="36" t="e">
        <f t="shared" si="27"/>
        <v>#REF!</v>
      </c>
    </row>
    <row r="182" spans="2:10" ht="15.6" x14ac:dyDescent="0.3">
      <c r="B182" s="72"/>
      <c r="C182" s="69" t="s">
        <v>1120</v>
      </c>
      <c r="D182" s="74" t="s">
        <v>2</v>
      </c>
      <c r="E182" s="75" t="e">
        <f t="shared" si="25"/>
        <v>#REF!</v>
      </c>
      <c r="F182" s="76">
        <f>'Прайс для расчета'!E166</f>
        <v>204.75</v>
      </c>
      <c r="G182" s="77" t="e">
        <f t="shared" si="26"/>
        <v>#REF!</v>
      </c>
      <c r="I182" s="135">
        <f>'Прайс для расчета (М)'!E166</f>
        <v>102.375</v>
      </c>
      <c r="J182" s="36" t="e">
        <f t="shared" si="27"/>
        <v>#REF!</v>
      </c>
    </row>
    <row r="183" spans="2:10" ht="15.6" x14ac:dyDescent="0.3">
      <c r="B183" s="72"/>
      <c r="C183" s="69" t="s">
        <v>1105</v>
      </c>
      <c r="D183" s="74" t="s">
        <v>3</v>
      </c>
      <c r="E183" s="75">
        <v>1</v>
      </c>
      <c r="F183" s="76">
        <f>'Прайс для расчета'!E167</f>
        <v>157.5</v>
      </c>
      <c r="G183" s="77">
        <f t="shared" si="26"/>
        <v>157.5</v>
      </c>
      <c r="I183" s="135">
        <f>'Прайс для расчета (М)'!E167</f>
        <v>78.75</v>
      </c>
      <c r="J183" s="36">
        <f t="shared" si="27"/>
        <v>78.75</v>
      </c>
    </row>
    <row r="184" spans="2:10" ht="15.6" x14ac:dyDescent="0.3">
      <c r="B184" s="72"/>
      <c r="C184" s="69" t="s">
        <v>1106</v>
      </c>
      <c r="D184" s="74" t="s">
        <v>3</v>
      </c>
      <c r="E184" s="75">
        <v>1</v>
      </c>
      <c r="F184" s="76">
        <f>'Прайс для расчета'!E168</f>
        <v>157.5</v>
      </c>
      <c r="G184" s="77">
        <f t="shared" si="26"/>
        <v>157.5</v>
      </c>
      <c r="I184" s="135">
        <f>'Прайс для расчета (М)'!E168</f>
        <v>78.75</v>
      </c>
      <c r="J184" s="36">
        <f t="shared" si="27"/>
        <v>78.75</v>
      </c>
    </row>
    <row r="185" spans="2:10" ht="15.6" x14ac:dyDescent="0.3">
      <c r="B185" s="72"/>
      <c r="C185" s="69" t="s">
        <v>1117</v>
      </c>
      <c r="D185" s="74" t="s">
        <v>2</v>
      </c>
      <c r="E185" s="75" t="e">
        <f t="shared" ref="E185:E191" si="30">$A$6</f>
        <v>#REF!</v>
      </c>
      <c r="F185" s="76">
        <f>'Прайс для расчета'!E169</f>
        <v>204.75</v>
      </c>
      <c r="G185" s="77" t="e">
        <f t="shared" si="26"/>
        <v>#REF!</v>
      </c>
      <c r="I185" s="135">
        <f>'Прайс для расчета (М)'!E169</f>
        <v>102.375</v>
      </c>
      <c r="J185" s="36" t="e">
        <f t="shared" si="27"/>
        <v>#REF!</v>
      </c>
    </row>
    <row r="186" spans="2:10" ht="15.6" x14ac:dyDescent="0.3">
      <c r="B186" s="72"/>
      <c r="C186" s="69" t="s">
        <v>1116</v>
      </c>
      <c r="D186" s="74" t="s">
        <v>2</v>
      </c>
      <c r="E186" s="75" t="e">
        <f t="shared" si="30"/>
        <v>#REF!</v>
      </c>
      <c r="F186" s="76">
        <f>'Прайс для расчета'!E170</f>
        <v>204.75</v>
      </c>
      <c r="G186" s="77" t="e">
        <f t="shared" si="26"/>
        <v>#REF!</v>
      </c>
      <c r="I186" s="135">
        <f>'Прайс для расчета (М)'!E170</f>
        <v>102.375</v>
      </c>
      <c r="J186" s="36" t="e">
        <f t="shared" si="27"/>
        <v>#REF!</v>
      </c>
    </row>
    <row r="187" spans="2:10" ht="15.6" x14ac:dyDescent="0.3">
      <c r="B187" s="72"/>
      <c r="C187" s="78" t="s">
        <v>376</v>
      </c>
      <c r="D187" s="74" t="s">
        <v>2</v>
      </c>
      <c r="E187" s="75" t="e">
        <f t="shared" si="30"/>
        <v>#REF!</v>
      </c>
      <c r="F187" s="76">
        <f>'Прайс для расчета'!E171</f>
        <v>1559.586</v>
      </c>
      <c r="G187" s="77" t="e">
        <f t="shared" si="26"/>
        <v>#REF!</v>
      </c>
      <c r="I187" s="135">
        <f>'Прайс для расчета (М)'!E171</f>
        <v>779.79300000000001</v>
      </c>
      <c r="J187" s="36" t="e">
        <f t="shared" si="27"/>
        <v>#REF!</v>
      </c>
    </row>
    <row r="188" spans="2:10" ht="15.6" x14ac:dyDescent="0.3">
      <c r="B188" s="72"/>
      <c r="C188" s="78" t="s">
        <v>377</v>
      </c>
      <c r="D188" s="74" t="s">
        <v>2</v>
      </c>
      <c r="E188" s="75" t="e">
        <f t="shared" si="30"/>
        <v>#REF!</v>
      </c>
      <c r="F188" s="76">
        <f>'Прайс для расчета'!E172</f>
        <v>1616.2440000000001</v>
      </c>
      <c r="G188" s="77" t="e">
        <f t="shared" si="26"/>
        <v>#REF!</v>
      </c>
      <c r="I188" s="135">
        <f>'Прайс для расчета (М)'!E172</f>
        <v>808.12200000000007</v>
      </c>
      <c r="J188" s="36" t="e">
        <f t="shared" si="27"/>
        <v>#REF!</v>
      </c>
    </row>
    <row r="189" spans="2:10" ht="15.6" x14ac:dyDescent="0.3">
      <c r="B189" s="72"/>
      <c r="C189" s="78" t="s">
        <v>378</v>
      </c>
      <c r="D189" s="74" t="s">
        <v>2</v>
      </c>
      <c r="E189" s="75" t="e">
        <f t="shared" si="30"/>
        <v>#REF!</v>
      </c>
      <c r="F189" s="76">
        <f>'Прайс для расчета'!E173</f>
        <v>1131.6690000000001</v>
      </c>
      <c r="G189" s="77" t="e">
        <f t="shared" si="26"/>
        <v>#REF!</v>
      </c>
      <c r="I189" s="135">
        <f>'Прайс для расчета (М)'!E173</f>
        <v>565.83450000000005</v>
      </c>
      <c r="J189" s="36" t="e">
        <f t="shared" si="27"/>
        <v>#REF!</v>
      </c>
    </row>
    <row r="190" spans="2:10" ht="15.6" x14ac:dyDescent="0.3">
      <c r="B190" s="72"/>
      <c r="C190" s="78" t="s">
        <v>379</v>
      </c>
      <c r="D190" s="74" t="s">
        <v>2</v>
      </c>
      <c r="E190" s="75" t="e">
        <f t="shared" si="30"/>
        <v>#REF!</v>
      </c>
      <c r="F190" s="76">
        <f>'Прайс для расчета'!E174</f>
        <v>1191.309</v>
      </c>
      <c r="G190" s="77" t="e">
        <f t="shared" si="26"/>
        <v>#REF!</v>
      </c>
      <c r="I190" s="135">
        <f>'Прайс для расчета (М)'!E174</f>
        <v>595.65449999999998</v>
      </c>
      <c r="J190" s="36" t="e">
        <f t="shared" si="27"/>
        <v>#REF!</v>
      </c>
    </row>
    <row r="191" spans="2:10" ht="15.6" x14ac:dyDescent="0.3">
      <c r="B191" s="72"/>
      <c r="C191" s="78" t="s">
        <v>380</v>
      </c>
      <c r="D191" s="74" t="s">
        <v>2</v>
      </c>
      <c r="E191" s="75" t="e">
        <f t="shared" si="30"/>
        <v>#REF!</v>
      </c>
      <c r="F191" s="76">
        <f>'Прайс для расчета'!E175</f>
        <v>1265.8589999999999</v>
      </c>
      <c r="G191" s="77" t="e">
        <f t="shared" si="26"/>
        <v>#REF!</v>
      </c>
      <c r="I191" s="135">
        <f>'Прайс для расчета (М)'!E175</f>
        <v>632.92949999999996</v>
      </c>
      <c r="J191" s="36" t="e">
        <f t="shared" si="27"/>
        <v>#REF!</v>
      </c>
    </row>
    <row r="192" spans="2:10" ht="15.6" x14ac:dyDescent="0.3">
      <c r="B192" s="72"/>
      <c r="C192" s="78" t="s">
        <v>1044</v>
      </c>
      <c r="D192" s="74" t="s">
        <v>0</v>
      </c>
      <c r="E192" s="75">
        <v>1</v>
      </c>
      <c r="F192" s="76">
        <f>'Прайс для расчета'!E176</f>
        <v>1417.5</v>
      </c>
      <c r="G192" s="77">
        <f t="shared" si="26"/>
        <v>1417.5</v>
      </c>
      <c r="I192" s="135">
        <f>'Прайс для расчета (М)'!E176</f>
        <v>708.75</v>
      </c>
      <c r="J192" s="36">
        <f t="shared" si="27"/>
        <v>708.75</v>
      </c>
    </row>
    <row r="193" spans="2:10" ht="15.6" x14ac:dyDescent="0.3">
      <c r="B193" s="72"/>
      <c r="C193" s="78" t="s">
        <v>1047</v>
      </c>
      <c r="D193" s="74" t="s">
        <v>0</v>
      </c>
      <c r="E193" s="75">
        <v>1</v>
      </c>
      <c r="F193" s="76">
        <f>'Прайс для расчета'!E177</f>
        <v>1837.5</v>
      </c>
      <c r="G193" s="77">
        <f t="shared" si="26"/>
        <v>1837.5</v>
      </c>
      <c r="I193" s="135">
        <f>'Прайс для расчета (М)'!E177</f>
        <v>918.75</v>
      </c>
      <c r="J193" s="36">
        <f t="shared" si="27"/>
        <v>918.75</v>
      </c>
    </row>
    <row r="194" spans="2:10" ht="15.6" x14ac:dyDescent="0.3">
      <c r="B194" s="72"/>
      <c r="C194" s="78" t="s">
        <v>381</v>
      </c>
      <c r="D194" s="74" t="s">
        <v>3</v>
      </c>
      <c r="E194" s="75">
        <v>1</v>
      </c>
      <c r="F194" s="76">
        <f>'Прайс для расчета'!E178</f>
        <v>183.75</v>
      </c>
      <c r="G194" s="77">
        <f t="shared" si="26"/>
        <v>183.75</v>
      </c>
      <c r="I194" s="135">
        <f>'Прайс для расчета (М)'!E178</f>
        <v>91.875</v>
      </c>
      <c r="J194" s="36">
        <f t="shared" si="27"/>
        <v>91.875</v>
      </c>
    </row>
    <row r="195" spans="2:10" ht="15.6" x14ac:dyDescent="0.3">
      <c r="B195" s="72"/>
      <c r="C195" s="78" t="s">
        <v>382</v>
      </c>
      <c r="D195" s="74" t="s">
        <v>3</v>
      </c>
      <c r="E195" s="75">
        <v>1</v>
      </c>
      <c r="F195" s="76">
        <f>'Прайс для расчета'!E179</f>
        <v>367.5</v>
      </c>
      <c r="G195" s="77">
        <f t="shared" si="26"/>
        <v>367.5</v>
      </c>
      <c r="I195" s="135">
        <f>'Прайс для расчета (М)'!E179</f>
        <v>183.75</v>
      </c>
      <c r="J195" s="36">
        <f t="shared" si="27"/>
        <v>183.75</v>
      </c>
    </row>
    <row r="196" spans="2:10" ht="15.6" x14ac:dyDescent="0.3">
      <c r="B196" s="72"/>
      <c r="C196" s="78" t="s">
        <v>508</v>
      </c>
      <c r="D196" s="74" t="s">
        <v>2</v>
      </c>
      <c r="E196" s="75" t="e">
        <f t="shared" ref="E196:E201" si="31">$A$6</f>
        <v>#REF!</v>
      </c>
      <c r="F196" s="76">
        <f>'Прайс для расчета'!E180</f>
        <v>481.95000000000005</v>
      </c>
      <c r="G196" s="77" t="e">
        <f t="shared" si="26"/>
        <v>#REF!</v>
      </c>
      <c r="I196" s="135">
        <f>'Прайс для расчета (М)'!E180</f>
        <v>240.97500000000002</v>
      </c>
      <c r="J196" s="36" t="e">
        <f t="shared" si="27"/>
        <v>#REF!</v>
      </c>
    </row>
    <row r="197" spans="2:10" ht="15.6" x14ac:dyDescent="0.3">
      <c r="B197" s="72"/>
      <c r="C197" s="78" t="s">
        <v>383</v>
      </c>
      <c r="D197" s="74" t="s">
        <v>2</v>
      </c>
      <c r="E197" s="75" t="e">
        <f t="shared" si="31"/>
        <v>#REF!</v>
      </c>
      <c r="F197" s="76">
        <f>'Прайс для расчета'!E181</f>
        <v>1506.75</v>
      </c>
      <c r="G197" s="77" t="e">
        <f t="shared" si="26"/>
        <v>#REF!</v>
      </c>
      <c r="I197" s="135">
        <f>'Прайс для расчета (М)'!E181</f>
        <v>753.375</v>
      </c>
      <c r="J197" s="36" t="e">
        <f t="shared" si="27"/>
        <v>#REF!</v>
      </c>
    </row>
    <row r="198" spans="2:10" ht="15.6" x14ac:dyDescent="0.3">
      <c r="B198" s="72"/>
      <c r="C198" s="78" t="s">
        <v>384</v>
      </c>
      <c r="D198" s="74" t="s">
        <v>2</v>
      </c>
      <c r="E198" s="75" t="e">
        <f t="shared" si="31"/>
        <v>#REF!</v>
      </c>
      <c r="F198" s="76">
        <f>'Прайс для расчета'!E182</f>
        <v>1821.75</v>
      </c>
      <c r="G198" s="77" t="e">
        <f t="shared" si="26"/>
        <v>#REF!</v>
      </c>
      <c r="I198" s="135">
        <f>'Прайс для расчета (М)'!E182</f>
        <v>910.875</v>
      </c>
      <c r="J198" s="36" t="e">
        <f t="shared" si="27"/>
        <v>#REF!</v>
      </c>
    </row>
    <row r="199" spans="2:10" ht="15.6" x14ac:dyDescent="0.3">
      <c r="B199" s="72"/>
      <c r="C199" s="78" t="s">
        <v>385</v>
      </c>
      <c r="D199" s="74" t="s">
        <v>2</v>
      </c>
      <c r="E199" s="75" t="e">
        <f t="shared" si="31"/>
        <v>#REF!</v>
      </c>
      <c r="F199" s="76">
        <f>'Прайс для расчета'!E183</f>
        <v>1149.75</v>
      </c>
      <c r="G199" s="77" t="e">
        <f t="shared" si="26"/>
        <v>#REF!</v>
      </c>
      <c r="I199" s="135">
        <f>'Прайс для расчета (М)'!E183</f>
        <v>574.875</v>
      </c>
      <c r="J199" s="36" t="e">
        <f t="shared" si="27"/>
        <v>#REF!</v>
      </c>
    </row>
    <row r="200" spans="2:10" ht="15.6" x14ac:dyDescent="0.3">
      <c r="B200" s="72"/>
      <c r="C200" s="78" t="s">
        <v>509</v>
      </c>
      <c r="D200" s="74" t="s">
        <v>2</v>
      </c>
      <c r="E200" s="75" t="e">
        <f t="shared" si="31"/>
        <v>#REF!</v>
      </c>
      <c r="F200" s="76">
        <f>'Прайс для расчета'!E184</f>
        <v>1527.75</v>
      </c>
      <c r="G200" s="77" t="e">
        <f t="shared" si="26"/>
        <v>#REF!</v>
      </c>
      <c r="I200" s="135">
        <f>'Прайс для расчета (М)'!E184</f>
        <v>763.875</v>
      </c>
      <c r="J200" s="36" t="e">
        <f t="shared" si="27"/>
        <v>#REF!</v>
      </c>
    </row>
    <row r="201" spans="2:10" ht="15.6" x14ac:dyDescent="0.3">
      <c r="B201" s="72"/>
      <c r="C201" s="78" t="s">
        <v>510</v>
      </c>
      <c r="D201" s="74" t="s">
        <v>2</v>
      </c>
      <c r="E201" s="75" t="e">
        <f t="shared" si="31"/>
        <v>#REF!</v>
      </c>
      <c r="F201" s="76">
        <f>'Прайс для расчета'!E185</f>
        <v>1737.75</v>
      </c>
      <c r="G201" s="77" t="e">
        <f t="shared" si="26"/>
        <v>#REF!</v>
      </c>
      <c r="I201" s="135">
        <f>'Прайс для расчета (М)'!E185</f>
        <v>868.875</v>
      </c>
      <c r="J201" s="36" t="e">
        <f t="shared" si="27"/>
        <v>#REF!</v>
      </c>
    </row>
    <row r="202" spans="2:10" ht="15.6" x14ac:dyDescent="0.3">
      <c r="B202" s="72"/>
      <c r="C202" s="78" t="s">
        <v>43</v>
      </c>
      <c r="D202" s="74" t="s">
        <v>3</v>
      </c>
      <c r="E202" s="75" t="e">
        <f>ROUND($A$6*1.25,0)</f>
        <v>#REF!</v>
      </c>
      <c r="F202" s="76">
        <f>'Прайс для расчета'!E186</f>
        <v>194.25</v>
      </c>
      <c r="G202" s="77" t="e">
        <f t="shared" si="26"/>
        <v>#REF!</v>
      </c>
      <c r="I202" s="135">
        <f>'Прайс для расчета (М)'!E186</f>
        <v>97.125</v>
      </c>
      <c r="J202" s="36" t="e">
        <f t="shared" si="27"/>
        <v>#REF!</v>
      </c>
    </row>
    <row r="203" spans="2:10" ht="15.6" x14ac:dyDescent="0.3">
      <c r="B203" s="72"/>
      <c r="C203" s="78" t="s">
        <v>386</v>
      </c>
      <c r="D203" s="74" t="s">
        <v>646</v>
      </c>
      <c r="E203" s="75">
        <v>1</v>
      </c>
      <c r="F203" s="76">
        <f>'Прайс для расчета'!E187</f>
        <v>2089.5</v>
      </c>
      <c r="G203" s="77">
        <f t="shared" si="26"/>
        <v>2089.5</v>
      </c>
      <c r="I203" s="135">
        <f>'Прайс для расчета (М)'!E187</f>
        <v>1044.75</v>
      </c>
      <c r="J203" s="36">
        <f t="shared" si="27"/>
        <v>1044.75</v>
      </c>
    </row>
    <row r="204" spans="2:10" ht="15.6" x14ac:dyDescent="0.3">
      <c r="B204" s="72"/>
      <c r="C204" s="78" t="s">
        <v>387</v>
      </c>
      <c r="D204" s="74" t="s">
        <v>2</v>
      </c>
      <c r="E204" s="75">
        <v>1</v>
      </c>
      <c r="F204" s="76">
        <f>'Прайс для расчета'!E188</f>
        <v>3097.5</v>
      </c>
      <c r="G204" s="77">
        <f t="shared" si="26"/>
        <v>3097.5</v>
      </c>
      <c r="I204" s="135">
        <f>'Прайс для расчета (М)'!E188</f>
        <v>1548.75</v>
      </c>
      <c r="J204" s="36">
        <f t="shared" si="27"/>
        <v>1548.75</v>
      </c>
    </row>
    <row r="205" spans="2:10" ht="15.6" x14ac:dyDescent="0.3">
      <c r="B205" s="72"/>
      <c r="C205" s="78" t="s">
        <v>388</v>
      </c>
      <c r="D205" s="74" t="s">
        <v>0</v>
      </c>
      <c r="E205" s="75">
        <v>1</v>
      </c>
      <c r="F205" s="76">
        <f>'Прайс для расчета'!E189</f>
        <v>2992.5</v>
      </c>
      <c r="G205" s="77">
        <f t="shared" si="26"/>
        <v>2992.5</v>
      </c>
      <c r="I205" s="135">
        <f>'Прайс для расчета (М)'!E189</f>
        <v>1496.25</v>
      </c>
      <c r="J205" s="36">
        <f t="shared" si="27"/>
        <v>1496.25</v>
      </c>
    </row>
    <row r="206" spans="2:10" ht="15.6" x14ac:dyDescent="0.3">
      <c r="B206" s="72"/>
      <c r="C206" s="78" t="s">
        <v>230</v>
      </c>
      <c r="D206" s="74" t="s">
        <v>2</v>
      </c>
      <c r="E206" s="75" t="e">
        <f>$A$6</f>
        <v>#REF!</v>
      </c>
      <c r="F206" s="76">
        <f>'Прайс для расчета'!E190</f>
        <v>404.06100000000004</v>
      </c>
      <c r="G206" s="77" t="e">
        <f t="shared" si="26"/>
        <v>#REF!</v>
      </c>
      <c r="I206" s="135">
        <f>'Прайс для расчета (М)'!E190</f>
        <v>202.03050000000002</v>
      </c>
      <c r="J206" s="36" t="e">
        <f t="shared" si="27"/>
        <v>#REF!</v>
      </c>
    </row>
    <row r="207" spans="2:10" ht="15.6" x14ac:dyDescent="0.3">
      <c r="B207" s="72"/>
      <c r="C207" s="78" t="s">
        <v>225</v>
      </c>
      <c r="D207" s="74" t="s">
        <v>2</v>
      </c>
      <c r="E207" s="75" t="e">
        <f>$A$6</f>
        <v>#REF!</v>
      </c>
      <c r="F207" s="76">
        <f>'Прайс для расчета'!E191</f>
        <v>282.45</v>
      </c>
      <c r="G207" s="77" t="e">
        <f t="shared" si="26"/>
        <v>#REF!</v>
      </c>
      <c r="I207" s="135">
        <f>'Прайс для расчета (М)'!E191</f>
        <v>141.22499999999999</v>
      </c>
      <c r="J207" s="36" t="e">
        <f t="shared" si="27"/>
        <v>#REF!</v>
      </c>
    </row>
    <row r="208" spans="2:10" ht="15.6" x14ac:dyDescent="0.3">
      <c r="B208" s="72"/>
      <c r="C208" s="78" t="s">
        <v>1026</v>
      </c>
      <c r="D208" s="74" t="s">
        <v>2</v>
      </c>
      <c r="E208" s="75" t="e">
        <f>$A$6</f>
        <v>#REF!</v>
      </c>
      <c r="F208" s="76">
        <f>'Прайс для расчета'!E192</f>
        <v>614.25</v>
      </c>
      <c r="G208" s="77" t="e">
        <f t="shared" si="26"/>
        <v>#REF!</v>
      </c>
      <c r="I208" s="135">
        <f>'Прайс для расчета (М)'!E192</f>
        <v>307.125</v>
      </c>
      <c r="J208" s="36" t="e">
        <f t="shared" si="27"/>
        <v>#REF!</v>
      </c>
    </row>
    <row r="209" spans="2:10" ht="15.6" x14ac:dyDescent="0.25">
      <c r="B209" s="59">
        <f>IF(SUM(B210:B218)&gt;0,1,0)</f>
        <v>0</v>
      </c>
      <c r="C209" s="60" t="s">
        <v>884</v>
      </c>
      <c r="D209" s="61"/>
      <c r="E209" s="62"/>
      <c r="F209" s="63"/>
      <c r="G209" s="64"/>
    </row>
    <row r="210" spans="2:10" ht="15.6" x14ac:dyDescent="0.3">
      <c r="B210" s="72"/>
      <c r="C210" s="78" t="s">
        <v>389</v>
      </c>
      <c r="D210" s="74" t="s">
        <v>3</v>
      </c>
      <c r="E210" s="75">
        <v>1</v>
      </c>
      <c r="F210" s="76">
        <f>'Прайс для расчета'!E193</f>
        <v>84</v>
      </c>
      <c r="G210" s="77">
        <f t="shared" ref="G210:G218" si="32">F210*E210</f>
        <v>84</v>
      </c>
      <c r="I210" s="135">
        <f>'Прайс для расчета (М)'!E193</f>
        <v>42</v>
      </c>
      <c r="J210" s="36">
        <f t="shared" ref="J210:J218" si="33">I210*E210</f>
        <v>42</v>
      </c>
    </row>
    <row r="211" spans="2:10" ht="15.6" x14ac:dyDescent="0.3">
      <c r="B211" s="72"/>
      <c r="C211" s="78" t="s">
        <v>390</v>
      </c>
      <c r="D211" s="74" t="s">
        <v>3</v>
      </c>
      <c r="E211" s="75">
        <f>E210</f>
        <v>1</v>
      </c>
      <c r="F211" s="76">
        <f>'Прайс для расчета'!E194</f>
        <v>787.5</v>
      </c>
      <c r="G211" s="77">
        <f t="shared" si="32"/>
        <v>787.5</v>
      </c>
      <c r="I211" s="135">
        <f>'Прайс для расчета (М)'!E194</f>
        <v>393.75</v>
      </c>
      <c r="J211" s="36">
        <f t="shared" si="33"/>
        <v>393.75</v>
      </c>
    </row>
    <row r="212" spans="2:10" ht="15.6" x14ac:dyDescent="0.3">
      <c r="B212" s="72"/>
      <c r="C212" s="78" t="s">
        <v>391</v>
      </c>
      <c r="D212" s="74" t="s">
        <v>3</v>
      </c>
      <c r="E212" s="75">
        <f>E210</f>
        <v>1</v>
      </c>
      <c r="F212" s="76">
        <f>'Прайс для расчета'!E195</f>
        <v>892.5</v>
      </c>
      <c r="G212" s="77">
        <f t="shared" si="32"/>
        <v>892.5</v>
      </c>
      <c r="I212" s="135">
        <f>'Прайс для расчета (М)'!E195</f>
        <v>446.25</v>
      </c>
      <c r="J212" s="36">
        <f t="shared" si="33"/>
        <v>446.25</v>
      </c>
    </row>
    <row r="213" spans="2:10" ht="15.6" x14ac:dyDescent="0.3">
      <c r="B213" s="72"/>
      <c r="C213" s="78" t="s">
        <v>392</v>
      </c>
      <c r="D213" s="74" t="s">
        <v>3</v>
      </c>
      <c r="E213" s="75">
        <f>E210</f>
        <v>1</v>
      </c>
      <c r="F213" s="76">
        <f>'Прайс для расчета'!E196</f>
        <v>997.5</v>
      </c>
      <c r="G213" s="77">
        <f t="shared" si="32"/>
        <v>997.5</v>
      </c>
      <c r="I213" s="135">
        <f>'Прайс для расчета (М)'!E196</f>
        <v>498.75</v>
      </c>
      <c r="J213" s="36">
        <f t="shared" si="33"/>
        <v>498.75</v>
      </c>
    </row>
    <row r="214" spans="2:10" ht="15.6" x14ac:dyDescent="0.3">
      <c r="B214" s="72"/>
      <c r="C214" s="78" t="s">
        <v>393</v>
      </c>
      <c r="D214" s="74" t="s">
        <v>3</v>
      </c>
      <c r="E214" s="75">
        <f>E210</f>
        <v>1</v>
      </c>
      <c r="F214" s="76">
        <f>'Прайс для расчета'!E197</f>
        <v>787.5</v>
      </c>
      <c r="G214" s="77">
        <f t="shared" si="32"/>
        <v>787.5</v>
      </c>
      <c r="I214" s="135">
        <f>'Прайс для расчета (М)'!E197</f>
        <v>393.75</v>
      </c>
      <c r="J214" s="36">
        <f t="shared" si="33"/>
        <v>393.75</v>
      </c>
    </row>
    <row r="215" spans="2:10" ht="15.6" x14ac:dyDescent="0.3">
      <c r="B215" s="72"/>
      <c r="C215" s="78" t="s">
        <v>52</v>
      </c>
      <c r="D215" s="74" t="s">
        <v>3</v>
      </c>
      <c r="E215" s="75">
        <f>E210</f>
        <v>1</v>
      </c>
      <c r="F215" s="76">
        <f>'Прайс для расчета'!E198</f>
        <v>204.75</v>
      </c>
      <c r="G215" s="77">
        <f t="shared" si="32"/>
        <v>204.75</v>
      </c>
      <c r="I215" s="135">
        <f>'Прайс для расчета (М)'!E198</f>
        <v>102.375</v>
      </c>
      <c r="J215" s="36">
        <f t="shared" si="33"/>
        <v>102.375</v>
      </c>
    </row>
    <row r="216" spans="2:10" ht="15.6" x14ac:dyDescent="0.3">
      <c r="B216" s="72"/>
      <c r="C216" s="78" t="s">
        <v>53</v>
      </c>
      <c r="D216" s="74" t="s">
        <v>3</v>
      </c>
      <c r="E216" s="75">
        <f>E210</f>
        <v>1</v>
      </c>
      <c r="F216" s="76">
        <f>'Прайс для расчета'!E199</f>
        <v>194.25</v>
      </c>
      <c r="G216" s="77">
        <f t="shared" si="32"/>
        <v>194.25</v>
      </c>
      <c r="I216" s="135">
        <f>'Прайс для расчета (М)'!E199</f>
        <v>97.125</v>
      </c>
      <c r="J216" s="36">
        <f t="shared" si="33"/>
        <v>97.125</v>
      </c>
    </row>
    <row r="217" spans="2:10" ht="15.6" x14ac:dyDescent="0.3">
      <c r="B217" s="72"/>
      <c r="C217" s="78" t="s">
        <v>394</v>
      </c>
      <c r="D217" s="74" t="s">
        <v>3</v>
      </c>
      <c r="E217" s="75">
        <f>E210</f>
        <v>1</v>
      </c>
      <c r="F217" s="76">
        <f>'Прайс для расчета'!E200</f>
        <v>866.25</v>
      </c>
      <c r="G217" s="77">
        <f t="shared" si="32"/>
        <v>866.25</v>
      </c>
      <c r="I217" s="135">
        <f>'Прайс для расчета (М)'!E200</f>
        <v>433.125</v>
      </c>
      <c r="J217" s="36">
        <f t="shared" si="33"/>
        <v>433.125</v>
      </c>
    </row>
    <row r="218" spans="2:10" ht="15.6" x14ac:dyDescent="0.3">
      <c r="B218" s="72"/>
      <c r="C218" s="78" t="s">
        <v>395</v>
      </c>
      <c r="D218" s="74" t="s">
        <v>3</v>
      </c>
      <c r="E218" s="75">
        <f>E210</f>
        <v>1</v>
      </c>
      <c r="F218" s="76">
        <f>'Прайс для расчета'!E201</f>
        <v>262.5</v>
      </c>
      <c r="G218" s="77">
        <f t="shared" si="32"/>
        <v>262.5</v>
      </c>
      <c r="I218" s="135">
        <f>'Прайс для расчета (М)'!E201</f>
        <v>131.25</v>
      </c>
      <c r="J218" s="36">
        <f t="shared" si="33"/>
        <v>131.25</v>
      </c>
    </row>
    <row r="219" spans="2:10" ht="15.6" x14ac:dyDescent="0.25">
      <c r="B219" s="59">
        <f>IF(SUM(B220:B247)&gt;0,1,0)</f>
        <v>0</v>
      </c>
      <c r="C219" s="60" t="s">
        <v>879</v>
      </c>
      <c r="D219" s="61"/>
      <c r="E219" s="62"/>
      <c r="F219" s="63"/>
      <c r="G219" s="64"/>
    </row>
    <row r="220" spans="2:10" ht="15.6" x14ac:dyDescent="0.3">
      <c r="B220" s="72"/>
      <c r="C220" s="78" t="s">
        <v>1022</v>
      </c>
      <c r="D220" s="74" t="s">
        <v>2</v>
      </c>
      <c r="E220" s="75">
        <f t="shared" ref="E220:E226" si="34">$A$4</f>
        <v>0</v>
      </c>
      <c r="F220" s="63">
        <f>'Прайс для расчета'!E202</f>
        <v>135.45000000000002</v>
      </c>
      <c r="G220" s="77">
        <f t="shared" ref="G220:G246" si="35">F220*E220</f>
        <v>0</v>
      </c>
      <c r="I220" s="135">
        <f>'Прайс для расчета (М)'!E202</f>
        <v>67.725000000000009</v>
      </c>
      <c r="J220" s="36">
        <f t="shared" ref="J220:J247" si="36">I220*E220</f>
        <v>0</v>
      </c>
    </row>
    <row r="221" spans="2:10" ht="15.6" x14ac:dyDescent="0.3">
      <c r="B221" s="72"/>
      <c r="C221" s="78" t="s">
        <v>1105</v>
      </c>
      <c r="D221" s="74" t="s">
        <v>3</v>
      </c>
      <c r="E221" s="75">
        <f t="shared" si="34"/>
        <v>0</v>
      </c>
      <c r="F221" s="63">
        <f>'Прайс для расчета'!E203</f>
        <v>210</v>
      </c>
      <c r="G221" s="77">
        <f t="shared" ref="G221" si="37">F221*E221</f>
        <v>0</v>
      </c>
      <c r="I221" s="135">
        <f>'Прайс для расчета (М)'!E203</f>
        <v>105</v>
      </c>
      <c r="J221" s="36">
        <f t="shared" si="36"/>
        <v>0</v>
      </c>
    </row>
    <row r="222" spans="2:10" ht="15.6" x14ac:dyDescent="0.3">
      <c r="B222" s="72"/>
      <c r="C222" s="78" t="s">
        <v>1032</v>
      </c>
      <c r="D222" s="74" t="s">
        <v>2</v>
      </c>
      <c r="E222" s="75">
        <f t="shared" si="34"/>
        <v>0</v>
      </c>
      <c r="F222" s="63">
        <f>'Прайс для расчета'!E204</f>
        <v>892.5</v>
      </c>
      <c r="G222" s="77">
        <f t="shared" si="35"/>
        <v>0</v>
      </c>
      <c r="I222" s="135">
        <f>'Прайс для расчета (М)'!E204</f>
        <v>446.25</v>
      </c>
      <c r="J222" s="36">
        <f t="shared" si="36"/>
        <v>0</v>
      </c>
    </row>
    <row r="223" spans="2:10" ht="15.6" x14ac:dyDescent="0.3">
      <c r="B223" s="72"/>
      <c r="C223" s="78" t="s">
        <v>1030</v>
      </c>
      <c r="D223" s="74" t="s">
        <v>2</v>
      </c>
      <c r="E223" s="75">
        <f t="shared" si="34"/>
        <v>0</v>
      </c>
      <c r="F223" s="63">
        <f>'Прайс для расчета'!E205</f>
        <v>1102.5</v>
      </c>
      <c r="G223" s="77">
        <f t="shared" si="35"/>
        <v>0</v>
      </c>
      <c r="I223" s="135">
        <f>'Прайс для расчета (М)'!E205</f>
        <v>551.25</v>
      </c>
      <c r="J223" s="36">
        <f t="shared" si="36"/>
        <v>0</v>
      </c>
    </row>
    <row r="224" spans="2:10" ht="15.6" x14ac:dyDescent="0.3">
      <c r="B224" s="72"/>
      <c r="C224" s="78" t="s">
        <v>1031</v>
      </c>
      <c r="D224" s="74" t="s">
        <v>2</v>
      </c>
      <c r="E224" s="75">
        <f t="shared" si="34"/>
        <v>0</v>
      </c>
      <c r="F224" s="63">
        <f>'Прайс для расчета'!E206</f>
        <v>892.5</v>
      </c>
      <c r="G224" s="77">
        <f t="shared" si="35"/>
        <v>0</v>
      </c>
      <c r="I224" s="135">
        <f>'Прайс для расчета (М)'!E206</f>
        <v>446.25</v>
      </c>
      <c r="J224" s="36">
        <f t="shared" si="36"/>
        <v>0</v>
      </c>
    </row>
    <row r="225" spans="2:10" ht="15.6" x14ac:dyDescent="0.3">
      <c r="B225" s="72"/>
      <c r="C225" s="78" t="s">
        <v>1106</v>
      </c>
      <c r="D225" s="74" t="s">
        <v>3</v>
      </c>
      <c r="E225" s="75">
        <f t="shared" si="34"/>
        <v>0</v>
      </c>
      <c r="F225" s="63">
        <f>'Прайс для расчета'!E207</f>
        <v>210</v>
      </c>
      <c r="G225" s="77">
        <f t="shared" si="35"/>
        <v>0</v>
      </c>
      <c r="I225" s="135">
        <f>'Прайс для расчета (М)'!E207</f>
        <v>105</v>
      </c>
      <c r="J225" s="36">
        <f t="shared" si="36"/>
        <v>0</v>
      </c>
    </row>
    <row r="226" spans="2:10" ht="15.6" x14ac:dyDescent="0.3">
      <c r="B226" s="72"/>
      <c r="C226" s="200" t="s">
        <v>1009</v>
      </c>
      <c r="D226" s="74" t="s">
        <v>2</v>
      </c>
      <c r="E226" s="75">
        <f t="shared" si="34"/>
        <v>0</v>
      </c>
      <c r="F226" s="63">
        <f>'Прайс для расчета'!E208</f>
        <v>3097.5</v>
      </c>
      <c r="G226" s="77">
        <f t="shared" si="35"/>
        <v>0</v>
      </c>
      <c r="I226" s="135">
        <f>'Прайс для расчета (М)'!E208</f>
        <v>1548.75</v>
      </c>
      <c r="J226" s="36">
        <f t="shared" si="36"/>
        <v>0</v>
      </c>
    </row>
    <row r="227" spans="2:10" ht="15.6" x14ac:dyDescent="0.3">
      <c r="B227" s="72"/>
      <c r="C227" s="78" t="s">
        <v>400</v>
      </c>
      <c r="D227" s="74" t="s">
        <v>3</v>
      </c>
      <c r="E227" s="75">
        <f>E79</f>
        <v>1</v>
      </c>
      <c r="F227" s="63">
        <f>'Прайс для расчета'!E209</f>
        <v>240.05099999999999</v>
      </c>
      <c r="G227" s="77">
        <f t="shared" si="35"/>
        <v>240.05099999999999</v>
      </c>
      <c r="I227" s="135">
        <f>'Прайс для расчета (М)'!E209</f>
        <v>120.02549999999999</v>
      </c>
      <c r="J227" s="36">
        <f t="shared" si="36"/>
        <v>120.02549999999999</v>
      </c>
    </row>
    <row r="228" spans="2:10" ht="15.6" x14ac:dyDescent="0.3">
      <c r="B228" s="72"/>
      <c r="C228" s="78" t="s">
        <v>401</v>
      </c>
      <c r="D228" s="74" t="s">
        <v>3</v>
      </c>
      <c r="E228" s="75">
        <f>ROUND($A$4*1.25,0)</f>
        <v>0</v>
      </c>
      <c r="F228" s="63">
        <f>'Прайс для расчета'!E210</f>
        <v>164.01</v>
      </c>
      <c r="G228" s="77">
        <f t="shared" si="35"/>
        <v>0</v>
      </c>
      <c r="I228" s="135">
        <f>'Прайс для расчета (М)'!E210</f>
        <v>82.004999999999995</v>
      </c>
      <c r="J228" s="36">
        <f t="shared" si="36"/>
        <v>0</v>
      </c>
    </row>
    <row r="229" spans="2:10" ht="15.6" x14ac:dyDescent="0.3">
      <c r="B229" s="72"/>
      <c r="C229" s="78" t="s">
        <v>675</v>
      </c>
      <c r="D229" s="74" t="s">
        <v>2</v>
      </c>
      <c r="E229" s="75">
        <f t="shared" ref="E229:E238" si="38">$A$4</f>
        <v>0</v>
      </c>
      <c r="F229" s="63">
        <f>'Прайс для расчета'!E211</f>
        <v>477.12</v>
      </c>
      <c r="G229" s="77">
        <f t="shared" si="35"/>
        <v>0</v>
      </c>
      <c r="I229" s="135">
        <f>'Прайс для расчета (М)'!E211</f>
        <v>238.56</v>
      </c>
      <c r="J229" s="36">
        <f t="shared" si="36"/>
        <v>0</v>
      </c>
    </row>
    <row r="230" spans="2:10" ht="15.6" x14ac:dyDescent="0.3">
      <c r="B230" s="72"/>
      <c r="C230" s="78" t="s">
        <v>1023</v>
      </c>
      <c r="D230" s="74" t="s">
        <v>2</v>
      </c>
      <c r="E230" s="75">
        <f t="shared" si="38"/>
        <v>0</v>
      </c>
      <c r="F230" s="63">
        <f>'Прайс для расчета'!E212</f>
        <v>124.95</v>
      </c>
      <c r="G230" s="77">
        <f t="shared" si="35"/>
        <v>0</v>
      </c>
      <c r="I230" s="135">
        <f>'Прайс для расчета (М)'!E212</f>
        <v>62.475000000000001</v>
      </c>
      <c r="J230" s="36">
        <f t="shared" si="36"/>
        <v>0</v>
      </c>
    </row>
    <row r="231" spans="2:10" ht="15.6" x14ac:dyDescent="0.3">
      <c r="B231" s="72"/>
      <c r="C231" s="78" t="s">
        <v>1132</v>
      </c>
      <c r="D231" s="74" t="s">
        <v>2</v>
      </c>
      <c r="E231" s="75">
        <f t="shared" si="38"/>
        <v>0</v>
      </c>
      <c r="F231" s="63">
        <f>'Прайс для расчета'!E213</f>
        <v>199.5</v>
      </c>
      <c r="G231" s="77">
        <f t="shared" ref="G231" si="39">F231*E231</f>
        <v>0</v>
      </c>
      <c r="I231" s="135">
        <f>'Прайс для расчета (М)'!E213</f>
        <v>99.75</v>
      </c>
      <c r="J231" s="36">
        <f t="shared" si="36"/>
        <v>0</v>
      </c>
    </row>
    <row r="232" spans="2:10" ht="15.6" x14ac:dyDescent="0.3">
      <c r="B232" s="72"/>
      <c r="C232" s="78" t="s">
        <v>676</v>
      </c>
      <c r="D232" s="74" t="s">
        <v>2</v>
      </c>
      <c r="E232" s="75">
        <f t="shared" si="38"/>
        <v>0</v>
      </c>
      <c r="F232" s="63">
        <f>'Прайс для расчета'!E214</f>
        <v>299.25</v>
      </c>
      <c r="G232" s="77">
        <f t="shared" si="35"/>
        <v>0</v>
      </c>
      <c r="I232" s="135">
        <f>'Прайс для расчета (М)'!E214</f>
        <v>149.625</v>
      </c>
      <c r="J232" s="36">
        <f t="shared" si="36"/>
        <v>0</v>
      </c>
    </row>
    <row r="233" spans="2:10" ht="15.6" x14ac:dyDescent="0.3">
      <c r="B233" s="72"/>
      <c r="C233" s="78" t="s">
        <v>403</v>
      </c>
      <c r="D233" s="74" t="s">
        <v>647</v>
      </c>
      <c r="E233" s="75">
        <f t="shared" si="38"/>
        <v>0</v>
      </c>
      <c r="F233" s="63">
        <f>'Прайс для расчета'!E215</f>
        <v>236.25</v>
      </c>
      <c r="G233" s="77">
        <f t="shared" si="35"/>
        <v>0</v>
      </c>
      <c r="I233" s="135">
        <f>'Прайс для расчета (М)'!E215</f>
        <v>118.125</v>
      </c>
      <c r="J233" s="36">
        <f t="shared" si="36"/>
        <v>0</v>
      </c>
    </row>
    <row r="234" spans="2:10" ht="15.6" x14ac:dyDescent="0.3">
      <c r="B234" s="72"/>
      <c r="C234" s="78" t="s">
        <v>1035</v>
      </c>
      <c r="D234" s="74" t="s">
        <v>2</v>
      </c>
      <c r="E234" s="75">
        <f t="shared" si="38"/>
        <v>0</v>
      </c>
      <c r="F234" s="63">
        <f>'Прайс для расчета'!E216</f>
        <v>624.75</v>
      </c>
      <c r="G234" s="77">
        <f t="shared" si="35"/>
        <v>0</v>
      </c>
      <c r="I234" s="135">
        <f>'Прайс для расчета (М)'!E216</f>
        <v>312.375</v>
      </c>
      <c r="J234" s="36">
        <f t="shared" si="36"/>
        <v>0</v>
      </c>
    </row>
    <row r="235" spans="2:10" ht="15.6" x14ac:dyDescent="0.3">
      <c r="B235" s="72"/>
      <c r="C235" s="78" t="s">
        <v>1041</v>
      </c>
      <c r="D235" s="74" t="s">
        <v>2</v>
      </c>
      <c r="E235" s="75">
        <f t="shared" si="38"/>
        <v>0</v>
      </c>
      <c r="F235" s="63">
        <f>'Прайс для расчета'!E217</f>
        <v>787.5</v>
      </c>
      <c r="G235" s="77">
        <f t="shared" si="35"/>
        <v>0</v>
      </c>
      <c r="I235" s="135">
        <f>'Прайс для расчета (М)'!E217</f>
        <v>393.75</v>
      </c>
      <c r="J235" s="36">
        <f t="shared" si="36"/>
        <v>0</v>
      </c>
    </row>
    <row r="236" spans="2:10" ht="15.6" x14ac:dyDescent="0.3">
      <c r="B236" s="72"/>
      <c r="C236" s="69" t="s">
        <v>1137</v>
      </c>
      <c r="D236" s="74" t="s">
        <v>2</v>
      </c>
      <c r="E236" s="75">
        <f t="shared" si="38"/>
        <v>0</v>
      </c>
      <c r="F236" s="63">
        <f>'Прайс для расчета'!E218</f>
        <v>1207.5</v>
      </c>
      <c r="G236" s="77">
        <f t="shared" si="35"/>
        <v>0</v>
      </c>
      <c r="I236" s="135">
        <f>'Прайс для расчета (М)'!E218</f>
        <v>603.75</v>
      </c>
      <c r="J236" s="36">
        <f t="shared" si="36"/>
        <v>0</v>
      </c>
    </row>
    <row r="237" spans="2:10" ht="15.6" x14ac:dyDescent="0.3">
      <c r="B237" s="72"/>
      <c r="C237" s="69" t="s">
        <v>1139</v>
      </c>
      <c r="D237" s="74" t="s">
        <v>2</v>
      </c>
      <c r="E237" s="75">
        <f t="shared" si="38"/>
        <v>0</v>
      </c>
      <c r="F237" s="63">
        <f>'Прайс для расчета'!E219</f>
        <v>262.5</v>
      </c>
      <c r="G237" s="77">
        <f t="shared" si="35"/>
        <v>0</v>
      </c>
      <c r="I237" s="135">
        <f>'Прайс для расчета (М)'!E219</f>
        <v>131.25</v>
      </c>
      <c r="J237" s="36">
        <f t="shared" si="36"/>
        <v>0</v>
      </c>
    </row>
    <row r="238" spans="2:10" ht="15.6" x14ac:dyDescent="0.3">
      <c r="B238" s="72"/>
      <c r="C238" s="69" t="s">
        <v>1142</v>
      </c>
      <c r="D238" s="74" t="s">
        <v>2</v>
      </c>
      <c r="E238" s="75">
        <f t="shared" si="38"/>
        <v>0</v>
      </c>
      <c r="F238" s="63">
        <f>'Прайс для расчета'!E220</f>
        <v>997.5</v>
      </c>
      <c r="G238" s="77">
        <f t="shared" si="35"/>
        <v>0</v>
      </c>
      <c r="I238" s="135">
        <f>'Прайс для расчета (М)'!E220</f>
        <v>498.75</v>
      </c>
      <c r="J238" s="36">
        <f t="shared" si="36"/>
        <v>0</v>
      </c>
    </row>
    <row r="239" spans="2:10" ht="15.6" x14ac:dyDescent="0.3">
      <c r="B239" s="72"/>
      <c r="C239" s="78" t="s">
        <v>4</v>
      </c>
      <c r="D239" s="74" t="s">
        <v>3</v>
      </c>
      <c r="E239" s="75">
        <v>1</v>
      </c>
      <c r="F239" s="63">
        <f>'Прайс для расчета'!E221</f>
        <v>735</v>
      </c>
      <c r="G239" s="77">
        <f t="shared" si="35"/>
        <v>735</v>
      </c>
      <c r="I239" s="135">
        <f>'Прайс для расчета (М)'!E221</f>
        <v>367.5</v>
      </c>
      <c r="J239" s="36">
        <f t="shared" si="36"/>
        <v>367.5</v>
      </c>
    </row>
    <row r="240" spans="2:10" ht="15.6" x14ac:dyDescent="0.3">
      <c r="B240" s="72"/>
      <c r="C240" s="78" t="s">
        <v>1000</v>
      </c>
      <c r="D240" s="74" t="s">
        <v>2</v>
      </c>
      <c r="E240" s="75">
        <f>$A$4</f>
        <v>0</v>
      </c>
      <c r="F240" s="63">
        <f>'Прайс для расчета'!E222</f>
        <v>105</v>
      </c>
      <c r="G240" s="77">
        <f t="shared" si="35"/>
        <v>0</v>
      </c>
      <c r="I240" s="135">
        <f>'Прайс для расчета (М)'!E222</f>
        <v>52.5</v>
      </c>
      <c r="J240" s="36">
        <f t="shared" si="36"/>
        <v>0</v>
      </c>
    </row>
    <row r="241" spans="2:10" ht="15.6" x14ac:dyDescent="0.3">
      <c r="B241" s="72"/>
      <c r="C241" s="78" t="s">
        <v>153</v>
      </c>
      <c r="D241" s="74" t="s">
        <v>2</v>
      </c>
      <c r="E241" s="75">
        <f>$A$4</f>
        <v>0</v>
      </c>
      <c r="F241" s="63">
        <f>'Прайс для расчета'!E223</f>
        <v>292.95</v>
      </c>
      <c r="G241" s="77">
        <f t="shared" si="35"/>
        <v>0</v>
      </c>
      <c r="I241" s="135">
        <f>'Прайс для расчета (М)'!E223</f>
        <v>146.47499999999999</v>
      </c>
      <c r="J241" s="36">
        <f t="shared" si="36"/>
        <v>0</v>
      </c>
    </row>
    <row r="242" spans="2:10" ht="15.6" x14ac:dyDescent="0.3">
      <c r="B242" s="72"/>
      <c r="C242" s="78" t="s">
        <v>1027</v>
      </c>
      <c r="D242" s="74" t="s">
        <v>2</v>
      </c>
      <c r="E242" s="75">
        <f>$A$4</f>
        <v>0</v>
      </c>
      <c r="F242" s="63">
        <f>'Прайс для расчета'!E224</f>
        <v>719.25</v>
      </c>
      <c r="G242" s="77">
        <f t="shared" si="35"/>
        <v>0</v>
      </c>
      <c r="I242" s="135">
        <f>'Прайс для расчета (М)'!E224</f>
        <v>359.625</v>
      </c>
      <c r="J242" s="36">
        <f t="shared" si="36"/>
        <v>0</v>
      </c>
    </row>
    <row r="243" spans="2:10" ht="15.6" x14ac:dyDescent="0.3">
      <c r="B243" s="72"/>
      <c r="C243" s="78" t="s">
        <v>982</v>
      </c>
      <c r="D243" s="74" t="s">
        <v>3</v>
      </c>
      <c r="E243" s="75">
        <v>1</v>
      </c>
      <c r="F243" s="63">
        <f>'Прайс для расчета'!E225</f>
        <v>2299.5</v>
      </c>
      <c r="G243" s="77">
        <f t="shared" si="35"/>
        <v>2299.5</v>
      </c>
      <c r="I243" s="135">
        <f>'Прайс для расчета (М)'!E225</f>
        <v>1149.75</v>
      </c>
      <c r="J243" s="36">
        <f t="shared" si="36"/>
        <v>1149.75</v>
      </c>
    </row>
    <row r="244" spans="2:10" ht="15.6" x14ac:dyDescent="0.3">
      <c r="B244" s="72"/>
      <c r="C244" s="78" t="s">
        <v>1050</v>
      </c>
      <c r="D244" s="74" t="s">
        <v>2</v>
      </c>
      <c r="E244" s="75">
        <f>$A$4</f>
        <v>0</v>
      </c>
      <c r="F244" s="63">
        <f>'Прайс для расчета'!E226</f>
        <v>1942.5</v>
      </c>
      <c r="G244" s="77">
        <f t="shared" si="35"/>
        <v>0</v>
      </c>
      <c r="I244" s="135">
        <f>'Прайс для расчета (М)'!E226</f>
        <v>971.25</v>
      </c>
      <c r="J244" s="36">
        <f t="shared" si="36"/>
        <v>0</v>
      </c>
    </row>
    <row r="245" spans="2:10" ht="15.6" x14ac:dyDescent="0.3">
      <c r="B245" s="72"/>
      <c r="C245" s="78" t="s">
        <v>1049</v>
      </c>
      <c r="D245" s="74" t="s">
        <v>2</v>
      </c>
      <c r="E245" s="75">
        <f>$A$4</f>
        <v>0</v>
      </c>
      <c r="F245" s="63">
        <f>'Прайс для расчета'!E227</f>
        <v>2047.5</v>
      </c>
      <c r="G245" s="77">
        <f t="shared" si="35"/>
        <v>0</v>
      </c>
      <c r="I245" s="135">
        <f>'Прайс для расчета (М)'!E227</f>
        <v>1023.75</v>
      </c>
      <c r="J245" s="36">
        <f t="shared" si="36"/>
        <v>0</v>
      </c>
    </row>
    <row r="246" spans="2:10" ht="15.6" x14ac:dyDescent="0.3">
      <c r="B246" s="72"/>
      <c r="C246" s="78" t="s">
        <v>1051</v>
      </c>
      <c r="D246" s="74" t="s">
        <v>3</v>
      </c>
      <c r="E246" s="75">
        <v>1</v>
      </c>
      <c r="F246" s="63">
        <f>'Прайс для расчета'!E228</f>
        <v>2467.5</v>
      </c>
      <c r="G246" s="77">
        <f t="shared" si="35"/>
        <v>2467.5</v>
      </c>
      <c r="I246" s="135">
        <f>'Прайс для расчета (М)'!E228</f>
        <v>1233.75</v>
      </c>
      <c r="J246" s="36">
        <f t="shared" si="36"/>
        <v>1233.75</v>
      </c>
    </row>
    <row r="247" spans="2:10" ht="15.6" x14ac:dyDescent="0.3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77">
        <f t="shared" ref="G247" si="40">F247*E247</f>
        <v>2677.5</v>
      </c>
      <c r="I247" s="135">
        <f>'Прайс для расчета (М)'!E229</f>
        <v>1338.75</v>
      </c>
      <c r="J247" s="36">
        <f t="shared" si="36"/>
        <v>1338.75</v>
      </c>
    </row>
    <row r="248" spans="2:10" ht="20.100000000000001" customHeight="1" x14ac:dyDescent="0.25">
      <c r="B248" s="110">
        <f>IF(SUM(B139:B247)&gt;0,1,0)</f>
        <v>0</v>
      </c>
      <c r="C248" s="245" t="s">
        <v>514</v>
      </c>
      <c r="D248" s="245"/>
      <c r="E248" s="245"/>
      <c r="F248" s="245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IF(SUM(B250:B381)&gt;0,1,0)</f>
        <v>0</v>
      </c>
      <c r="C249" s="148" t="s">
        <v>653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0" t="s">
        <v>877</v>
      </c>
      <c r="D250" s="61"/>
      <c r="E250" s="62"/>
      <c r="F250" s="63"/>
      <c r="G250" s="64"/>
    </row>
    <row r="251" spans="2:10" ht="15.6" x14ac:dyDescent="0.3">
      <c r="B251" s="72"/>
      <c r="C251" s="78" t="s">
        <v>1054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77">
        <f t="shared" ref="G251:G286" si="41">F251*E251</f>
        <v>0</v>
      </c>
      <c r="I251" s="135">
        <f>'Прайс для расчета (М)'!E230</f>
        <v>1259.4750000000001</v>
      </c>
      <c r="J251" s="36">
        <f t="shared" ref="J251:J286" si="42">I251*E251</f>
        <v>0</v>
      </c>
    </row>
    <row r="252" spans="2:10" ht="15.6" x14ac:dyDescent="0.3">
      <c r="B252" s="72"/>
      <c r="C252" s="78" t="s">
        <v>1056</v>
      </c>
      <c r="D252" s="74" t="s">
        <v>3</v>
      </c>
      <c r="E252" s="62">
        <f t="shared" ref="E252:E267" si="43">$A$4</f>
        <v>0</v>
      </c>
      <c r="F252" s="63">
        <f>'Прайс для расчета'!E231</f>
        <v>509.25</v>
      </c>
      <c r="G252" s="77">
        <f t="shared" si="41"/>
        <v>0</v>
      </c>
      <c r="I252" s="135">
        <f>'Прайс для расчета (М)'!E231</f>
        <v>254.625</v>
      </c>
      <c r="J252" s="36">
        <f t="shared" si="42"/>
        <v>0</v>
      </c>
    </row>
    <row r="253" spans="2:10" ht="15.6" x14ac:dyDescent="0.3">
      <c r="B253" s="72"/>
      <c r="C253" s="78" t="s">
        <v>409</v>
      </c>
      <c r="D253" s="74" t="s">
        <v>2</v>
      </c>
      <c r="E253" s="62">
        <f t="shared" si="43"/>
        <v>0</v>
      </c>
      <c r="F253" s="63">
        <f>'Прайс для расчета'!E232</f>
        <v>2718.4500000000003</v>
      </c>
      <c r="G253" s="77">
        <f t="shared" si="41"/>
        <v>0</v>
      </c>
      <c r="I253" s="135">
        <f>'Прайс для расчета (М)'!E232</f>
        <v>1359.2250000000001</v>
      </c>
      <c r="J253" s="36">
        <f t="shared" si="42"/>
        <v>0</v>
      </c>
    </row>
    <row r="254" spans="2:10" ht="15.6" x14ac:dyDescent="0.3">
      <c r="B254" s="72"/>
      <c r="C254" s="78" t="s">
        <v>1059</v>
      </c>
      <c r="D254" s="74" t="s">
        <v>2</v>
      </c>
      <c r="E254" s="62">
        <f t="shared" si="43"/>
        <v>0</v>
      </c>
      <c r="F254" s="63">
        <f>'Прайс для расчета'!E233</f>
        <v>1260</v>
      </c>
      <c r="G254" s="77">
        <f t="shared" si="41"/>
        <v>0</v>
      </c>
      <c r="I254" s="135">
        <f>'Прайс для расчета (М)'!E233</f>
        <v>630</v>
      </c>
      <c r="J254" s="36">
        <f t="shared" si="42"/>
        <v>0</v>
      </c>
    </row>
    <row r="255" spans="2:10" ht="15.6" x14ac:dyDescent="0.3">
      <c r="B255" s="72"/>
      <c r="C255" s="78" t="s">
        <v>411</v>
      </c>
      <c r="D255" s="74" t="s">
        <v>2</v>
      </c>
      <c r="E255" s="62">
        <f t="shared" si="43"/>
        <v>0</v>
      </c>
      <c r="F255" s="63">
        <f>'Прайс для расчета'!E234</f>
        <v>3033.4500000000003</v>
      </c>
      <c r="G255" s="77">
        <f t="shared" si="41"/>
        <v>0</v>
      </c>
      <c r="I255" s="135">
        <f>'Прайс для расчета (М)'!E234</f>
        <v>1516.7250000000001</v>
      </c>
      <c r="J255" s="36">
        <f t="shared" si="42"/>
        <v>0</v>
      </c>
    </row>
    <row r="256" spans="2:10" ht="15.6" x14ac:dyDescent="0.3">
      <c r="B256" s="72"/>
      <c r="C256" s="78" t="s">
        <v>1062</v>
      </c>
      <c r="D256" s="74" t="s">
        <v>3</v>
      </c>
      <c r="E256" s="62">
        <f t="shared" si="43"/>
        <v>0</v>
      </c>
      <c r="F256" s="63">
        <f>'Прайс для расчета'!E235</f>
        <v>971.25</v>
      </c>
      <c r="G256" s="77">
        <f t="shared" si="41"/>
        <v>0</v>
      </c>
      <c r="I256" s="135">
        <f>'Прайс для расчета (М)'!E235</f>
        <v>485.625</v>
      </c>
      <c r="J256" s="36">
        <f t="shared" si="42"/>
        <v>0</v>
      </c>
    </row>
    <row r="257" spans="2:10" ht="15.6" x14ac:dyDescent="0.3">
      <c r="B257" s="72"/>
      <c r="C257" s="78" t="s">
        <v>1064</v>
      </c>
      <c r="D257" s="74" t="s">
        <v>2</v>
      </c>
      <c r="E257" s="62">
        <f t="shared" si="43"/>
        <v>0</v>
      </c>
      <c r="F257" s="63">
        <f>'Прайс для расчета'!E236</f>
        <v>3412.5</v>
      </c>
      <c r="G257" s="77">
        <f t="shared" si="41"/>
        <v>0</v>
      </c>
      <c r="I257" s="135">
        <f>'Прайс для расчета (М)'!E236</f>
        <v>1706.25</v>
      </c>
      <c r="J257" s="36">
        <f t="shared" si="42"/>
        <v>0</v>
      </c>
    </row>
    <row r="258" spans="2:10" ht="15.6" x14ac:dyDescent="0.3">
      <c r="B258" s="72"/>
      <c r="C258" s="78" t="s">
        <v>988</v>
      </c>
      <c r="D258" s="74" t="s">
        <v>2</v>
      </c>
      <c r="E258" s="62">
        <f t="shared" si="43"/>
        <v>0</v>
      </c>
      <c r="F258" s="63">
        <f>'Прайс для расчета'!E237</f>
        <v>2938.9500000000003</v>
      </c>
      <c r="G258" s="77">
        <f t="shared" si="41"/>
        <v>0</v>
      </c>
      <c r="I258" s="135">
        <f>'Прайс для расчета (М)'!E237</f>
        <v>1469.4750000000001</v>
      </c>
      <c r="J258" s="36">
        <f t="shared" si="42"/>
        <v>0</v>
      </c>
    </row>
    <row r="259" spans="2:10" ht="15.6" x14ac:dyDescent="0.3">
      <c r="B259" s="72"/>
      <c r="C259" s="78" t="s">
        <v>922</v>
      </c>
      <c r="D259" s="74" t="s">
        <v>2</v>
      </c>
      <c r="E259" s="62">
        <f t="shared" si="43"/>
        <v>0</v>
      </c>
      <c r="F259" s="63">
        <f>'Прайс для расчета'!E238</f>
        <v>3097.5</v>
      </c>
      <c r="G259" s="77">
        <f t="shared" si="41"/>
        <v>0</v>
      </c>
      <c r="I259" s="135">
        <f>'Прайс для расчета (М)'!E238</f>
        <v>1548.75</v>
      </c>
      <c r="J259" s="36">
        <f t="shared" si="42"/>
        <v>0</v>
      </c>
    </row>
    <row r="260" spans="2:10" ht="15.6" x14ac:dyDescent="0.3">
      <c r="B260" s="72"/>
      <c r="C260" s="78" t="s">
        <v>989</v>
      </c>
      <c r="D260" s="74" t="s">
        <v>2</v>
      </c>
      <c r="E260" s="62">
        <f t="shared" si="43"/>
        <v>0</v>
      </c>
      <c r="F260" s="63">
        <f>'Прайс для расчета'!E239</f>
        <v>3717</v>
      </c>
      <c r="G260" s="77">
        <f t="shared" si="41"/>
        <v>0</v>
      </c>
      <c r="I260" s="135">
        <f>'Прайс для расчета (М)'!E239</f>
        <v>1858.5</v>
      </c>
      <c r="J260" s="36">
        <f t="shared" si="42"/>
        <v>0</v>
      </c>
    </row>
    <row r="261" spans="2:10" ht="15.6" x14ac:dyDescent="0.3">
      <c r="B261" s="72"/>
      <c r="C261" s="78" t="s">
        <v>936</v>
      </c>
      <c r="D261" s="74" t="s">
        <v>2</v>
      </c>
      <c r="E261" s="62">
        <f t="shared" si="43"/>
        <v>0</v>
      </c>
      <c r="F261" s="63">
        <f>'Прайс для расчета'!E240</f>
        <v>6237</v>
      </c>
      <c r="G261" s="77">
        <f t="shared" ref="G261" si="44">F261*E261</f>
        <v>0</v>
      </c>
      <c r="I261" s="135">
        <f>'Прайс для расчета (М)'!E240</f>
        <v>3118.5</v>
      </c>
      <c r="J261" s="36">
        <f t="shared" si="42"/>
        <v>0</v>
      </c>
    </row>
    <row r="262" spans="2:10" ht="15.6" x14ac:dyDescent="0.3">
      <c r="B262" s="72"/>
      <c r="C262" s="78" t="s">
        <v>1065</v>
      </c>
      <c r="D262" s="74" t="s">
        <v>2</v>
      </c>
      <c r="E262" s="62">
        <f t="shared" si="43"/>
        <v>0</v>
      </c>
      <c r="F262" s="63">
        <f>'Прайс для расчета'!E241</f>
        <v>3622.5</v>
      </c>
      <c r="G262" s="77">
        <f t="shared" si="41"/>
        <v>0</v>
      </c>
      <c r="I262" s="135">
        <f>'Прайс для расчета (М)'!E241</f>
        <v>1811.25</v>
      </c>
      <c r="J262" s="36">
        <f t="shared" si="42"/>
        <v>0</v>
      </c>
    </row>
    <row r="263" spans="2:10" ht="15.6" x14ac:dyDescent="0.3">
      <c r="B263" s="72"/>
      <c r="C263" s="78" t="s">
        <v>1066</v>
      </c>
      <c r="D263" s="74" t="s">
        <v>2</v>
      </c>
      <c r="E263" s="62">
        <f t="shared" si="43"/>
        <v>0</v>
      </c>
      <c r="F263" s="63">
        <f>'Прайс для расчета'!E242</f>
        <v>5197.5</v>
      </c>
      <c r="G263" s="77">
        <f t="shared" si="41"/>
        <v>0</v>
      </c>
      <c r="I263" s="135">
        <f>'Прайс для расчета (М)'!E242</f>
        <v>2598.75</v>
      </c>
      <c r="J263" s="36">
        <f t="shared" si="42"/>
        <v>0</v>
      </c>
    </row>
    <row r="264" spans="2:10" ht="15.6" x14ac:dyDescent="0.3">
      <c r="B264" s="72"/>
      <c r="C264" s="78" t="s">
        <v>1067</v>
      </c>
      <c r="D264" s="74" t="s">
        <v>2</v>
      </c>
      <c r="E264" s="62">
        <f t="shared" si="43"/>
        <v>0</v>
      </c>
      <c r="F264" s="63">
        <f>'Прайс для расчета'!E243</f>
        <v>3097.5</v>
      </c>
      <c r="G264" s="77">
        <f t="shared" si="41"/>
        <v>0</v>
      </c>
      <c r="I264" s="135">
        <f>'Прайс для расчета (М)'!E243</f>
        <v>1548.75</v>
      </c>
      <c r="J264" s="36">
        <f t="shared" si="42"/>
        <v>0</v>
      </c>
    </row>
    <row r="265" spans="2:10" ht="15.6" x14ac:dyDescent="0.3">
      <c r="B265" s="72"/>
      <c r="C265" s="78" t="s">
        <v>412</v>
      </c>
      <c r="D265" s="74" t="s">
        <v>2</v>
      </c>
      <c r="E265" s="62">
        <f t="shared" si="43"/>
        <v>0</v>
      </c>
      <c r="F265" s="63">
        <f>'Прайс для расчета'!E244</f>
        <v>404.25</v>
      </c>
      <c r="G265" s="77">
        <f t="shared" si="41"/>
        <v>0</v>
      </c>
      <c r="I265" s="135">
        <f>'Прайс для расчета (М)'!E244</f>
        <v>202.125</v>
      </c>
      <c r="J265" s="36">
        <f t="shared" si="42"/>
        <v>0</v>
      </c>
    </row>
    <row r="266" spans="2:10" ht="15.6" x14ac:dyDescent="0.3">
      <c r="B266" s="72"/>
      <c r="C266" s="78" t="s">
        <v>937</v>
      </c>
      <c r="D266" s="74" t="s">
        <v>2</v>
      </c>
      <c r="E266" s="62">
        <f t="shared" si="43"/>
        <v>0</v>
      </c>
      <c r="F266" s="63">
        <f>'Прайс для расчета'!E245</f>
        <v>1244.25</v>
      </c>
      <c r="G266" s="77">
        <f t="shared" si="41"/>
        <v>0</v>
      </c>
      <c r="I266" s="135">
        <f>'Прайс для расчета (М)'!E245</f>
        <v>622.125</v>
      </c>
      <c r="J266" s="36">
        <f t="shared" si="42"/>
        <v>0</v>
      </c>
    </row>
    <row r="267" spans="2:10" ht="15.6" x14ac:dyDescent="0.3">
      <c r="B267" s="72"/>
      <c r="C267" s="78" t="s">
        <v>938</v>
      </c>
      <c r="D267" s="74" t="s">
        <v>2</v>
      </c>
      <c r="E267" s="62">
        <f t="shared" si="43"/>
        <v>0</v>
      </c>
      <c r="F267" s="63">
        <f>'Прайс для расчета'!E246</f>
        <v>929.25</v>
      </c>
      <c r="G267" s="77">
        <f t="shared" si="41"/>
        <v>0</v>
      </c>
      <c r="I267" s="135">
        <f>'Прайс для расчета (М)'!E246</f>
        <v>464.625</v>
      </c>
      <c r="J267" s="36">
        <f t="shared" si="42"/>
        <v>0</v>
      </c>
    </row>
    <row r="268" spans="2:10" ht="15.6" x14ac:dyDescent="0.3">
      <c r="B268" s="72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77">
        <f t="shared" si="41"/>
        <v>0</v>
      </c>
      <c r="I268" s="135">
        <f>'Прайс для расчета (М)'!E247</f>
        <v>286.125</v>
      </c>
      <c r="J268" s="36">
        <f t="shared" si="42"/>
        <v>0</v>
      </c>
    </row>
    <row r="269" spans="2:10" ht="15.6" x14ac:dyDescent="0.3">
      <c r="B269" s="72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77">
        <f t="shared" si="41"/>
        <v>0</v>
      </c>
      <c r="I269" s="135">
        <f>'Прайс для расчета (М)'!E248</f>
        <v>511.875</v>
      </c>
      <c r="J269" s="36">
        <f t="shared" si="42"/>
        <v>0</v>
      </c>
    </row>
    <row r="270" spans="2:10" ht="15.6" x14ac:dyDescent="0.3">
      <c r="B270" s="72"/>
      <c r="C270" s="69" t="s">
        <v>414</v>
      </c>
      <c r="D270" s="61" t="s">
        <v>2</v>
      </c>
      <c r="E270" s="62">
        <f t="shared" ref="E270:E280" si="45">$A$4</f>
        <v>0</v>
      </c>
      <c r="F270" s="63">
        <f>'Прайс для расчета'!E249</f>
        <v>715.68</v>
      </c>
      <c r="G270" s="77">
        <f t="shared" si="41"/>
        <v>0</v>
      </c>
      <c r="I270" s="135">
        <f>'Прайс для расчета (М)'!E249</f>
        <v>357.84</v>
      </c>
      <c r="J270" s="36">
        <f t="shared" si="42"/>
        <v>0</v>
      </c>
    </row>
    <row r="271" spans="2:10" ht="15.6" x14ac:dyDescent="0.3">
      <c r="B271" s="72"/>
      <c r="C271" s="69" t="s">
        <v>145</v>
      </c>
      <c r="D271" s="61" t="s">
        <v>2</v>
      </c>
      <c r="E271" s="62">
        <f t="shared" si="45"/>
        <v>0</v>
      </c>
      <c r="F271" s="63">
        <f>'Прайс для расчета'!E250</f>
        <v>819</v>
      </c>
      <c r="G271" s="77">
        <f t="shared" si="41"/>
        <v>0</v>
      </c>
      <c r="I271" s="135">
        <f>'Прайс для расчета (М)'!E250</f>
        <v>409.5</v>
      </c>
      <c r="J271" s="36">
        <f t="shared" si="42"/>
        <v>0</v>
      </c>
    </row>
    <row r="272" spans="2:10" ht="15.6" x14ac:dyDescent="0.3">
      <c r="B272" s="72"/>
      <c r="C272" s="69" t="s">
        <v>1072</v>
      </c>
      <c r="D272" s="61" t="s">
        <v>2</v>
      </c>
      <c r="E272" s="62">
        <f t="shared" si="45"/>
        <v>0</v>
      </c>
      <c r="F272" s="63">
        <f>'Прайс для расчета'!E251</f>
        <v>876.75</v>
      </c>
      <c r="G272" s="77">
        <f t="shared" si="41"/>
        <v>0</v>
      </c>
      <c r="I272" s="135">
        <f>'Прайс для расчета (М)'!E251</f>
        <v>438.375</v>
      </c>
      <c r="J272" s="36">
        <f t="shared" si="42"/>
        <v>0</v>
      </c>
    </row>
    <row r="273" spans="2:10" ht="15.6" x14ac:dyDescent="0.3">
      <c r="B273" s="72"/>
      <c r="C273" s="69" t="s">
        <v>1073</v>
      </c>
      <c r="D273" s="61" t="s">
        <v>2</v>
      </c>
      <c r="E273" s="62">
        <f t="shared" si="45"/>
        <v>0</v>
      </c>
      <c r="F273" s="63">
        <f>'Прайс для расчета'!E252</f>
        <v>1097.25</v>
      </c>
      <c r="G273" s="77">
        <f t="shared" si="41"/>
        <v>0</v>
      </c>
      <c r="I273" s="135">
        <f>'Прайс для расчета (М)'!E252</f>
        <v>548.625</v>
      </c>
      <c r="J273" s="36">
        <f t="shared" si="42"/>
        <v>0</v>
      </c>
    </row>
    <row r="274" spans="2:10" ht="15.6" x14ac:dyDescent="0.3">
      <c r="B274" s="72"/>
      <c r="C274" s="69" t="s">
        <v>893</v>
      </c>
      <c r="D274" s="61" t="s">
        <v>2</v>
      </c>
      <c r="E274" s="62">
        <f t="shared" si="45"/>
        <v>0</v>
      </c>
      <c r="F274" s="63">
        <f>'Прайс для расчета'!E253</f>
        <v>299.25</v>
      </c>
      <c r="G274" s="77">
        <f t="shared" si="41"/>
        <v>0</v>
      </c>
      <c r="I274" s="135">
        <f>'Прайс для расчета (М)'!E253</f>
        <v>149.625</v>
      </c>
      <c r="J274" s="36">
        <f t="shared" si="42"/>
        <v>0</v>
      </c>
    </row>
    <row r="275" spans="2:10" ht="15.6" x14ac:dyDescent="0.3">
      <c r="B275" s="72"/>
      <c r="C275" s="69" t="s">
        <v>415</v>
      </c>
      <c r="D275" s="61" t="s">
        <v>2</v>
      </c>
      <c r="E275" s="62">
        <f t="shared" si="45"/>
        <v>0</v>
      </c>
      <c r="F275" s="63">
        <f>'Прайс для расчета'!E254</f>
        <v>1044.75</v>
      </c>
      <c r="G275" s="77">
        <f t="shared" si="41"/>
        <v>0</v>
      </c>
      <c r="I275" s="135">
        <f>'Прайс для расчета (М)'!E254</f>
        <v>522.375</v>
      </c>
      <c r="J275" s="36">
        <f t="shared" si="42"/>
        <v>0</v>
      </c>
    </row>
    <row r="276" spans="2:10" ht="15.6" x14ac:dyDescent="0.3">
      <c r="B276" s="72"/>
      <c r="C276" s="69" t="s">
        <v>519</v>
      </c>
      <c r="D276" s="61" t="s">
        <v>2</v>
      </c>
      <c r="E276" s="62">
        <f t="shared" si="45"/>
        <v>0</v>
      </c>
      <c r="F276" s="63">
        <f>'Прайс для расчета'!E255</f>
        <v>1401.75</v>
      </c>
      <c r="G276" s="77">
        <f t="shared" si="41"/>
        <v>0</v>
      </c>
      <c r="I276" s="135">
        <f>'Прайс для расчета (М)'!E255</f>
        <v>700.875</v>
      </c>
      <c r="J276" s="36">
        <f t="shared" si="42"/>
        <v>0</v>
      </c>
    </row>
    <row r="277" spans="2:10" ht="15.6" x14ac:dyDescent="0.3">
      <c r="B277" s="72"/>
      <c r="C277" s="69" t="s">
        <v>891</v>
      </c>
      <c r="D277" s="61" t="s">
        <v>2</v>
      </c>
      <c r="E277" s="62">
        <f t="shared" si="45"/>
        <v>0</v>
      </c>
      <c r="F277" s="63">
        <f>'Прайс для расчета'!E256</f>
        <v>2982</v>
      </c>
      <c r="G277" s="77">
        <f t="shared" si="41"/>
        <v>0</v>
      </c>
      <c r="I277" s="135">
        <f>'Прайс для расчета (М)'!E256</f>
        <v>1491</v>
      </c>
      <c r="J277" s="36">
        <f t="shared" si="42"/>
        <v>0</v>
      </c>
    </row>
    <row r="278" spans="2:10" ht="15.6" x14ac:dyDescent="0.3">
      <c r="B278" s="72"/>
      <c r="C278" s="69" t="s">
        <v>416</v>
      </c>
      <c r="D278" s="61" t="s">
        <v>2</v>
      </c>
      <c r="E278" s="62">
        <f t="shared" si="45"/>
        <v>0</v>
      </c>
      <c r="F278" s="63">
        <f>'Прайс для расчета'!E257</f>
        <v>1155</v>
      </c>
      <c r="G278" s="77">
        <f t="shared" si="41"/>
        <v>0</v>
      </c>
      <c r="I278" s="135">
        <f>'Прайс для расчета (М)'!E257</f>
        <v>577.5</v>
      </c>
      <c r="J278" s="36">
        <f t="shared" si="42"/>
        <v>0</v>
      </c>
    </row>
    <row r="279" spans="2:10" ht="15.6" x14ac:dyDescent="0.3">
      <c r="B279" s="72"/>
      <c r="C279" s="69" t="s">
        <v>149</v>
      </c>
      <c r="D279" s="61" t="s">
        <v>2</v>
      </c>
      <c r="E279" s="62">
        <f t="shared" si="45"/>
        <v>0</v>
      </c>
      <c r="F279" s="63">
        <f>'Прайс для расчета'!E258</f>
        <v>441</v>
      </c>
      <c r="G279" s="77">
        <f t="shared" si="41"/>
        <v>0</v>
      </c>
      <c r="I279" s="135">
        <f>'Прайс для расчета (М)'!E258</f>
        <v>220.5</v>
      </c>
      <c r="J279" s="36">
        <f t="shared" si="42"/>
        <v>0</v>
      </c>
    </row>
    <row r="280" spans="2:10" ht="15.6" x14ac:dyDescent="0.3">
      <c r="B280" s="72"/>
      <c r="C280" s="69" t="s">
        <v>150</v>
      </c>
      <c r="D280" s="61" t="s">
        <v>2</v>
      </c>
      <c r="E280" s="62">
        <f t="shared" si="45"/>
        <v>0</v>
      </c>
      <c r="F280" s="63">
        <f>'Прайс для расчета'!E259</f>
        <v>514.5</v>
      </c>
      <c r="G280" s="77">
        <f t="shared" si="41"/>
        <v>0</v>
      </c>
      <c r="I280" s="135">
        <f>'Прайс для расчета (М)'!E259</f>
        <v>257.25</v>
      </c>
      <c r="J280" s="36">
        <f t="shared" si="42"/>
        <v>0</v>
      </c>
    </row>
    <row r="281" spans="2:10" ht="15.6" x14ac:dyDescent="0.3">
      <c r="B281" s="72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77">
        <f t="shared" si="41"/>
        <v>0</v>
      </c>
      <c r="I281" s="135">
        <f>'Прайс для расчета (М)'!E260</f>
        <v>112.35000000000001</v>
      </c>
      <c r="J281" s="36">
        <f t="shared" si="42"/>
        <v>0</v>
      </c>
    </row>
    <row r="282" spans="2:10" ht="15.6" x14ac:dyDescent="0.3">
      <c r="B282" s="72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77">
        <f t="shared" si="41"/>
        <v>0</v>
      </c>
      <c r="I282" s="135">
        <f>'Прайс для расчета (М)'!E261</f>
        <v>325.5</v>
      </c>
      <c r="J282" s="36">
        <f t="shared" si="42"/>
        <v>0</v>
      </c>
    </row>
    <row r="283" spans="2:10" ht="15.6" x14ac:dyDescent="0.3">
      <c r="B283" s="72"/>
      <c r="C283" s="69" t="s">
        <v>890</v>
      </c>
      <c r="D283" s="61" t="s">
        <v>3</v>
      </c>
      <c r="E283" s="62">
        <f t="shared" ref="E283:E285" si="46">$A$2</f>
        <v>0</v>
      </c>
      <c r="F283" s="63">
        <f>'Прайс для расчета'!E262</f>
        <v>834.75</v>
      </c>
      <c r="G283" s="77">
        <f t="shared" si="41"/>
        <v>0</v>
      </c>
      <c r="I283" s="135">
        <f>'Прайс для расчета (М)'!E262</f>
        <v>417.375</v>
      </c>
      <c r="J283" s="36">
        <f t="shared" si="42"/>
        <v>0</v>
      </c>
    </row>
    <row r="284" spans="2:10" ht="15.6" x14ac:dyDescent="0.3">
      <c r="B284" s="72"/>
      <c r="C284" s="69" t="s">
        <v>418</v>
      </c>
      <c r="D284" s="61" t="s">
        <v>0</v>
      </c>
      <c r="E284" s="62">
        <f t="shared" si="46"/>
        <v>0</v>
      </c>
      <c r="F284" s="63">
        <f>'Прайс для расчета'!E263</f>
        <v>787.5</v>
      </c>
      <c r="G284" s="77">
        <f t="shared" si="41"/>
        <v>0</v>
      </c>
      <c r="I284" s="135">
        <f>'Прайс для расчета (М)'!E263</f>
        <v>393.75</v>
      </c>
      <c r="J284" s="36">
        <f t="shared" si="42"/>
        <v>0</v>
      </c>
    </row>
    <row r="285" spans="2:10" ht="15.6" x14ac:dyDescent="0.3">
      <c r="B285" s="72"/>
      <c r="C285" s="69" t="s">
        <v>137</v>
      </c>
      <c r="D285" s="61" t="s">
        <v>0</v>
      </c>
      <c r="E285" s="62">
        <f t="shared" si="46"/>
        <v>0</v>
      </c>
      <c r="F285" s="63">
        <f>'Прайс для расчета'!E264</f>
        <v>2551.5</v>
      </c>
      <c r="G285" s="77">
        <f t="shared" si="41"/>
        <v>0</v>
      </c>
      <c r="I285" s="135">
        <f>'Прайс для расчета (М)'!E264</f>
        <v>1275.75</v>
      </c>
      <c r="J285" s="36">
        <f t="shared" si="42"/>
        <v>0</v>
      </c>
    </row>
    <row r="286" spans="2:10" ht="15.6" x14ac:dyDescent="0.3">
      <c r="B286" s="72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77">
        <f t="shared" si="41"/>
        <v>0</v>
      </c>
      <c r="I286" s="135">
        <f>'Прайс для расчета (М)'!E265</f>
        <v>76.125</v>
      </c>
      <c r="J286" s="36">
        <f t="shared" si="42"/>
        <v>0</v>
      </c>
    </row>
    <row r="287" spans="2:10" ht="15.6" x14ac:dyDescent="0.25">
      <c r="B287" s="59">
        <f>IF(SUM(B288:B330)&gt;0,1,0)</f>
        <v>0</v>
      </c>
      <c r="C287" s="60" t="s">
        <v>878</v>
      </c>
      <c r="D287" s="61"/>
      <c r="E287" s="62"/>
      <c r="F287" s="63"/>
      <c r="G287" s="64"/>
    </row>
    <row r="288" spans="2:10" ht="15.6" x14ac:dyDescent="0.3">
      <c r="B288" s="72"/>
      <c r="C288" s="69" t="s">
        <v>1055</v>
      </c>
      <c r="D288" s="61" t="s">
        <v>2</v>
      </c>
      <c r="E288" s="62" t="e">
        <f t="shared" ref="E288:E297" si="47">$A$6</f>
        <v>#REF!</v>
      </c>
      <c r="F288" s="63">
        <f>'Прайс для расчета'!E266</f>
        <v>2623.9500000000003</v>
      </c>
      <c r="G288" s="77" t="e">
        <f t="shared" ref="G288:G330" si="48">F288*E288</f>
        <v>#REF!</v>
      </c>
      <c r="I288" s="135">
        <f>'Прайс для расчета (М)'!E266</f>
        <v>1311.9750000000001</v>
      </c>
      <c r="J288" s="36" t="e">
        <f t="shared" ref="J288:J330" si="49">I288*E288</f>
        <v>#REF!</v>
      </c>
    </row>
    <row r="289" spans="2:10" ht="15.6" x14ac:dyDescent="0.3">
      <c r="B289" s="72"/>
      <c r="C289" s="78" t="s">
        <v>988</v>
      </c>
      <c r="D289" s="61" t="s">
        <v>2</v>
      </c>
      <c r="E289" s="62" t="e">
        <f t="shared" si="47"/>
        <v>#REF!</v>
      </c>
      <c r="F289" s="63">
        <f>'Прайс для расчета'!E267</f>
        <v>3043.9500000000003</v>
      </c>
      <c r="G289" s="77" t="e">
        <f t="shared" si="48"/>
        <v>#REF!</v>
      </c>
      <c r="I289" s="135">
        <f>'Прайс для расчета (М)'!E267</f>
        <v>1521.9750000000001</v>
      </c>
      <c r="J289" s="36" t="e">
        <f t="shared" si="49"/>
        <v>#REF!</v>
      </c>
    </row>
    <row r="290" spans="2:10" ht="15.6" x14ac:dyDescent="0.3">
      <c r="B290" s="72"/>
      <c r="C290" s="69" t="s">
        <v>941</v>
      </c>
      <c r="D290" s="61" t="s">
        <v>2</v>
      </c>
      <c r="E290" s="62" t="e">
        <f t="shared" si="47"/>
        <v>#REF!</v>
      </c>
      <c r="F290" s="63">
        <f>'Прайс для расчета'!E268</f>
        <v>3202.5</v>
      </c>
      <c r="G290" s="77" t="e">
        <f t="shared" si="48"/>
        <v>#REF!</v>
      </c>
      <c r="I290" s="135">
        <f>'Прайс для расчета (М)'!E268</f>
        <v>1601.25</v>
      </c>
      <c r="J290" s="36" t="e">
        <f t="shared" si="49"/>
        <v>#REF!</v>
      </c>
    </row>
    <row r="291" spans="2:10" ht="15.6" x14ac:dyDescent="0.3">
      <c r="B291" s="72"/>
      <c r="C291" s="78" t="s">
        <v>989</v>
      </c>
      <c r="D291" s="61" t="s">
        <v>2</v>
      </c>
      <c r="E291" s="62" t="e">
        <f t="shared" si="47"/>
        <v>#REF!</v>
      </c>
      <c r="F291" s="63">
        <f>'Прайс для расчета'!E269</f>
        <v>3927</v>
      </c>
      <c r="G291" s="77" t="e">
        <f t="shared" si="48"/>
        <v>#REF!</v>
      </c>
      <c r="I291" s="135">
        <f>'Прайс для расчета (М)'!E269</f>
        <v>1963.5</v>
      </c>
      <c r="J291" s="36" t="e">
        <f t="shared" si="49"/>
        <v>#REF!</v>
      </c>
    </row>
    <row r="292" spans="2:10" ht="15.6" x14ac:dyDescent="0.3">
      <c r="B292" s="72"/>
      <c r="C292" s="78" t="s">
        <v>936</v>
      </c>
      <c r="D292" s="61" t="s">
        <v>2</v>
      </c>
      <c r="E292" s="62" t="e">
        <f t="shared" si="47"/>
        <v>#REF!</v>
      </c>
      <c r="F292" s="63">
        <f>'Прайс для расчета'!E270</f>
        <v>6762</v>
      </c>
      <c r="G292" s="77" t="e">
        <f t="shared" si="48"/>
        <v>#REF!</v>
      </c>
      <c r="I292" s="135">
        <f>'Прайс для расчета (М)'!E270</f>
        <v>3381</v>
      </c>
      <c r="J292" s="36" t="e">
        <f t="shared" si="49"/>
        <v>#REF!</v>
      </c>
    </row>
    <row r="293" spans="2:10" ht="15.6" x14ac:dyDescent="0.3">
      <c r="B293" s="72"/>
      <c r="C293" s="69" t="s">
        <v>419</v>
      </c>
      <c r="D293" s="61" t="s">
        <v>2</v>
      </c>
      <c r="E293" s="62" t="e">
        <f t="shared" si="47"/>
        <v>#REF!</v>
      </c>
      <c r="F293" s="63">
        <f>'Прайс для расчета'!E271</f>
        <v>2823.4500000000003</v>
      </c>
      <c r="G293" s="77" t="e">
        <f t="shared" si="48"/>
        <v>#REF!</v>
      </c>
      <c r="I293" s="135">
        <f>'Прайс для расчета (М)'!E271</f>
        <v>1411.7250000000001</v>
      </c>
      <c r="J293" s="36" t="e">
        <f t="shared" si="49"/>
        <v>#REF!</v>
      </c>
    </row>
    <row r="294" spans="2:10" ht="15.6" x14ac:dyDescent="0.3">
      <c r="B294" s="72"/>
      <c r="C294" s="69" t="s">
        <v>1059</v>
      </c>
      <c r="D294" s="61" t="s">
        <v>2</v>
      </c>
      <c r="E294" s="62" t="e">
        <f t="shared" si="47"/>
        <v>#REF!</v>
      </c>
      <c r="F294" s="63">
        <f>'Прайс для расчета'!E272</f>
        <v>1365</v>
      </c>
      <c r="G294" s="77" t="e">
        <f t="shared" si="48"/>
        <v>#REF!</v>
      </c>
      <c r="I294" s="135">
        <f>'Прайс для расчета (М)'!E272</f>
        <v>682.5</v>
      </c>
      <c r="J294" s="36" t="e">
        <f t="shared" si="49"/>
        <v>#REF!</v>
      </c>
    </row>
    <row r="295" spans="2:10" ht="15.6" x14ac:dyDescent="0.3">
      <c r="B295" s="72"/>
      <c r="C295" s="69" t="s">
        <v>1060</v>
      </c>
      <c r="D295" s="61" t="s">
        <v>2</v>
      </c>
      <c r="E295" s="62" t="e">
        <f t="shared" si="47"/>
        <v>#REF!</v>
      </c>
      <c r="F295" s="63">
        <f>'Прайс для расчета'!E273</f>
        <v>0</v>
      </c>
      <c r="G295" s="77" t="e">
        <f t="shared" si="48"/>
        <v>#REF!</v>
      </c>
      <c r="I295" s="135">
        <f>'Прайс для расчета (М)'!E273</f>
        <v>0</v>
      </c>
      <c r="J295" s="36" t="e">
        <f t="shared" si="49"/>
        <v>#REF!</v>
      </c>
    </row>
    <row r="296" spans="2:10" ht="15.6" x14ac:dyDescent="0.3">
      <c r="B296" s="72"/>
      <c r="C296" s="69" t="s">
        <v>944</v>
      </c>
      <c r="D296" s="61" t="s">
        <v>2</v>
      </c>
      <c r="E296" s="62" t="e">
        <f t="shared" si="47"/>
        <v>#REF!</v>
      </c>
      <c r="F296" s="63">
        <f>'Прайс для расчета'!E274</f>
        <v>3517.5</v>
      </c>
      <c r="G296" s="77" t="e">
        <f t="shared" si="48"/>
        <v>#REF!</v>
      </c>
      <c r="I296" s="135">
        <f>'Прайс для расчета (М)'!E274</f>
        <v>1758.75</v>
      </c>
      <c r="J296" s="36" t="e">
        <f t="shared" si="49"/>
        <v>#REF!</v>
      </c>
    </row>
    <row r="297" spans="2:10" ht="15.6" x14ac:dyDescent="0.3">
      <c r="B297" s="72"/>
      <c r="C297" s="69" t="s">
        <v>1063</v>
      </c>
      <c r="D297" s="61" t="s">
        <v>2</v>
      </c>
      <c r="E297" s="62" t="e">
        <f t="shared" si="47"/>
        <v>#REF!</v>
      </c>
      <c r="F297" s="63">
        <f>'Прайс для расчета'!E275</f>
        <v>1023.75</v>
      </c>
      <c r="G297" s="77" t="e">
        <f t="shared" si="48"/>
        <v>#REF!</v>
      </c>
      <c r="I297" s="135">
        <f>'Прайс для расчета (М)'!E275</f>
        <v>511.875</v>
      </c>
      <c r="J297" s="36" t="e">
        <f t="shared" si="49"/>
        <v>#REF!</v>
      </c>
    </row>
    <row r="298" spans="2:10" ht="15.6" x14ac:dyDescent="0.3">
      <c r="B298" s="72"/>
      <c r="C298" s="69" t="s">
        <v>1068</v>
      </c>
      <c r="D298" s="61" t="s">
        <v>3</v>
      </c>
      <c r="E298" s="62" t="e">
        <f>ROUND(E292/2,0)</f>
        <v>#REF!</v>
      </c>
      <c r="F298" s="63">
        <f>'Прайс для расчета'!E276</f>
        <v>4384.8</v>
      </c>
      <c r="G298" s="77" t="e">
        <f t="shared" si="48"/>
        <v>#REF!</v>
      </c>
      <c r="I298" s="135">
        <f>'Прайс для расчета (М)'!E276</f>
        <v>2192.4</v>
      </c>
      <c r="J298" s="36" t="e">
        <f t="shared" si="49"/>
        <v>#REF!</v>
      </c>
    </row>
    <row r="299" spans="2:10" ht="15.6" x14ac:dyDescent="0.3">
      <c r="B299" s="72"/>
      <c r="C299" s="69" t="s">
        <v>1069</v>
      </c>
      <c r="D299" s="61" t="s">
        <v>2</v>
      </c>
      <c r="E299" s="62" t="e">
        <f>$A$6</f>
        <v>#REF!</v>
      </c>
      <c r="F299" s="63">
        <f>'Прайс для расчета'!E277</f>
        <v>4042.5</v>
      </c>
      <c r="G299" s="77" t="e">
        <f t="shared" si="48"/>
        <v>#REF!</v>
      </c>
      <c r="I299" s="135">
        <f>'Прайс для расчета (М)'!E277</f>
        <v>2021.25</v>
      </c>
      <c r="J299" s="36" t="e">
        <f t="shared" si="49"/>
        <v>#REF!</v>
      </c>
    </row>
    <row r="300" spans="2:10" ht="15.6" x14ac:dyDescent="0.3">
      <c r="B300" s="72"/>
      <c r="C300" s="69" t="s">
        <v>1071</v>
      </c>
      <c r="D300" s="61" t="s">
        <v>2</v>
      </c>
      <c r="E300" s="62" t="e">
        <f>$A$6</f>
        <v>#REF!</v>
      </c>
      <c r="F300" s="63">
        <f>'Прайс для расчета'!E278</f>
        <v>5512.5</v>
      </c>
      <c r="G300" s="77" t="e">
        <f t="shared" si="48"/>
        <v>#REF!</v>
      </c>
      <c r="I300" s="135">
        <f>'Прайс для расчета (М)'!E278</f>
        <v>2756.25</v>
      </c>
      <c r="J300" s="36" t="e">
        <f t="shared" si="49"/>
        <v>#REF!</v>
      </c>
    </row>
    <row r="301" spans="2:10" ht="15.6" x14ac:dyDescent="0.3">
      <c r="B301" s="72"/>
      <c r="C301" s="69" t="s">
        <v>231</v>
      </c>
      <c r="D301" s="61" t="s">
        <v>2</v>
      </c>
      <c r="E301" s="62" t="e">
        <f>$A$6</f>
        <v>#REF!</v>
      </c>
      <c r="F301" s="63">
        <f>'Прайс для расчета'!E279</f>
        <v>414.75</v>
      </c>
      <c r="G301" s="77" t="e">
        <f t="shared" si="48"/>
        <v>#REF!</v>
      </c>
      <c r="I301" s="135">
        <f>'Прайс для расчета (М)'!E279</f>
        <v>207.375</v>
      </c>
      <c r="J301" s="36" t="e">
        <f t="shared" si="49"/>
        <v>#REF!</v>
      </c>
    </row>
    <row r="302" spans="2:10" ht="15.6" x14ac:dyDescent="0.3">
      <c r="B302" s="72"/>
      <c r="C302" s="69" t="s">
        <v>937</v>
      </c>
      <c r="D302" s="61" t="s">
        <v>2</v>
      </c>
      <c r="E302" s="62" t="e">
        <f>$A$6</f>
        <v>#REF!</v>
      </c>
      <c r="F302" s="63">
        <f>'Прайс для расчета'!E280</f>
        <v>1349.25</v>
      </c>
      <c r="G302" s="77" t="e">
        <f t="shared" si="48"/>
        <v>#REF!</v>
      </c>
      <c r="I302" s="135">
        <f>'Прайс для расчета (М)'!E280</f>
        <v>674.625</v>
      </c>
      <c r="J302" s="36" t="e">
        <f t="shared" si="49"/>
        <v>#REF!</v>
      </c>
    </row>
    <row r="303" spans="2:10" ht="15.6" x14ac:dyDescent="0.3">
      <c r="B303" s="72"/>
      <c r="C303" s="69" t="s">
        <v>938</v>
      </c>
      <c r="D303" s="61" t="s">
        <v>2</v>
      </c>
      <c r="E303" s="62" t="e">
        <f>$A$6</f>
        <v>#REF!</v>
      </c>
      <c r="F303" s="63">
        <f>'Прайс для расчета'!E281</f>
        <v>1044.75</v>
      </c>
      <c r="G303" s="77" t="e">
        <f t="shared" si="48"/>
        <v>#REF!</v>
      </c>
      <c r="I303" s="135">
        <f>'Прайс для расчета (М)'!E281</f>
        <v>522.375</v>
      </c>
      <c r="J303" s="36" t="e">
        <f t="shared" si="49"/>
        <v>#REF!</v>
      </c>
    </row>
    <row r="304" spans="2:10" ht="15.6" x14ac:dyDescent="0.3">
      <c r="B304" s="72"/>
      <c r="C304" s="69" t="s">
        <v>1057</v>
      </c>
      <c r="D304" s="61" t="s">
        <v>3</v>
      </c>
      <c r="E304" s="62" t="e">
        <f>ROUND(E289/2,0)</f>
        <v>#REF!</v>
      </c>
      <c r="F304" s="63">
        <f>'Прайс для расчета'!E282</f>
        <v>509.25</v>
      </c>
      <c r="G304" s="77" t="e">
        <f t="shared" si="48"/>
        <v>#REF!</v>
      </c>
      <c r="I304" s="135">
        <f>'Прайс для расчета (М)'!E282</f>
        <v>254.625</v>
      </c>
      <c r="J304" s="36" t="e">
        <f t="shared" si="49"/>
        <v>#REF!</v>
      </c>
    </row>
    <row r="305" spans="2:10" ht="15.6" x14ac:dyDescent="0.3">
      <c r="B305" s="72"/>
      <c r="C305" s="69" t="s">
        <v>677</v>
      </c>
      <c r="D305" s="61" t="s">
        <v>3</v>
      </c>
      <c r="E305" s="62" t="e">
        <f>ROUND(E299/2,0)</f>
        <v>#REF!</v>
      </c>
      <c r="F305" s="63">
        <f>'Прайс для расчета'!E283</f>
        <v>572.25</v>
      </c>
      <c r="G305" s="77" t="e">
        <f t="shared" si="48"/>
        <v>#REF!</v>
      </c>
      <c r="I305" s="135">
        <f>'Прайс для расчета (М)'!E283</f>
        <v>286.125</v>
      </c>
      <c r="J305" s="36" t="e">
        <f t="shared" si="49"/>
        <v>#REF!</v>
      </c>
    </row>
    <row r="306" spans="2:10" ht="15.6" x14ac:dyDescent="0.3">
      <c r="B306" s="72"/>
      <c r="C306" s="69" t="s">
        <v>160</v>
      </c>
      <c r="D306" s="61" t="s">
        <v>2</v>
      </c>
      <c r="E306" s="62" t="e">
        <f>$A$6</f>
        <v>#REF!</v>
      </c>
      <c r="F306" s="63">
        <f>'Прайс для расчета'!E284</f>
        <v>3138.4500000000003</v>
      </c>
      <c r="G306" s="77" t="e">
        <f t="shared" si="48"/>
        <v>#REF!</v>
      </c>
      <c r="I306" s="135">
        <f>'Прайс для расчета (М)'!E284</f>
        <v>1569.2250000000001</v>
      </c>
      <c r="J306" s="36" t="e">
        <f t="shared" si="49"/>
        <v>#REF!</v>
      </c>
    </row>
    <row r="307" spans="2:10" ht="15.6" x14ac:dyDescent="0.3">
      <c r="B307" s="72"/>
      <c r="C307" s="69" t="s">
        <v>232</v>
      </c>
      <c r="D307" s="61" t="s">
        <v>3</v>
      </c>
      <c r="E307" s="62">
        <v>1</v>
      </c>
      <c r="F307" s="63">
        <f>'Прайс для расчета'!E285</f>
        <v>1464.75</v>
      </c>
      <c r="G307" s="77">
        <f t="shared" si="48"/>
        <v>1464.75</v>
      </c>
      <c r="I307" s="135">
        <f>'Прайс для расчета (М)'!E285</f>
        <v>732.375</v>
      </c>
      <c r="J307" s="36">
        <f t="shared" si="49"/>
        <v>732.375</v>
      </c>
    </row>
    <row r="308" spans="2:10" ht="15.6" x14ac:dyDescent="0.3">
      <c r="B308" s="72"/>
      <c r="C308" s="69" t="s">
        <v>523</v>
      </c>
      <c r="D308" s="61" t="s">
        <v>3</v>
      </c>
      <c r="E308" s="62">
        <v>1</v>
      </c>
      <c r="F308" s="63">
        <f>'Прайс для расчета'!E286</f>
        <v>367.5</v>
      </c>
      <c r="G308" s="77">
        <f t="shared" si="48"/>
        <v>367.5</v>
      </c>
      <c r="I308" s="135">
        <f>'Прайс для расчета (М)'!E286</f>
        <v>183.75</v>
      </c>
      <c r="J308" s="36">
        <f t="shared" si="49"/>
        <v>183.75</v>
      </c>
    </row>
    <row r="309" spans="2:10" ht="15.6" x14ac:dyDescent="0.3">
      <c r="B309" s="72"/>
      <c r="C309" s="69" t="s">
        <v>270</v>
      </c>
      <c r="D309" s="61" t="s">
        <v>2</v>
      </c>
      <c r="E309" s="62" t="e">
        <f t="shared" ref="E309:E321" si="50">$A$6</f>
        <v>#REF!</v>
      </c>
      <c r="F309" s="63">
        <f>'Прайс для расчета'!E287</f>
        <v>2220.75</v>
      </c>
      <c r="G309" s="77" t="e">
        <f t="shared" si="48"/>
        <v>#REF!</v>
      </c>
      <c r="I309" s="135">
        <f>'Прайс для расчета (М)'!E287</f>
        <v>1110.375</v>
      </c>
      <c r="J309" s="36" t="e">
        <f t="shared" si="49"/>
        <v>#REF!</v>
      </c>
    </row>
    <row r="310" spans="2:10" ht="15.6" x14ac:dyDescent="0.3">
      <c r="B310" s="72"/>
      <c r="C310" s="69" t="s">
        <v>524</v>
      </c>
      <c r="D310" s="61" t="s">
        <v>2</v>
      </c>
      <c r="E310" s="62" t="e">
        <f t="shared" si="50"/>
        <v>#REF!</v>
      </c>
      <c r="F310" s="63">
        <f>'Прайс для расчета'!E288</f>
        <v>2577.75</v>
      </c>
      <c r="G310" s="77" t="e">
        <f t="shared" si="48"/>
        <v>#REF!</v>
      </c>
      <c r="I310" s="135">
        <f>'Прайс для расчета (М)'!E288</f>
        <v>1288.875</v>
      </c>
      <c r="J310" s="36" t="e">
        <f t="shared" si="49"/>
        <v>#REF!</v>
      </c>
    </row>
    <row r="311" spans="2:10" ht="15.6" x14ac:dyDescent="0.3">
      <c r="B311" s="72"/>
      <c r="C311" s="69" t="s">
        <v>525</v>
      </c>
      <c r="D311" s="61" t="s">
        <v>2</v>
      </c>
      <c r="E311" s="62" t="e">
        <f t="shared" si="50"/>
        <v>#REF!</v>
      </c>
      <c r="F311" s="63">
        <f>'Прайс для расчета'!E289</f>
        <v>1291.5</v>
      </c>
      <c r="G311" s="77" t="e">
        <f t="shared" si="48"/>
        <v>#REF!</v>
      </c>
      <c r="I311" s="135">
        <f>'Прайс для расчета (М)'!E289</f>
        <v>645.75</v>
      </c>
      <c r="J311" s="36" t="e">
        <f t="shared" si="49"/>
        <v>#REF!</v>
      </c>
    </row>
    <row r="312" spans="2:10" ht="15.6" x14ac:dyDescent="0.3">
      <c r="B312" s="72"/>
      <c r="C312" s="69" t="s">
        <v>526</v>
      </c>
      <c r="D312" s="61" t="s">
        <v>2</v>
      </c>
      <c r="E312" s="62" t="e">
        <f t="shared" si="50"/>
        <v>#REF!</v>
      </c>
      <c r="F312" s="63">
        <f>'Прайс для расчета'!E290</f>
        <v>1186.5</v>
      </c>
      <c r="G312" s="77" t="e">
        <f t="shared" si="48"/>
        <v>#REF!</v>
      </c>
      <c r="I312" s="135">
        <f>'Прайс для расчета (М)'!E290</f>
        <v>593.25</v>
      </c>
      <c r="J312" s="36" t="e">
        <f t="shared" si="49"/>
        <v>#REF!</v>
      </c>
    </row>
    <row r="313" spans="2:10" ht="15.6" x14ac:dyDescent="0.3">
      <c r="B313" s="72"/>
      <c r="C313" s="69" t="s">
        <v>271</v>
      </c>
      <c r="D313" s="61" t="s">
        <v>2</v>
      </c>
      <c r="E313" s="62" t="e">
        <f t="shared" si="50"/>
        <v>#REF!</v>
      </c>
      <c r="F313" s="63">
        <f>'Прайс для расчета'!E291</f>
        <v>761.25</v>
      </c>
      <c r="G313" s="77" t="e">
        <f t="shared" si="48"/>
        <v>#REF!</v>
      </c>
      <c r="I313" s="135">
        <f>'Прайс для расчета (М)'!E291</f>
        <v>380.625</v>
      </c>
      <c r="J313" s="36" t="e">
        <f t="shared" si="49"/>
        <v>#REF!</v>
      </c>
    </row>
    <row r="314" spans="2:10" ht="15.6" x14ac:dyDescent="0.3">
      <c r="B314" s="72"/>
      <c r="C314" s="69" t="s">
        <v>566</v>
      </c>
      <c r="D314" s="61" t="s">
        <v>2</v>
      </c>
      <c r="E314" s="62" t="e">
        <f t="shared" si="50"/>
        <v>#REF!</v>
      </c>
      <c r="F314" s="63">
        <f>'Прайс для расчета'!E294</f>
        <v>1732.5</v>
      </c>
      <c r="G314" s="77" t="e">
        <f t="shared" si="48"/>
        <v>#REF!</v>
      </c>
      <c r="I314" s="135">
        <f>'Прайс для расчета (М)'!E294</f>
        <v>866.25</v>
      </c>
      <c r="J314" s="36" t="e">
        <f t="shared" si="49"/>
        <v>#REF!</v>
      </c>
    </row>
    <row r="315" spans="2:10" ht="15.6" x14ac:dyDescent="0.3">
      <c r="B315" s="72"/>
      <c r="C315" s="69" t="s">
        <v>527</v>
      </c>
      <c r="D315" s="61" t="s">
        <v>2</v>
      </c>
      <c r="E315" s="62" t="e">
        <f t="shared" si="50"/>
        <v>#REF!</v>
      </c>
      <c r="F315" s="63">
        <f>'Прайс для расчета'!E295</f>
        <v>1942.5</v>
      </c>
      <c r="G315" s="77" t="e">
        <f t="shared" si="48"/>
        <v>#REF!</v>
      </c>
      <c r="I315" s="135">
        <f>'Прайс для расчета (М)'!E295</f>
        <v>971.25</v>
      </c>
      <c r="J315" s="36" t="e">
        <f t="shared" si="49"/>
        <v>#REF!</v>
      </c>
    </row>
    <row r="316" spans="2:10" ht="15.6" x14ac:dyDescent="0.3">
      <c r="B316" s="72"/>
      <c r="C316" s="69" t="s">
        <v>678</v>
      </c>
      <c r="D316" s="61" t="s">
        <v>2</v>
      </c>
      <c r="E316" s="62" t="e">
        <f t="shared" si="50"/>
        <v>#REF!</v>
      </c>
      <c r="F316" s="63">
        <f>'Прайс для расчета'!E296</f>
        <v>3097.5</v>
      </c>
      <c r="G316" s="77" t="e">
        <f t="shared" si="48"/>
        <v>#REF!</v>
      </c>
      <c r="I316" s="135">
        <f>'Прайс для расчета (М)'!E296</f>
        <v>1548.75</v>
      </c>
      <c r="J316" s="36" t="e">
        <f t="shared" si="49"/>
        <v>#REF!</v>
      </c>
    </row>
    <row r="317" spans="2:10" ht="15.6" x14ac:dyDescent="0.3">
      <c r="B317" s="72"/>
      <c r="C317" s="69" t="s">
        <v>680</v>
      </c>
      <c r="D317" s="61" t="s">
        <v>2</v>
      </c>
      <c r="E317" s="62" t="e">
        <f t="shared" si="50"/>
        <v>#REF!</v>
      </c>
      <c r="F317" s="63">
        <f>'Прайс для расчета'!E310</f>
        <v>5040</v>
      </c>
      <c r="G317" s="77" t="e">
        <f t="shared" si="48"/>
        <v>#REF!</v>
      </c>
      <c r="I317" s="135">
        <f>'Прайс для расчета (М)'!E310</f>
        <v>2520</v>
      </c>
      <c r="J317" s="36" t="e">
        <f t="shared" si="49"/>
        <v>#REF!</v>
      </c>
    </row>
    <row r="318" spans="2:10" ht="15.6" x14ac:dyDescent="0.3">
      <c r="B318" s="72"/>
      <c r="C318" s="69" t="s">
        <v>679</v>
      </c>
      <c r="D318" s="61" t="s">
        <v>2</v>
      </c>
      <c r="E318" s="62" t="e">
        <f t="shared" si="50"/>
        <v>#REF!</v>
      </c>
      <c r="F318" s="63">
        <f>'Прайс для расчета'!E297</f>
        <v>1044.75</v>
      </c>
      <c r="G318" s="77" t="e">
        <f t="shared" si="48"/>
        <v>#REF!</v>
      </c>
      <c r="I318" s="135">
        <f>'Прайс для расчета (М)'!E297</f>
        <v>522.375</v>
      </c>
      <c r="J318" s="36" t="e">
        <f t="shared" si="49"/>
        <v>#REF!</v>
      </c>
    </row>
    <row r="319" spans="2:10" ht="15.6" x14ac:dyDescent="0.3">
      <c r="B319" s="72"/>
      <c r="C319" s="69" t="s">
        <v>422</v>
      </c>
      <c r="D319" s="61" t="s">
        <v>2</v>
      </c>
      <c r="E319" s="62" t="e">
        <f t="shared" si="50"/>
        <v>#REF!</v>
      </c>
      <c r="F319" s="63">
        <f>'Прайс для расчета'!E298</f>
        <v>593.25</v>
      </c>
      <c r="G319" s="77" t="e">
        <f t="shared" si="48"/>
        <v>#REF!</v>
      </c>
      <c r="I319" s="135">
        <f>'Прайс для расчета (М)'!E298</f>
        <v>296.625</v>
      </c>
      <c r="J319" s="36" t="e">
        <f t="shared" si="49"/>
        <v>#REF!</v>
      </c>
    </row>
    <row r="320" spans="2:10" ht="15.6" x14ac:dyDescent="0.3">
      <c r="B320" s="72"/>
      <c r="C320" s="69" t="s">
        <v>947</v>
      </c>
      <c r="D320" s="61" t="s">
        <v>2</v>
      </c>
      <c r="E320" s="62" t="e">
        <f t="shared" si="50"/>
        <v>#REF!</v>
      </c>
      <c r="F320" s="63">
        <f>'Прайс для расчета'!E299</f>
        <v>635.25</v>
      </c>
      <c r="G320" s="77" t="e">
        <f t="shared" si="48"/>
        <v>#REF!</v>
      </c>
      <c r="I320" s="135">
        <f>'Прайс для расчета (М)'!E299</f>
        <v>317.625</v>
      </c>
      <c r="J320" s="36" t="e">
        <f t="shared" si="49"/>
        <v>#REF!</v>
      </c>
    </row>
    <row r="321" spans="2:10" ht="31.2" x14ac:dyDescent="0.3">
      <c r="B321" s="72"/>
      <c r="C321" s="69" t="s">
        <v>1074</v>
      </c>
      <c r="D321" s="61" t="s">
        <v>3</v>
      </c>
      <c r="E321" s="62" t="e">
        <f t="shared" si="50"/>
        <v>#REF!</v>
      </c>
      <c r="F321" s="63">
        <f>'Прайс для расчета'!E300</f>
        <v>1181.25</v>
      </c>
      <c r="G321" s="77" t="e">
        <f t="shared" si="48"/>
        <v>#REF!</v>
      </c>
      <c r="I321" s="135">
        <f>'Прайс для расчета (М)'!E300</f>
        <v>590.625</v>
      </c>
      <c r="J321" s="36" t="e">
        <f t="shared" si="49"/>
        <v>#REF!</v>
      </c>
    </row>
    <row r="322" spans="2:10" ht="15.6" x14ac:dyDescent="0.3">
      <c r="B322" s="72"/>
      <c r="C322" s="69" t="s">
        <v>423</v>
      </c>
      <c r="D322" s="61" t="s">
        <v>2</v>
      </c>
      <c r="E322" s="62" t="e">
        <f>$A$6</f>
        <v>#REF!</v>
      </c>
      <c r="F322" s="63">
        <f>'Прайс для расчета'!E301</f>
        <v>635.25</v>
      </c>
      <c r="G322" s="77" t="e">
        <f t="shared" si="48"/>
        <v>#REF!</v>
      </c>
      <c r="I322" s="135">
        <f>'Прайс для расчета (М)'!E301</f>
        <v>317.625</v>
      </c>
      <c r="J322" s="36" t="e">
        <f t="shared" si="49"/>
        <v>#REF!</v>
      </c>
    </row>
    <row r="323" spans="2:10" ht="15.6" x14ac:dyDescent="0.3">
      <c r="B323" s="72"/>
      <c r="C323" s="69" t="s">
        <v>424</v>
      </c>
      <c r="D323" s="61" t="s">
        <v>2</v>
      </c>
      <c r="E323" s="62" t="e">
        <f>$A$6</f>
        <v>#REF!</v>
      </c>
      <c r="F323" s="63">
        <f>'Прайс для расчета'!E302</f>
        <v>498.75</v>
      </c>
      <c r="G323" s="77" t="e">
        <f t="shared" si="48"/>
        <v>#REF!</v>
      </c>
      <c r="I323" s="135">
        <f>'Прайс для расчета (М)'!E302</f>
        <v>249.375</v>
      </c>
      <c r="J323" s="36" t="e">
        <f t="shared" si="49"/>
        <v>#REF!</v>
      </c>
    </row>
    <row r="324" spans="2:10" ht="15.6" x14ac:dyDescent="0.3">
      <c r="B324" s="72"/>
      <c r="C324" s="69" t="s">
        <v>425</v>
      </c>
      <c r="D324" s="61" t="s">
        <v>3</v>
      </c>
      <c r="E324" s="62">
        <v>1</v>
      </c>
      <c r="F324" s="63">
        <f>'Прайс для расчета'!E303</f>
        <v>183.75</v>
      </c>
      <c r="G324" s="77">
        <f t="shared" si="48"/>
        <v>183.75</v>
      </c>
      <c r="I324" s="135">
        <f>'Прайс для расчета (М)'!E303</f>
        <v>91.875</v>
      </c>
      <c r="J324" s="36">
        <f t="shared" si="49"/>
        <v>91.875</v>
      </c>
    </row>
    <row r="325" spans="2:10" ht="15.6" x14ac:dyDescent="0.3">
      <c r="B325" s="72"/>
      <c r="C325" s="69" t="s">
        <v>426</v>
      </c>
      <c r="D325" s="61" t="s">
        <v>2</v>
      </c>
      <c r="E325" s="62">
        <v>1</v>
      </c>
      <c r="F325" s="63">
        <f>'Прайс для расчета'!E304</f>
        <v>1181.25</v>
      </c>
      <c r="G325" s="77">
        <f t="shared" si="48"/>
        <v>1181.25</v>
      </c>
      <c r="I325" s="135">
        <f>'Прайс для расчета (М)'!E304</f>
        <v>590.625</v>
      </c>
      <c r="J325" s="36">
        <f t="shared" si="49"/>
        <v>590.625</v>
      </c>
    </row>
    <row r="326" spans="2:10" ht="15.6" x14ac:dyDescent="0.3">
      <c r="B326" s="72"/>
      <c r="C326" s="69" t="s">
        <v>427</v>
      </c>
      <c r="D326" s="61" t="s">
        <v>2</v>
      </c>
      <c r="E326" s="62" t="e">
        <f>$A$6</f>
        <v>#REF!</v>
      </c>
      <c r="F326" s="63">
        <f>'Прайс для расчета'!E305</f>
        <v>1055.25</v>
      </c>
      <c r="G326" s="77" t="e">
        <f t="shared" si="48"/>
        <v>#REF!</v>
      </c>
      <c r="I326" s="135">
        <f>'Прайс для расчета (М)'!E305</f>
        <v>527.625</v>
      </c>
      <c r="J326" s="36" t="e">
        <f t="shared" si="49"/>
        <v>#REF!</v>
      </c>
    </row>
    <row r="327" spans="2:10" ht="15.6" x14ac:dyDescent="0.3">
      <c r="B327" s="72"/>
      <c r="C327" s="69" t="s">
        <v>528</v>
      </c>
      <c r="D327" s="61" t="s">
        <v>2</v>
      </c>
      <c r="E327" s="62" t="e">
        <f t="shared" ref="E327:E330" si="51">$A$6</f>
        <v>#REF!</v>
      </c>
      <c r="F327" s="63">
        <f>'Прайс для расчета'!E306</f>
        <v>3990</v>
      </c>
      <c r="G327" s="77" t="e">
        <f t="shared" si="48"/>
        <v>#REF!</v>
      </c>
      <c r="I327" s="135">
        <f>'Прайс для расчета (М)'!E306</f>
        <v>1995</v>
      </c>
      <c r="J327" s="36" t="e">
        <f t="shared" si="49"/>
        <v>#REF!</v>
      </c>
    </row>
    <row r="328" spans="2:10" ht="15.6" x14ac:dyDescent="0.3">
      <c r="B328" s="72"/>
      <c r="C328" s="69" t="s">
        <v>429</v>
      </c>
      <c r="D328" s="61" t="s">
        <v>2</v>
      </c>
      <c r="E328" s="62" t="e">
        <f t="shared" si="51"/>
        <v>#REF!</v>
      </c>
      <c r="F328" s="63">
        <f>'Прайс для расчета'!E307</f>
        <v>472.5</v>
      </c>
      <c r="G328" s="77" t="e">
        <f t="shared" si="48"/>
        <v>#REF!</v>
      </c>
      <c r="I328" s="135">
        <f>'Прайс для расчета (М)'!E307</f>
        <v>236.25</v>
      </c>
      <c r="J328" s="36" t="e">
        <f t="shared" si="49"/>
        <v>#REF!</v>
      </c>
    </row>
    <row r="329" spans="2:10" ht="15.6" x14ac:dyDescent="0.3">
      <c r="B329" s="72"/>
      <c r="C329" s="69" t="s">
        <v>529</v>
      </c>
      <c r="D329" s="61" t="s">
        <v>2</v>
      </c>
      <c r="E329" s="62" t="e">
        <f t="shared" si="51"/>
        <v>#REF!</v>
      </c>
      <c r="F329" s="63">
        <f>'Прайс для расчета'!E308</f>
        <v>787.5</v>
      </c>
      <c r="G329" s="77" t="e">
        <f t="shared" si="48"/>
        <v>#REF!</v>
      </c>
      <c r="I329" s="135">
        <f>'Прайс для расчета (М)'!E308</f>
        <v>393.75</v>
      </c>
      <c r="J329" s="36" t="e">
        <f t="shared" si="49"/>
        <v>#REF!</v>
      </c>
    </row>
    <row r="330" spans="2:10" ht="15.6" x14ac:dyDescent="0.3">
      <c r="B330" s="72"/>
      <c r="C330" s="69" t="s">
        <v>430</v>
      </c>
      <c r="D330" s="61" t="s">
        <v>2</v>
      </c>
      <c r="E330" s="62" t="e">
        <f t="shared" si="51"/>
        <v>#REF!</v>
      </c>
      <c r="F330" s="63">
        <f>'Прайс для расчета'!E309</f>
        <v>420</v>
      </c>
      <c r="G330" s="77" t="e">
        <f t="shared" si="48"/>
        <v>#REF!</v>
      </c>
      <c r="I330" s="135">
        <f>'Прайс для расчета (М)'!E309</f>
        <v>210</v>
      </c>
      <c r="J330" s="36" t="e">
        <f t="shared" si="49"/>
        <v>#REF!</v>
      </c>
    </row>
    <row r="331" spans="2:10" ht="15.6" x14ac:dyDescent="0.25">
      <c r="B331" s="59">
        <f>IF(SUM(B332:B338)&gt;0,1,0)</f>
        <v>0</v>
      </c>
      <c r="C331" s="60" t="s">
        <v>884</v>
      </c>
      <c r="D331" s="61"/>
      <c r="E331" s="62"/>
      <c r="F331" s="63"/>
      <c r="G331" s="64"/>
    </row>
    <row r="332" spans="2:10" ht="15.6" x14ac:dyDescent="0.3">
      <c r="B332" s="72"/>
      <c r="C332" s="78" t="s">
        <v>431</v>
      </c>
      <c r="D332" s="74" t="s">
        <v>3</v>
      </c>
      <c r="E332" s="75">
        <f>E210</f>
        <v>1</v>
      </c>
      <c r="F332" s="76">
        <f>'Прайс для расчета'!E311</f>
        <v>315</v>
      </c>
      <c r="G332" s="77">
        <f t="shared" ref="G332:G338" si="52">F332*E332</f>
        <v>315</v>
      </c>
      <c r="I332" s="135">
        <f>'Прайс для расчета (М)'!E311</f>
        <v>157.5</v>
      </c>
      <c r="J332" s="36">
        <f t="shared" ref="J332:J338" si="53">I332*E332</f>
        <v>157.5</v>
      </c>
    </row>
    <row r="333" spans="2:10" ht="15.6" x14ac:dyDescent="0.3">
      <c r="B333" s="72"/>
      <c r="C333" s="78" t="s">
        <v>432</v>
      </c>
      <c r="D333" s="74" t="s">
        <v>3</v>
      </c>
      <c r="E333" s="75">
        <f>E210</f>
        <v>1</v>
      </c>
      <c r="F333" s="76">
        <f>'Прайс для расчета'!E312</f>
        <v>367.5</v>
      </c>
      <c r="G333" s="77">
        <f t="shared" si="52"/>
        <v>367.5</v>
      </c>
      <c r="I333" s="135">
        <f>'Прайс для расчета (М)'!E312</f>
        <v>183.75</v>
      </c>
      <c r="J333" s="36">
        <f t="shared" si="53"/>
        <v>183.75</v>
      </c>
    </row>
    <row r="334" spans="2:10" ht="15.6" x14ac:dyDescent="0.3">
      <c r="B334" s="72"/>
      <c r="C334" s="78" t="s">
        <v>115</v>
      </c>
      <c r="D334" s="74" t="s">
        <v>3</v>
      </c>
      <c r="E334" s="75">
        <f>E210</f>
        <v>1</v>
      </c>
      <c r="F334" s="76">
        <f>'Прайс для расчета'!E313</f>
        <v>194.25</v>
      </c>
      <c r="G334" s="77">
        <f t="shared" si="52"/>
        <v>194.25</v>
      </c>
      <c r="I334" s="135">
        <f>'Прайс для расчета (М)'!E313</f>
        <v>97.125</v>
      </c>
      <c r="J334" s="36">
        <f t="shared" si="53"/>
        <v>97.125</v>
      </c>
    </row>
    <row r="335" spans="2:10" ht="15.6" x14ac:dyDescent="0.3">
      <c r="B335" s="72"/>
      <c r="C335" s="78" t="s">
        <v>433</v>
      </c>
      <c r="D335" s="74" t="s">
        <v>3</v>
      </c>
      <c r="E335" s="75">
        <f>E210</f>
        <v>1</v>
      </c>
      <c r="F335" s="76">
        <f>'Прайс для расчета'!E314</f>
        <v>735</v>
      </c>
      <c r="G335" s="77">
        <f t="shared" si="52"/>
        <v>735</v>
      </c>
      <c r="I335" s="135">
        <f>'Прайс для расчета (М)'!E314</f>
        <v>367.5</v>
      </c>
      <c r="J335" s="36">
        <f t="shared" si="53"/>
        <v>367.5</v>
      </c>
    </row>
    <row r="336" spans="2:10" ht="15.6" x14ac:dyDescent="0.3">
      <c r="B336" s="72"/>
      <c r="C336" s="78" t="s">
        <v>434</v>
      </c>
      <c r="D336" s="74" t="s">
        <v>3</v>
      </c>
      <c r="E336" s="75">
        <f>E210</f>
        <v>1</v>
      </c>
      <c r="F336" s="76">
        <f>'Прайс для расчета'!E315</f>
        <v>1349.25</v>
      </c>
      <c r="G336" s="77">
        <f t="shared" si="52"/>
        <v>1349.25</v>
      </c>
      <c r="I336" s="135">
        <f>'Прайс для расчета (М)'!E315</f>
        <v>674.625</v>
      </c>
      <c r="J336" s="36">
        <f t="shared" si="53"/>
        <v>674.625</v>
      </c>
    </row>
    <row r="337" spans="2:10" ht="15.6" x14ac:dyDescent="0.3">
      <c r="B337" s="72"/>
      <c r="C337" s="78" t="s">
        <v>1075</v>
      </c>
      <c r="D337" s="74" t="s">
        <v>3</v>
      </c>
      <c r="E337" s="75">
        <f>E210</f>
        <v>1</v>
      </c>
      <c r="F337" s="76">
        <f>'Прайс для расчета'!E316</f>
        <v>0</v>
      </c>
      <c r="G337" s="77">
        <f t="shared" si="52"/>
        <v>0</v>
      </c>
      <c r="I337" s="135">
        <f>'Прайс для расчета (М)'!E316</f>
        <v>0</v>
      </c>
      <c r="J337" s="36">
        <f t="shared" si="53"/>
        <v>0</v>
      </c>
    </row>
    <row r="338" spans="2:10" ht="15.6" x14ac:dyDescent="0.3">
      <c r="B338" s="72"/>
      <c r="C338" s="78" t="s">
        <v>435</v>
      </c>
      <c r="D338" s="74" t="s">
        <v>3</v>
      </c>
      <c r="E338" s="75">
        <f>E337</f>
        <v>1</v>
      </c>
      <c r="F338" s="76">
        <f>'Прайс для расчета'!E317</f>
        <v>1464.75</v>
      </c>
      <c r="G338" s="77">
        <f t="shared" si="52"/>
        <v>1464.75</v>
      </c>
      <c r="I338" s="135">
        <f>'Прайс для расчета (М)'!E317</f>
        <v>732.375</v>
      </c>
      <c r="J338" s="36">
        <f t="shared" si="53"/>
        <v>732.375</v>
      </c>
    </row>
    <row r="339" spans="2:10" ht="15.6" x14ac:dyDescent="0.25">
      <c r="B339" s="59">
        <f>IF(SUM(B340:B352)&gt;0,1,0)</f>
        <v>0</v>
      </c>
      <c r="C339" s="60" t="s">
        <v>879</v>
      </c>
      <c r="D339" s="61"/>
      <c r="E339" s="62"/>
      <c r="F339" s="63"/>
      <c r="G339" s="64"/>
    </row>
    <row r="340" spans="2:10" ht="15.6" x14ac:dyDescent="0.3">
      <c r="B340" s="72"/>
      <c r="C340" s="78" t="s">
        <v>436</v>
      </c>
      <c r="D340" s="74" t="s">
        <v>2</v>
      </c>
      <c r="E340" s="75">
        <f>$A$4</f>
        <v>0</v>
      </c>
      <c r="F340" s="76">
        <f>'Прайс для расчета'!E318</f>
        <v>577.5</v>
      </c>
      <c r="G340" s="77">
        <f t="shared" ref="G340:G352" si="54">F340*E340</f>
        <v>0</v>
      </c>
      <c r="I340" s="135">
        <f>'Прайс для расчета (М)'!E318</f>
        <v>288.75</v>
      </c>
      <c r="J340" s="36">
        <f t="shared" ref="J340:J352" si="55">I340*E340</f>
        <v>0</v>
      </c>
    </row>
    <row r="341" spans="2:10" ht="15.6" x14ac:dyDescent="0.3">
      <c r="B341" s="72"/>
      <c r="C341" s="78" t="s">
        <v>437</v>
      </c>
      <c r="D341" s="74" t="s">
        <v>2</v>
      </c>
      <c r="E341" s="75">
        <f>$A$4</f>
        <v>0</v>
      </c>
      <c r="F341" s="76">
        <f>'Прайс для расчета'!E319</f>
        <v>1396.5</v>
      </c>
      <c r="G341" s="77">
        <f t="shared" si="54"/>
        <v>0</v>
      </c>
      <c r="I341" s="135">
        <f>'Прайс для расчета (М)'!E319</f>
        <v>698.25</v>
      </c>
      <c r="J341" s="36">
        <f t="shared" si="55"/>
        <v>0</v>
      </c>
    </row>
    <row r="342" spans="2:10" ht="15.6" x14ac:dyDescent="0.3">
      <c r="B342" s="72"/>
      <c r="C342" s="78" t="s">
        <v>438</v>
      </c>
      <c r="D342" s="74" t="s">
        <v>2</v>
      </c>
      <c r="E342" s="75">
        <f>$A$4</f>
        <v>0</v>
      </c>
      <c r="F342" s="76">
        <f>'Прайс для расчета'!E320</f>
        <v>1291.5</v>
      </c>
      <c r="G342" s="77">
        <f t="shared" si="54"/>
        <v>0</v>
      </c>
      <c r="I342" s="135">
        <f>'Прайс для расчета (М)'!E320</f>
        <v>645.75</v>
      </c>
      <c r="J342" s="36">
        <f t="shared" si="55"/>
        <v>0</v>
      </c>
    </row>
    <row r="343" spans="2:10" ht="15.6" x14ac:dyDescent="0.3">
      <c r="B343" s="72"/>
      <c r="C343" s="78" t="s">
        <v>439</v>
      </c>
      <c r="D343" s="74" t="s">
        <v>2</v>
      </c>
      <c r="E343" s="75">
        <f>$A$4</f>
        <v>0</v>
      </c>
      <c r="F343" s="76">
        <f>'Прайс для расчета'!E321</f>
        <v>1386</v>
      </c>
      <c r="G343" s="77">
        <f t="shared" si="54"/>
        <v>0</v>
      </c>
      <c r="I343" s="135">
        <f>'Прайс для расчета (М)'!E321</f>
        <v>693</v>
      </c>
      <c r="J343" s="36">
        <f t="shared" si="55"/>
        <v>0</v>
      </c>
    </row>
    <row r="344" spans="2:10" ht="15.6" x14ac:dyDescent="0.3">
      <c r="B344" s="72"/>
      <c r="C344" s="78" t="s">
        <v>440</v>
      </c>
      <c r="D344" s="74" t="s">
        <v>2</v>
      </c>
      <c r="E344" s="75">
        <f>$A$4</f>
        <v>0</v>
      </c>
      <c r="F344" s="76">
        <f>'Прайс для расчета'!E322</f>
        <v>1281</v>
      </c>
      <c r="G344" s="77">
        <f t="shared" si="54"/>
        <v>0</v>
      </c>
      <c r="I344" s="135">
        <f>'Прайс для расчета (М)'!E322</f>
        <v>640.5</v>
      </c>
      <c r="J344" s="36">
        <f t="shared" si="55"/>
        <v>0</v>
      </c>
    </row>
    <row r="345" spans="2:10" ht="15.6" x14ac:dyDescent="0.3">
      <c r="B345" s="72"/>
      <c r="C345" s="78" t="s">
        <v>441</v>
      </c>
      <c r="D345" s="74" t="s">
        <v>645</v>
      </c>
      <c r="E345" s="75">
        <f>$A$2</f>
        <v>0</v>
      </c>
      <c r="F345" s="76">
        <f>'Прайс для расчета'!E323</f>
        <v>330.75</v>
      </c>
      <c r="G345" s="77">
        <f t="shared" si="54"/>
        <v>0</v>
      </c>
      <c r="I345" s="135">
        <f>'Прайс для расчета (М)'!E323</f>
        <v>165.375</v>
      </c>
      <c r="J345" s="36">
        <f t="shared" si="55"/>
        <v>0</v>
      </c>
    </row>
    <row r="346" spans="2:10" ht="15.6" x14ac:dyDescent="0.3">
      <c r="B346" s="72"/>
      <c r="C346" s="78" t="s">
        <v>531</v>
      </c>
      <c r="D346" s="74" t="s">
        <v>645</v>
      </c>
      <c r="E346" s="75">
        <f>$A$2</f>
        <v>0</v>
      </c>
      <c r="F346" s="76">
        <f>'Прайс для расчета'!E324</f>
        <v>866.25</v>
      </c>
      <c r="G346" s="77">
        <f t="shared" si="54"/>
        <v>0</v>
      </c>
      <c r="I346" s="135">
        <f>'Прайс для расчета (М)'!E324</f>
        <v>433.125</v>
      </c>
      <c r="J346" s="36">
        <f t="shared" si="55"/>
        <v>0</v>
      </c>
    </row>
    <row r="347" spans="2:10" ht="15.6" x14ac:dyDescent="0.3">
      <c r="B347" s="72"/>
      <c r="C347" s="78" t="s">
        <v>532</v>
      </c>
      <c r="D347" s="74" t="s">
        <v>645</v>
      </c>
      <c r="E347" s="75">
        <f>$A$2</f>
        <v>0</v>
      </c>
      <c r="F347" s="76">
        <f>'Прайс для расчета'!E325</f>
        <v>1097.376</v>
      </c>
      <c r="G347" s="77">
        <f t="shared" si="54"/>
        <v>0</v>
      </c>
      <c r="I347" s="135">
        <f>'Прайс для расчета (М)'!E325</f>
        <v>548.68799999999999</v>
      </c>
      <c r="J347" s="36">
        <f t="shared" si="55"/>
        <v>0</v>
      </c>
    </row>
    <row r="348" spans="2:10" ht="15.6" x14ac:dyDescent="0.3">
      <c r="B348" s="72"/>
      <c r="C348" s="78" t="s">
        <v>533</v>
      </c>
      <c r="D348" s="74" t="s">
        <v>645</v>
      </c>
      <c r="E348" s="75">
        <f>$A$2</f>
        <v>0</v>
      </c>
      <c r="F348" s="76">
        <f>'Прайс для расчета'!E326</f>
        <v>852.6</v>
      </c>
      <c r="G348" s="77">
        <f t="shared" si="54"/>
        <v>0</v>
      </c>
      <c r="I348" s="135">
        <f>'Прайс для расчета (М)'!E326</f>
        <v>426.3</v>
      </c>
      <c r="J348" s="36">
        <f t="shared" si="55"/>
        <v>0</v>
      </c>
    </row>
    <row r="349" spans="2:10" ht="15.6" x14ac:dyDescent="0.3">
      <c r="B349" s="72"/>
      <c r="C349" s="78" t="s">
        <v>442</v>
      </c>
      <c r="D349" s="74" t="s">
        <v>2</v>
      </c>
      <c r="E349" s="75">
        <f>$A$4</f>
        <v>0</v>
      </c>
      <c r="F349" s="76">
        <f>'Прайс для расчета'!E327</f>
        <v>225.75</v>
      </c>
      <c r="G349" s="77">
        <f t="shared" si="54"/>
        <v>0</v>
      </c>
      <c r="I349" s="135">
        <f>'Прайс для расчета (М)'!E327</f>
        <v>112.875</v>
      </c>
      <c r="J349" s="36">
        <f t="shared" si="55"/>
        <v>0</v>
      </c>
    </row>
    <row r="350" spans="2:10" ht="15.6" x14ac:dyDescent="0.3">
      <c r="B350" s="72"/>
      <c r="C350" s="78" t="s">
        <v>443</v>
      </c>
      <c r="D350" s="74" t="s">
        <v>2</v>
      </c>
      <c r="E350" s="75">
        <f>$A$4</f>
        <v>0</v>
      </c>
      <c r="F350" s="76">
        <f>'Прайс для расчета'!E328</f>
        <v>462</v>
      </c>
      <c r="G350" s="77">
        <f t="shared" si="54"/>
        <v>0</v>
      </c>
      <c r="I350" s="135">
        <f>'Прайс для расчета (М)'!E328</f>
        <v>231</v>
      </c>
      <c r="J350" s="36">
        <f t="shared" si="55"/>
        <v>0</v>
      </c>
    </row>
    <row r="351" spans="2:10" ht="15.6" x14ac:dyDescent="0.3">
      <c r="B351" s="72"/>
      <c r="C351" s="78" t="s">
        <v>534</v>
      </c>
      <c r="D351" s="74" t="s">
        <v>2</v>
      </c>
      <c r="E351" s="75">
        <f t="shared" ref="E351:E352" si="56">$A$4</f>
        <v>0</v>
      </c>
      <c r="F351" s="76">
        <f>'Прайс для расчета'!E329</f>
        <v>1060.5</v>
      </c>
      <c r="G351" s="77">
        <f t="shared" si="54"/>
        <v>0</v>
      </c>
      <c r="I351" s="135">
        <f>'Прайс для расчета (М)'!E329</f>
        <v>530.25</v>
      </c>
      <c r="J351" s="36">
        <f t="shared" si="55"/>
        <v>0</v>
      </c>
    </row>
    <row r="352" spans="2:10" ht="15.6" x14ac:dyDescent="0.3">
      <c r="B352" s="72"/>
      <c r="C352" s="78" t="s">
        <v>444</v>
      </c>
      <c r="D352" s="74" t="s">
        <v>2</v>
      </c>
      <c r="E352" s="75">
        <f t="shared" si="56"/>
        <v>0</v>
      </c>
      <c r="F352" s="76">
        <f>'Прайс для расчета'!E330</f>
        <v>735</v>
      </c>
      <c r="G352" s="77">
        <f t="shared" si="54"/>
        <v>0</v>
      </c>
      <c r="I352" s="135">
        <f>'Прайс для расчета (М)'!E330</f>
        <v>367.5</v>
      </c>
      <c r="J352" s="36">
        <f t="shared" si="55"/>
        <v>0</v>
      </c>
    </row>
    <row r="353" spans="2:10" ht="15.6" x14ac:dyDescent="0.25">
      <c r="B353" s="59">
        <f>IF(SUM(B354:B372)&gt;0,1,0)</f>
        <v>0</v>
      </c>
      <c r="C353" s="60" t="s">
        <v>880</v>
      </c>
      <c r="D353" s="61"/>
      <c r="E353" s="62"/>
      <c r="F353" s="63"/>
      <c r="G353" s="64"/>
    </row>
    <row r="354" spans="2:10" ht="15.6" x14ac:dyDescent="0.3">
      <c r="B354" s="72"/>
      <c r="C354" s="78" t="s">
        <v>118</v>
      </c>
      <c r="D354" s="74" t="s">
        <v>0</v>
      </c>
      <c r="E354" s="75">
        <v>1</v>
      </c>
      <c r="F354" s="76">
        <f>'Прайс для расчета'!E331</f>
        <v>525</v>
      </c>
      <c r="G354" s="77">
        <f t="shared" ref="G354:G372" si="57">F354*E354</f>
        <v>525</v>
      </c>
      <c r="I354" s="135">
        <f>'Прайс для расчета (М)'!E331</f>
        <v>262.5</v>
      </c>
      <c r="J354" s="36">
        <f t="shared" ref="J354:J372" si="58">I354*E354</f>
        <v>262.5</v>
      </c>
    </row>
    <row r="355" spans="2:10" ht="15.6" x14ac:dyDescent="0.3">
      <c r="B355" s="72"/>
      <c r="C355" s="78" t="s">
        <v>119</v>
      </c>
      <c r="D355" s="74" t="s">
        <v>0</v>
      </c>
      <c r="E355" s="75">
        <v>1</v>
      </c>
      <c r="F355" s="76">
        <f>'Прайс для расчета'!E332</f>
        <v>945</v>
      </c>
      <c r="G355" s="77">
        <f t="shared" si="57"/>
        <v>945</v>
      </c>
      <c r="I355" s="135">
        <f>'Прайс для расчета (М)'!E332</f>
        <v>472.5</v>
      </c>
      <c r="J355" s="36">
        <f t="shared" si="58"/>
        <v>472.5</v>
      </c>
    </row>
    <row r="356" spans="2:10" ht="15.6" x14ac:dyDescent="0.3">
      <c r="B356" s="72"/>
      <c r="C356" s="78" t="s">
        <v>120</v>
      </c>
      <c r="D356" s="74" t="s">
        <v>0</v>
      </c>
      <c r="E356" s="75">
        <v>1</v>
      </c>
      <c r="F356" s="76">
        <f>'Прайс для расчета'!E333</f>
        <v>1575</v>
      </c>
      <c r="G356" s="77">
        <f t="shared" si="57"/>
        <v>1575</v>
      </c>
      <c r="I356" s="135">
        <f>'Прайс для расчета (М)'!E333</f>
        <v>787.5</v>
      </c>
      <c r="J356" s="36">
        <f t="shared" si="58"/>
        <v>787.5</v>
      </c>
    </row>
    <row r="357" spans="2:10" ht="15.6" x14ac:dyDescent="0.3">
      <c r="B357" s="72"/>
      <c r="C357" s="78" t="s">
        <v>121</v>
      </c>
      <c r="D357" s="74" t="s">
        <v>0</v>
      </c>
      <c r="E357" s="75">
        <v>1</v>
      </c>
      <c r="F357" s="76">
        <f>'Прайс для расчета'!E334</f>
        <v>840</v>
      </c>
      <c r="G357" s="77">
        <f t="shared" si="57"/>
        <v>840</v>
      </c>
      <c r="I357" s="135">
        <f>'Прайс для расчета (М)'!E334</f>
        <v>420</v>
      </c>
      <c r="J357" s="36">
        <f t="shared" si="58"/>
        <v>420</v>
      </c>
    </row>
    <row r="358" spans="2:10" ht="15.6" x14ac:dyDescent="0.3">
      <c r="B358" s="72"/>
      <c r="C358" s="78" t="s">
        <v>122</v>
      </c>
      <c r="D358" s="74" t="s">
        <v>3</v>
      </c>
      <c r="E358" s="75">
        <v>1</v>
      </c>
      <c r="F358" s="76">
        <f>'Прайс для расчета'!E335</f>
        <v>273</v>
      </c>
      <c r="G358" s="77">
        <f t="shared" si="57"/>
        <v>273</v>
      </c>
      <c r="I358" s="135">
        <f>'Прайс для расчета (М)'!E335</f>
        <v>136.5</v>
      </c>
      <c r="J358" s="36">
        <f t="shared" si="58"/>
        <v>136.5</v>
      </c>
    </row>
    <row r="359" spans="2:10" ht="15.6" x14ac:dyDescent="0.3">
      <c r="B359" s="72"/>
      <c r="C359" s="78" t="s">
        <v>123</v>
      </c>
      <c r="D359" s="74" t="s">
        <v>2</v>
      </c>
      <c r="E359" s="75">
        <v>1</v>
      </c>
      <c r="F359" s="76">
        <f>'Прайс для расчета'!E336</f>
        <v>1890</v>
      </c>
      <c r="G359" s="77">
        <f t="shared" si="57"/>
        <v>1890</v>
      </c>
      <c r="I359" s="135">
        <f>'Прайс для расчета (М)'!E336</f>
        <v>945</v>
      </c>
      <c r="J359" s="36">
        <f t="shared" si="58"/>
        <v>945</v>
      </c>
    </row>
    <row r="360" spans="2:10" ht="15.6" x14ac:dyDescent="0.3">
      <c r="B360" s="72"/>
      <c r="C360" s="78" t="s">
        <v>124</v>
      </c>
      <c r="D360" s="74" t="s">
        <v>3</v>
      </c>
      <c r="E360" s="75">
        <v>1</v>
      </c>
      <c r="F360" s="76">
        <f>'Прайс для расчета'!E337</f>
        <v>346.5</v>
      </c>
      <c r="G360" s="77">
        <f t="shared" si="57"/>
        <v>346.5</v>
      </c>
      <c r="I360" s="135">
        <f>'Прайс для расчета (М)'!E337</f>
        <v>173.25</v>
      </c>
      <c r="J360" s="36">
        <f t="shared" si="58"/>
        <v>173.25</v>
      </c>
    </row>
    <row r="361" spans="2:10" ht="15.6" x14ac:dyDescent="0.3">
      <c r="B361" s="72"/>
      <c r="C361" s="78" t="s">
        <v>681</v>
      </c>
      <c r="D361" s="74" t="s">
        <v>0</v>
      </c>
      <c r="E361" s="75">
        <v>1</v>
      </c>
      <c r="F361" s="76">
        <f>'Прайс для расчета'!E338</f>
        <v>4179</v>
      </c>
      <c r="G361" s="77">
        <f t="shared" si="57"/>
        <v>4179</v>
      </c>
      <c r="I361" s="135">
        <f>'Прайс для расчета (М)'!E338</f>
        <v>2089.5</v>
      </c>
      <c r="J361" s="36">
        <f t="shared" si="58"/>
        <v>2089.5</v>
      </c>
    </row>
    <row r="362" spans="2:10" ht="15.6" x14ac:dyDescent="0.3">
      <c r="B362" s="72"/>
      <c r="C362" s="78" t="s">
        <v>228</v>
      </c>
      <c r="D362" s="74" t="s">
        <v>0</v>
      </c>
      <c r="E362" s="75">
        <v>1</v>
      </c>
      <c r="F362" s="76">
        <f>'Прайс для расчета'!E339</f>
        <v>3255</v>
      </c>
      <c r="G362" s="77">
        <f t="shared" si="57"/>
        <v>3255</v>
      </c>
      <c r="I362" s="135">
        <f>'Прайс для расчета (М)'!E339</f>
        <v>1627.5</v>
      </c>
      <c r="J362" s="36">
        <f t="shared" si="58"/>
        <v>1627.5</v>
      </c>
    </row>
    <row r="363" spans="2:10" ht="15.6" x14ac:dyDescent="0.3">
      <c r="B363" s="72"/>
      <c r="C363" s="78" t="s">
        <v>132</v>
      </c>
      <c r="D363" s="74" t="s">
        <v>0</v>
      </c>
      <c r="E363" s="75">
        <v>1</v>
      </c>
      <c r="F363" s="76">
        <f>'Прайс для расчета'!E340</f>
        <v>1176</v>
      </c>
      <c r="G363" s="77">
        <f t="shared" si="57"/>
        <v>1176</v>
      </c>
      <c r="I363" s="135">
        <f>'Прайс для расчета (М)'!E340</f>
        <v>588</v>
      </c>
      <c r="J363" s="36">
        <f t="shared" si="58"/>
        <v>588</v>
      </c>
    </row>
    <row r="364" spans="2:10" ht="15.6" x14ac:dyDescent="0.3">
      <c r="B364" s="72"/>
      <c r="C364" s="78" t="s">
        <v>125</v>
      </c>
      <c r="D364" s="74" t="s">
        <v>0</v>
      </c>
      <c r="E364" s="75">
        <v>1</v>
      </c>
      <c r="F364" s="76">
        <f>'Прайс для расчета'!E341</f>
        <v>367.5</v>
      </c>
      <c r="G364" s="77">
        <f t="shared" si="57"/>
        <v>367.5</v>
      </c>
      <c r="I364" s="135">
        <f>'Прайс для расчета (М)'!E341</f>
        <v>183.75</v>
      </c>
      <c r="J364" s="36">
        <f t="shared" si="58"/>
        <v>183.75</v>
      </c>
    </row>
    <row r="365" spans="2:10" ht="15.6" x14ac:dyDescent="0.3">
      <c r="B365" s="72"/>
      <c r="C365" s="78" t="s">
        <v>126</v>
      </c>
      <c r="D365" s="74" t="s">
        <v>3</v>
      </c>
      <c r="E365" s="75">
        <v>1</v>
      </c>
      <c r="F365" s="76">
        <f>'Прайс для расчета'!E342</f>
        <v>199.5</v>
      </c>
      <c r="G365" s="77">
        <f t="shared" si="57"/>
        <v>199.5</v>
      </c>
      <c r="I365" s="135">
        <f>'Прайс для расчета (М)'!E342</f>
        <v>99.75</v>
      </c>
      <c r="J365" s="36">
        <f t="shared" si="58"/>
        <v>99.75</v>
      </c>
    </row>
    <row r="366" spans="2:10" ht="15.6" x14ac:dyDescent="0.3">
      <c r="B366" s="72"/>
      <c r="C366" s="78" t="s">
        <v>127</v>
      </c>
      <c r="D366" s="74" t="s">
        <v>2</v>
      </c>
      <c r="E366" s="75">
        <v>1</v>
      </c>
      <c r="F366" s="76">
        <f>'Прайс для расчета'!E343</f>
        <v>1995</v>
      </c>
      <c r="G366" s="77">
        <f t="shared" si="57"/>
        <v>1995</v>
      </c>
      <c r="I366" s="135">
        <f>'Прайс для расчета (М)'!E343</f>
        <v>997.5</v>
      </c>
      <c r="J366" s="36">
        <f t="shared" si="58"/>
        <v>997.5</v>
      </c>
    </row>
    <row r="367" spans="2:10" ht="15.6" x14ac:dyDescent="0.3">
      <c r="B367" s="72"/>
      <c r="C367" s="78" t="s">
        <v>535</v>
      </c>
      <c r="D367" s="74" t="s">
        <v>2</v>
      </c>
      <c r="E367" s="75">
        <v>1</v>
      </c>
      <c r="F367" s="76">
        <f>'Прайс для расчета'!E344</f>
        <v>840</v>
      </c>
      <c r="G367" s="77">
        <f t="shared" si="57"/>
        <v>840</v>
      </c>
      <c r="I367" s="135">
        <f>'Прайс для расчета (М)'!E344</f>
        <v>420</v>
      </c>
      <c r="J367" s="36">
        <f t="shared" si="58"/>
        <v>420</v>
      </c>
    </row>
    <row r="368" spans="2:10" ht="15.6" x14ac:dyDescent="0.3">
      <c r="B368" s="72"/>
      <c r="C368" s="78" t="s">
        <v>536</v>
      </c>
      <c r="D368" s="74" t="s">
        <v>0</v>
      </c>
      <c r="E368" s="75">
        <v>1</v>
      </c>
      <c r="F368" s="76">
        <f>'Прайс для расчета'!E345</f>
        <v>3097.5</v>
      </c>
      <c r="G368" s="77">
        <f t="shared" si="57"/>
        <v>3097.5</v>
      </c>
      <c r="I368" s="135">
        <f>'Прайс для расчета (М)'!E345</f>
        <v>1548.75</v>
      </c>
      <c r="J368" s="36">
        <f t="shared" si="58"/>
        <v>1548.75</v>
      </c>
    </row>
    <row r="369" spans="2:10" ht="15.6" x14ac:dyDescent="0.3">
      <c r="B369" s="72"/>
      <c r="C369" s="78" t="s">
        <v>128</v>
      </c>
      <c r="D369" s="74" t="s">
        <v>2</v>
      </c>
      <c r="E369" s="75">
        <v>1</v>
      </c>
      <c r="F369" s="76">
        <f>'Прайс для расчета'!E346</f>
        <v>1029</v>
      </c>
      <c r="G369" s="77">
        <f t="shared" si="57"/>
        <v>1029</v>
      </c>
      <c r="I369" s="135">
        <f>'Прайс для расчета (М)'!E346</f>
        <v>514.5</v>
      </c>
      <c r="J369" s="36">
        <f t="shared" si="58"/>
        <v>514.5</v>
      </c>
    </row>
    <row r="370" spans="2:10" ht="15.6" x14ac:dyDescent="0.3">
      <c r="B370" s="72"/>
      <c r="C370" s="78" t="s">
        <v>129</v>
      </c>
      <c r="D370" s="74" t="s">
        <v>3</v>
      </c>
      <c r="E370" s="75">
        <v>1</v>
      </c>
      <c r="F370" s="76">
        <f>'Прайс для расчета'!E347</f>
        <v>1627.5</v>
      </c>
      <c r="G370" s="77">
        <f t="shared" si="57"/>
        <v>1627.5</v>
      </c>
      <c r="I370" s="135">
        <f>'Прайс для расчета (М)'!E347</f>
        <v>813.75</v>
      </c>
      <c r="J370" s="36">
        <f t="shared" si="58"/>
        <v>813.75</v>
      </c>
    </row>
    <row r="371" spans="2:10" ht="15.6" x14ac:dyDescent="0.3">
      <c r="B371" s="72"/>
      <c r="C371" s="78" t="s">
        <v>130</v>
      </c>
      <c r="D371" s="74" t="s">
        <v>3</v>
      </c>
      <c r="E371" s="75">
        <v>1</v>
      </c>
      <c r="F371" s="76">
        <f>'Прайс для расчета'!E348</f>
        <v>1627.5</v>
      </c>
      <c r="G371" s="77">
        <f t="shared" si="57"/>
        <v>1627.5</v>
      </c>
      <c r="I371" s="135">
        <f>'Прайс для расчета (М)'!E348</f>
        <v>813.75</v>
      </c>
      <c r="J371" s="36">
        <f t="shared" si="58"/>
        <v>813.75</v>
      </c>
    </row>
    <row r="372" spans="2:10" ht="15.6" x14ac:dyDescent="0.3">
      <c r="B372" s="72"/>
      <c r="C372" s="78" t="s">
        <v>131</v>
      </c>
      <c r="D372" s="74" t="s">
        <v>3</v>
      </c>
      <c r="E372" s="75">
        <v>1</v>
      </c>
      <c r="F372" s="76">
        <f>'Прайс для расчета'!E349</f>
        <v>420</v>
      </c>
      <c r="G372" s="77">
        <f t="shared" si="57"/>
        <v>420</v>
      </c>
      <c r="I372" s="135">
        <f>'Прайс для расчета (М)'!E349</f>
        <v>210</v>
      </c>
      <c r="J372" s="36">
        <f t="shared" si="58"/>
        <v>210</v>
      </c>
    </row>
    <row r="373" spans="2:10" ht="15.6" x14ac:dyDescent="0.25">
      <c r="B373" s="59">
        <f>IF(SUM(B374:B381)&gt;0,1,0)</f>
        <v>0</v>
      </c>
      <c r="C373" s="60" t="s">
        <v>881</v>
      </c>
      <c r="D373" s="61"/>
      <c r="E373" s="62"/>
      <c r="F373" s="63"/>
      <c r="G373" s="64"/>
    </row>
    <row r="374" spans="2:10" ht="15.6" x14ac:dyDescent="0.3">
      <c r="B374" s="72"/>
      <c r="C374" s="78" t="s">
        <v>537</v>
      </c>
      <c r="D374" s="74" t="s">
        <v>0</v>
      </c>
      <c r="E374" s="75">
        <v>1</v>
      </c>
      <c r="F374" s="76">
        <f>'Прайс для расчета'!E350</f>
        <v>2940</v>
      </c>
      <c r="G374" s="77">
        <f t="shared" ref="G374:G381" si="59">F374*E374</f>
        <v>2940</v>
      </c>
      <c r="I374" s="135">
        <f>'Прайс для расчета (М)'!E350</f>
        <v>1470</v>
      </c>
      <c r="J374" s="36">
        <f t="shared" ref="J374:J381" si="60">I374*E374</f>
        <v>1470</v>
      </c>
    </row>
    <row r="375" spans="2:10" ht="15.6" x14ac:dyDescent="0.3">
      <c r="B375" s="72"/>
      <c r="C375" s="78" t="s">
        <v>445</v>
      </c>
      <c r="D375" s="74" t="s">
        <v>3</v>
      </c>
      <c r="E375" s="75">
        <f>E7</f>
        <v>0</v>
      </c>
      <c r="F375" s="76">
        <f>'Прайс для расчета'!E351</f>
        <v>404.25</v>
      </c>
      <c r="G375" s="77">
        <f t="shared" si="59"/>
        <v>0</v>
      </c>
      <c r="I375" s="135">
        <f>'Прайс для расчета (М)'!E351</f>
        <v>202.125</v>
      </c>
      <c r="J375" s="36">
        <f t="shared" si="60"/>
        <v>0</v>
      </c>
    </row>
    <row r="376" spans="2:10" ht="15.6" x14ac:dyDescent="0.3">
      <c r="B376" s="72"/>
      <c r="C376" s="78" t="s">
        <v>8</v>
      </c>
      <c r="D376" s="74" t="s">
        <v>2</v>
      </c>
      <c r="E376" s="75">
        <v>1</v>
      </c>
      <c r="F376" s="76">
        <f>'Прайс для расчета'!E352</f>
        <v>3858.7080000000001</v>
      </c>
      <c r="G376" s="77">
        <f t="shared" si="59"/>
        <v>3858.7080000000001</v>
      </c>
      <c r="I376" s="135">
        <f>'Прайс для расчета (М)'!E352</f>
        <v>1929.354</v>
      </c>
      <c r="J376" s="36">
        <f t="shared" si="60"/>
        <v>1929.354</v>
      </c>
    </row>
    <row r="377" spans="2:10" ht="15.6" x14ac:dyDescent="0.3">
      <c r="B377" s="72"/>
      <c r="C377" s="78" t="s">
        <v>446</v>
      </c>
      <c r="D377" s="74" t="s">
        <v>0</v>
      </c>
      <c r="E377" s="75">
        <v>1</v>
      </c>
      <c r="F377" s="76">
        <f>'Прайс для расчета'!E353</f>
        <v>1044.75</v>
      </c>
      <c r="G377" s="77">
        <f t="shared" si="59"/>
        <v>1044.75</v>
      </c>
      <c r="I377" s="135">
        <f>'Прайс для расчета (М)'!E353</f>
        <v>522.375</v>
      </c>
      <c r="J377" s="36">
        <f t="shared" si="60"/>
        <v>522.375</v>
      </c>
    </row>
    <row r="378" spans="2:10" ht="15.6" x14ac:dyDescent="0.3">
      <c r="B378" s="72"/>
      <c r="C378" s="78" t="s">
        <v>447</v>
      </c>
      <c r="D378" s="74" t="s">
        <v>0</v>
      </c>
      <c r="E378" s="75">
        <v>1</v>
      </c>
      <c r="F378" s="76">
        <f>'Прайс для расчета'!E354</f>
        <v>1522.5</v>
      </c>
      <c r="G378" s="77">
        <f t="shared" si="59"/>
        <v>1522.5</v>
      </c>
      <c r="I378" s="135">
        <f>'Прайс для расчета (М)'!E354</f>
        <v>761.25</v>
      </c>
      <c r="J378" s="36">
        <f t="shared" si="60"/>
        <v>761.25</v>
      </c>
    </row>
    <row r="379" spans="2:10" ht="15.6" x14ac:dyDescent="0.3">
      <c r="B379" s="72"/>
      <c r="C379" s="78" t="s">
        <v>448</v>
      </c>
      <c r="D379" s="74" t="s">
        <v>0</v>
      </c>
      <c r="E379" s="75">
        <v>1</v>
      </c>
      <c r="F379" s="76">
        <f>'Прайс для расчета'!E355</f>
        <v>1522.5</v>
      </c>
      <c r="G379" s="77">
        <f t="shared" si="59"/>
        <v>1522.5</v>
      </c>
      <c r="I379" s="135">
        <f>'Прайс для расчета (М)'!E355</f>
        <v>761.25</v>
      </c>
      <c r="J379" s="36">
        <f t="shared" si="60"/>
        <v>761.25</v>
      </c>
    </row>
    <row r="380" spans="2:10" ht="15.6" x14ac:dyDescent="0.3">
      <c r="B380" s="72"/>
      <c r="C380" s="78" t="s">
        <v>538</v>
      </c>
      <c r="D380" s="74" t="s">
        <v>0</v>
      </c>
      <c r="E380" s="75">
        <v>1</v>
      </c>
      <c r="F380" s="76">
        <f>'Прайс для расчета'!E356</f>
        <v>577.5</v>
      </c>
      <c r="G380" s="77">
        <f t="shared" si="59"/>
        <v>577.5</v>
      </c>
      <c r="I380" s="135">
        <f>'Прайс для расчета (М)'!E356</f>
        <v>288.75</v>
      </c>
      <c r="J380" s="36">
        <f t="shared" si="60"/>
        <v>288.75</v>
      </c>
    </row>
    <row r="381" spans="2:10" ht="15.6" x14ac:dyDescent="0.3">
      <c r="B381" s="72"/>
      <c r="C381" s="78" t="s">
        <v>539</v>
      </c>
      <c r="D381" s="74" t="s">
        <v>0</v>
      </c>
      <c r="E381" s="75">
        <v>1</v>
      </c>
      <c r="F381" s="76">
        <f>'Прайс для расчета'!E357</f>
        <v>210</v>
      </c>
      <c r="G381" s="77">
        <f t="shared" si="59"/>
        <v>210</v>
      </c>
      <c r="I381" s="135">
        <f>'Прайс для расчета (М)'!E357</f>
        <v>105</v>
      </c>
      <c r="J381" s="36">
        <f t="shared" si="60"/>
        <v>105</v>
      </c>
    </row>
    <row r="382" spans="2:10" ht="20.100000000000001" customHeight="1" x14ac:dyDescent="0.25">
      <c r="B382" s="110">
        <f>IF(SUM(B250:B381)&gt;0,1,0)</f>
        <v>0</v>
      </c>
      <c r="C382" s="245" t="s">
        <v>540</v>
      </c>
      <c r="D382" s="245"/>
      <c r="E382" s="245"/>
      <c r="F382" s="245"/>
      <c r="G382" s="157">
        <f>SUMIF(B251:B381,1,G251:G381)</f>
        <v>0</v>
      </c>
      <c r="J382" s="36">
        <f>SUMIF(B251:B381,1,J251:J381)</f>
        <v>0</v>
      </c>
    </row>
    <row r="383" spans="2:10" ht="15.6" x14ac:dyDescent="0.25">
      <c r="B383" s="153">
        <f>IF(SUM(B384:B443)&gt;0,1,0)</f>
        <v>0</v>
      </c>
      <c r="C383" s="148" t="s">
        <v>710</v>
      </c>
      <c r="D383" s="154" t="s">
        <v>179</v>
      </c>
      <c r="E383" s="154" t="s">
        <v>180</v>
      </c>
      <c r="F383" s="154" t="s">
        <v>1</v>
      </c>
      <c r="G383" s="154" t="s">
        <v>181</v>
      </c>
      <c r="I383" s="36" t="s">
        <v>1</v>
      </c>
      <c r="J383" s="36" t="s">
        <v>181</v>
      </c>
    </row>
    <row r="384" spans="2:10" ht="15.6" x14ac:dyDescent="0.3">
      <c r="B384" s="72"/>
      <c r="C384" s="78" t="s">
        <v>457</v>
      </c>
      <c r="D384" s="74" t="s">
        <v>0</v>
      </c>
      <c r="E384" s="75">
        <v>1</v>
      </c>
      <c r="F384" s="76">
        <f>'Прайс для расчета'!E420</f>
        <v>1260</v>
      </c>
      <c r="G384" s="77">
        <f t="shared" ref="G384:G417" si="61">F384*E384</f>
        <v>1260</v>
      </c>
      <c r="I384" s="135">
        <f>'Прайс для расчета (М)'!E420</f>
        <v>630</v>
      </c>
      <c r="J384" s="36">
        <f t="shared" ref="J384:J415" si="62">I384*E384</f>
        <v>630</v>
      </c>
    </row>
    <row r="385" spans="2:10" ht="15.6" x14ac:dyDescent="0.3">
      <c r="B385" s="72"/>
      <c r="C385" s="78" t="s">
        <v>900</v>
      </c>
      <c r="D385" s="74" t="s">
        <v>0</v>
      </c>
      <c r="E385" s="75">
        <v>1</v>
      </c>
      <c r="F385" s="76">
        <f>'Прайс для расчета'!E421</f>
        <v>4725</v>
      </c>
      <c r="G385" s="77">
        <f t="shared" si="61"/>
        <v>4725</v>
      </c>
      <c r="I385" s="135">
        <f>'Прайс для расчета (М)'!E421</f>
        <v>2362.5</v>
      </c>
      <c r="J385" s="36">
        <f t="shared" si="62"/>
        <v>2362.5</v>
      </c>
    </row>
    <row r="386" spans="2:10" ht="15.6" x14ac:dyDescent="0.3">
      <c r="B386" s="72"/>
      <c r="C386" s="78" t="s">
        <v>901</v>
      </c>
      <c r="D386" s="74" t="s">
        <v>0</v>
      </c>
      <c r="E386" s="75">
        <v>1</v>
      </c>
      <c r="F386" s="76">
        <f>'Прайс для расчета'!E422</f>
        <v>5775</v>
      </c>
      <c r="G386" s="77">
        <f t="shared" si="61"/>
        <v>5775</v>
      </c>
      <c r="I386" s="135">
        <f>'Прайс для расчета (М)'!E422</f>
        <v>2887.5</v>
      </c>
      <c r="J386" s="36">
        <f t="shared" si="62"/>
        <v>2887.5</v>
      </c>
    </row>
    <row r="387" spans="2:10" ht="15.6" x14ac:dyDescent="0.3">
      <c r="B387" s="72"/>
      <c r="C387" s="78" t="s">
        <v>902</v>
      </c>
      <c r="D387" s="74" t="s">
        <v>0</v>
      </c>
      <c r="E387" s="75">
        <v>1</v>
      </c>
      <c r="F387" s="76">
        <f>'Прайс для расчета'!E423</f>
        <v>6825</v>
      </c>
      <c r="G387" s="77">
        <f t="shared" si="61"/>
        <v>6825</v>
      </c>
      <c r="I387" s="135">
        <f>'Прайс для расчета (М)'!E423</f>
        <v>3412.5</v>
      </c>
      <c r="J387" s="36">
        <f t="shared" si="62"/>
        <v>3412.5</v>
      </c>
    </row>
    <row r="388" spans="2:10" ht="15.6" x14ac:dyDescent="0.3">
      <c r="B388" s="72"/>
      <c r="C388" s="78" t="s">
        <v>903</v>
      </c>
      <c r="D388" s="74" t="s">
        <v>0</v>
      </c>
      <c r="E388" s="75">
        <v>1</v>
      </c>
      <c r="F388" s="76">
        <f>'Прайс для расчета'!E424</f>
        <v>7875</v>
      </c>
      <c r="G388" s="77">
        <f t="shared" si="61"/>
        <v>7875</v>
      </c>
      <c r="I388" s="135">
        <f>'Прайс для расчета (М)'!E424</f>
        <v>3937.5</v>
      </c>
      <c r="J388" s="36">
        <f t="shared" si="62"/>
        <v>3937.5</v>
      </c>
    </row>
    <row r="389" spans="2:10" ht="15.6" x14ac:dyDescent="0.3">
      <c r="B389" s="72"/>
      <c r="C389" s="78" t="s">
        <v>229</v>
      </c>
      <c r="D389" s="74" t="s">
        <v>0</v>
      </c>
      <c r="E389" s="75">
        <v>1</v>
      </c>
      <c r="F389" s="76">
        <f>'Прайс для расчета'!E425</f>
        <v>3412.5</v>
      </c>
      <c r="G389" s="77">
        <f t="shared" si="61"/>
        <v>3412.5</v>
      </c>
      <c r="I389" s="135">
        <f>'Прайс для расчета (М)'!E425</f>
        <v>1706.25</v>
      </c>
      <c r="J389" s="36">
        <f t="shared" si="62"/>
        <v>1706.25</v>
      </c>
    </row>
    <row r="390" spans="2:10" ht="15.6" x14ac:dyDescent="0.3">
      <c r="B390" s="72"/>
      <c r="C390" s="78" t="s">
        <v>458</v>
      </c>
      <c r="D390" s="74" t="s">
        <v>0</v>
      </c>
      <c r="E390" s="75">
        <v>1</v>
      </c>
      <c r="F390" s="76">
        <f>'Прайс для расчета'!E426</f>
        <v>8400</v>
      </c>
      <c r="G390" s="77">
        <f t="shared" si="61"/>
        <v>8400</v>
      </c>
      <c r="I390" s="135">
        <f>'Прайс для расчета (М)'!E426</f>
        <v>4200</v>
      </c>
      <c r="J390" s="36">
        <f t="shared" si="62"/>
        <v>4200</v>
      </c>
    </row>
    <row r="391" spans="2:10" ht="15.6" x14ac:dyDescent="0.3">
      <c r="B391" s="72"/>
      <c r="C391" s="78" t="s">
        <v>459</v>
      </c>
      <c r="D391" s="74" t="s">
        <v>0</v>
      </c>
      <c r="E391" s="75">
        <v>1</v>
      </c>
      <c r="F391" s="76">
        <f>'Прайс для расчета'!E427</f>
        <v>3144.75</v>
      </c>
      <c r="G391" s="77">
        <f t="shared" si="61"/>
        <v>3144.75</v>
      </c>
      <c r="I391" s="135">
        <f>'Прайс для расчета (М)'!E427</f>
        <v>1572.375</v>
      </c>
      <c r="J391" s="36">
        <f t="shared" si="62"/>
        <v>1572.375</v>
      </c>
    </row>
    <row r="392" spans="2:10" ht="15.6" x14ac:dyDescent="0.3">
      <c r="B392" s="72"/>
      <c r="C392" s="78" t="s">
        <v>460</v>
      </c>
      <c r="D392" s="74" t="s">
        <v>0</v>
      </c>
      <c r="E392" s="75">
        <v>1</v>
      </c>
      <c r="F392" s="76">
        <f>'Прайс для расчета'!E428</f>
        <v>4887.4980000000005</v>
      </c>
      <c r="G392" s="77">
        <f t="shared" si="61"/>
        <v>4887.4980000000005</v>
      </c>
      <c r="I392" s="135">
        <f>'Прайс для расчета (М)'!E428</f>
        <v>2443.7490000000003</v>
      </c>
      <c r="J392" s="36">
        <f t="shared" si="62"/>
        <v>2443.7490000000003</v>
      </c>
    </row>
    <row r="393" spans="2:10" ht="15.6" x14ac:dyDescent="0.3">
      <c r="B393" s="72"/>
      <c r="C393" s="78" t="s">
        <v>266</v>
      </c>
      <c r="D393" s="74" t="s">
        <v>0</v>
      </c>
      <c r="E393" s="75">
        <v>1</v>
      </c>
      <c r="F393" s="76">
        <f>'Прайс для расчета'!E429</f>
        <v>8531.25</v>
      </c>
      <c r="G393" s="77">
        <f t="shared" si="61"/>
        <v>8531.25</v>
      </c>
      <c r="I393" s="135">
        <f>'Прайс для расчета (М)'!E429</f>
        <v>4265.625</v>
      </c>
      <c r="J393" s="36">
        <f t="shared" si="62"/>
        <v>4265.625</v>
      </c>
    </row>
    <row r="394" spans="2:10" ht="15.6" x14ac:dyDescent="0.3">
      <c r="B394" s="72"/>
      <c r="C394" s="78" t="s">
        <v>461</v>
      </c>
      <c r="D394" s="74" t="s">
        <v>0</v>
      </c>
      <c r="E394" s="75">
        <v>1</v>
      </c>
      <c r="F394" s="76">
        <f>'Прайс для расчета'!E430</f>
        <v>1890</v>
      </c>
      <c r="G394" s="77">
        <f t="shared" si="61"/>
        <v>1890</v>
      </c>
      <c r="I394" s="135">
        <f>'Прайс для расчета (М)'!E430</f>
        <v>945</v>
      </c>
      <c r="J394" s="36">
        <f t="shared" si="62"/>
        <v>945</v>
      </c>
    </row>
    <row r="395" spans="2:10" ht="15.6" x14ac:dyDescent="0.3">
      <c r="B395" s="72"/>
      <c r="C395" s="78" t="s">
        <v>269</v>
      </c>
      <c r="D395" s="74" t="s">
        <v>0</v>
      </c>
      <c r="E395" s="75">
        <v>1</v>
      </c>
      <c r="F395" s="76">
        <f>'Прайс для расчета'!E431</f>
        <v>1995</v>
      </c>
      <c r="G395" s="77">
        <f t="shared" si="61"/>
        <v>1995</v>
      </c>
      <c r="I395" s="135">
        <f>'Прайс для расчета (М)'!E431</f>
        <v>997.5</v>
      </c>
      <c r="J395" s="36">
        <f t="shared" si="62"/>
        <v>997.5</v>
      </c>
    </row>
    <row r="396" spans="2:10" ht="15.6" x14ac:dyDescent="0.3">
      <c r="B396" s="72"/>
      <c r="C396" s="78" t="s">
        <v>694</v>
      </c>
      <c r="D396" s="74" t="s">
        <v>0</v>
      </c>
      <c r="E396" s="75">
        <v>1</v>
      </c>
      <c r="F396" s="76">
        <f>'Прайс для расчета'!E432</f>
        <v>2940</v>
      </c>
      <c r="G396" s="77">
        <f t="shared" si="61"/>
        <v>2940</v>
      </c>
      <c r="I396" s="135">
        <f>'Прайс для расчета (М)'!E432</f>
        <v>1470</v>
      </c>
      <c r="J396" s="36">
        <f t="shared" si="62"/>
        <v>1470</v>
      </c>
    </row>
    <row r="397" spans="2:10" ht="15.6" x14ac:dyDescent="0.3">
      <c r="B397" s="72"/>
      <c r="C397" s="78" t="s">
        <v>695</v>
      </c>
      <c r="D397" s="74" t="s">
        <v>0</v>
      </c>
      <c r="E397" s="75">
        <v>1</v>
      </c>
      <c r="F397" s="76">
        <f>'Прайс для расчета'!E433</f>
        <v>2310</v>
      </c>
      <c r="G397" s="77">
        <f t="shared" si="61"/>
        <v>2310</v>
      </c>
      <c r="I397" s="135">
        <f>'Прайс для расчета (М)'!E433</f>
        <v>1155</v>
      </c>
      <c r="J397" s="36">
        <f t="shared" si="62"/>
        <v>1155</v>
      </c>
    </row>
    <row r="398" spans="2:10" ht="15.6" x14ac:dyDescent="0.3">
      <c r="B398" s="72"/>
      <c r="C398" s="78" t="s">
        <v>462</v>
      </c>
      <c r="D398" s="74" t="s">
        <v>0</v>
      </c>
      <c r="E398" s="75">
        <v>1</v>
      </c>
      <c r="F398" s="76">
        <f>'Прайс для расчета'!E434</f>
        <v>3255</v>
      </c>
      <c r="G398" s="77">
        <f t="shared" si="61"/>
        <v>3255</v>
      </c>
      <c r="I398" s="135">
        <f>'Прайс для расчета (М)'!E434</f>
        <v>1627.5</v>
      </c>
      <c r="J398" s="36">
        <f t="shared" si="62"/>
        <v>1627.5</v>
      </c>
    </row>
    <row r="399" spans="2:10" ht="15.6" x14ac:dyDescent="0.3">
      <c r="B399" s="72"/>
      <c r="C399" s="78" t="s">
        <v>696</v>
      </c>
      <c r="D399" s="74" t="s">
        <v>0</v>
      </c>
      <c r="E399" s="75">
        <v>1</v>
      </c>
      <c r="F399" s="76">
        <f>'Прайс для расчета'!E435</f>
        <v>9450</v>
      </c>
      <c r="G399" s="77">
        <f t="shared" si="61"/>
        <v>9450</v>
      </c>
      <c r="I399" s="135">
        <f>'Прайс для расчета (М)'!E435</f>
        <v>4725</v>
      </c>
      <c r="J399" s="36">
        <f t="shared" si="62"/>
        <v>4725</v>
      </c>
    </row>
    <row r="400" spans="2:10" ht="15.6" x14ac:dyDescent="0.3">
      <c r="B400" s="72"/>
      <c r="C400" s="78" t="s">
        <v>697</v>
      </c>
      <c r="D400" s="74" t="s">
        <v>0</v>
      </c>
      <c r="E400" s="75">
        <v>1</v>
      </c>
      <c r="F400" s="76">
        <f>'Прайс для расчета'!E436</f>
        <v>1000</v>
      </c>
      <c r="G400" s="77">
        <f t="shared" si="61"/>
        <v>1000</v>
      </c>
      <c r="I400" s="135">
        <f>'Прайс для расчета (М)'!E436</f>
        <v>1400</v>
      </c>
      <c r="J400" s="36">
        <f t="shared" si="62"/>
        <v>1400</v>
      </c>
    </row>
    <row r="401" spans="2:10" ht="15.6" x14ac:dyDescent="0.3">
      <c r="B401" s="72"/>
      <c r="C401" s="78" t="s">
        <v>905</v>
      </c>
      <c r="D401" s="74" t="s">
        <v>0</v>
      </c>
      <c r="E401" s="75">
        <v>1</v>
      </c>
      <c r="F401" s="76">
        <f>'Прайс для расчета'!E437</f>
        <v>4042.5</v>
      </c>
      <c r="G401" s="77">
        <f t="shared" ref="G401" si="63">F401*E401</f>
        <v>4042.5</v>
      </c>
      <c r="I401" s="135">
        <f>'Прайс для расчета (М)'!E437</f>
        <v>2021.25</v>
      </c>
      <c r="J401" s="36">
        <f t="shared" si="62"/>
        <v>2021.25</v>
      </c>
    </row>
    <row r="402" spans="2:10" ht="15.6" x14ac:dyDescent="0.3">
      <c r="B402" s="72"/>
      <c r="C402" s="78" t="s">
        <v>139</v>
      </c>
      <c r="D402" s="74" t="s">
        <v>0</v>
      </c>
      <c r="E402" s="75">
        <v>1</v>
      </c>
      <c r="F402" s="76">
        <f>'Прайс для расчета'!E438</f>
        <v>2047.5</v>
      </c>
      <c r="G402" s="77">
        <f t="shared" si="61"/>
        <v>2047.5</v>
      </c>
      <c r="I402" s="135">
        <f>'Прайс для расчета (М)'!E438</f>
        <v>1023.75</v>
      </c>
      <c r="J402" s="36">
        <f t="shared" si="62"/>
        <v>1023.75</v>
      </c>
    </row>
    <row r="403" spans="2:10" ht="15.6" x14ac:dyDescent="0.3">
      <c r="B403" s="72"/>
      <c r="C403" s="78" t="s">
        <v>463</v>
      </c>
      <c r="D403" s="74" t="s">
        <v>0</v>
      </c>
      <c r="E403" s="75">
        <v>1</v>
      </c>
      <c r="F403" s="76">
        <f>'Прайс для расчета'!E439</f>
        <v>787.5</v>
      </c>
      <c r="G403" s="77">
        <f t="shared" si="61"/>
        <v>787.5</v>
      </c>
      <c r="I403" s="135">
        <f>'Прайс для расчета (М)'!E439</f>
        <v>393.75</v>
      </c>
      <c r="J403" s="36">
        <f t="shared" si="62"/>
        <v>393.75</v>
      </c>
    </row>
    <row r="404" spans="2:10" ht="15.6" x14ac:dyDescent="0.3">
      <c r="B404" s="72"/>
      <c r="C404" s="78" t="s">
        <v>464</v>
      </c>
      <c r="D404" s="74" t="s">
        <v>0</v>
      </c>
      <c r="E404" s="75">
        <v>1</v>
      </c>
      <c r="F404" s="76">
        <f>'Прайс для расчета'!E440</f>
        <v>1050</v>
      </c>
      <c r="G404" s="77">
        <f t="shared" si="61"/>
        <v>1050</v>
      </c>
      <c r="I404" s="135">
        <f>'Прайс для расчета (М)'!E440</f>
        <v>525</v>
      </c>
      <c r="J404" s="36">
        <f t="shared" si="62"/>
        <v>525</v>
      </c>
    </row>
    <row r="405" spans="2:10" ht="15.6" x14ac:dyDescent="0.3">
      <c r="B405" s="72"/>
      <c r="C405" s="78" t="s">
        <v>906</v>
      </c>
      <c r="D405" s="74" t="s">
        <v>0</v>
      </c>
      <c r="E405" s="75">
        <v>1</v>
      </c>
      <c r="F405" s="76">
        <f>'Прайс для расчета'!E441</f>
        <v>2887.5</v>
      </c>
      <c r="G405" s="77">
        <f t="shared" ref="G405" si="64">F405*E405</f>
        <v>2887.5</v>
      </c>
      <c r="I405" s="135">
        <f>'Прайс для расчета (М)'!E441</f>
        <v>1443.75</v>
      </c>
      <c r="J405" s="36">
        <f t="shared" si="62"/>
        <v>1443.75</v>
      </c>
    </row>
    <row r="406" spans="2:10" ht="15.6" x14ac:dyDescent="0.3">
      <c r="B406" s="72"/>
      <c r="C406" s="78" t="s">
        <v>465</v>
      </c>
      <c r="D406" s="74" t="s">
        <v>0</v>
      </c>
      <c r="E406" s="75">
        <v>1</v>
      </c>
      <c r="F406" s="76">
        <f>'Прайс для расчета'!E442</f>
        <v>367.5</v>
      </c>
      <c r="G406" s="77">
        <f t="shared" si="61"/>
        <v>367.5</v>
      </c>
      <c r="I406" s="135">
        <f>'Прайс для расчета (М)'!E442</f>
        <v>183.75</v>
      </c>
      <c r="J406" s="36">
        <f t="shared" si="62"/>
        <v>183.75</v>
      </c>
    </row>
    <row r="407" spans="2:10" ht="15.6" x14ac:dyDescent="0.3">
      <c r="B407" s="72"/>
      <c r="C407" s="78" t="s">
        <v>466</v>
      </c>
      <c r="D407" s="74" t="s">
        <v>3</v>
      </c>
      <c r="E407" s="75">
        <v>1</v>
      </c>
      <c r="F407" s="76">
        <f>'Прайс для расчета'!E443</f>
        <v>624.75</v>
      </c>
      <c r="G407" s="77">
        <f t="shared" si="61"/>
        <v>624.75</v>
      </c>
      <c r="I407" s="135">
        <f>'Прайс для расчета (М)'!E443</f>
        <v>312.375</v>
      </c>
      <c r="J407" s="36">
        <f t="shared" si="62"/>
        <v>312.375</v>
      </c>
    </row>
    <row r="408" spans="2:10" ht="15.6" x14ac:dyDescent="0.3">
      <c r="B408" s="72"/>
      <c r="C408" s="78" t="s">
        <v>467</v>
      </c>
      <c r="D408" s="74" t="s">
        <v>3</v>
      </c>
      <c r="E408" s="75">
        <v>1</v>
      </c>
      <c r="F408" s="76">
        <f>'Прайс для расчета'!E444</f>
        <v>729.75</v>
      </c>
      <c r="G408" s="77">
        <f t="shared" si="61"/>
        <v>729.75</v>
      </c>
      <c r="I408" s="135">
        <f>'Прайс для расчета (М)'!E444</f>
        <v>364.875</v>
      </c>
      <c r="J408" s="36">
        <f t="shared" si="62"/>
        <v>364.875</v>
      </c>
    </row>
    <row r="409" spans="2:10" ht="15.6" x14ac:dyDescent="0.3">
      <c r="B409" s="72"/>
      <c r="C409" s="78" t="s">
        <v>176</v>
      </c>
      <c r="D409" s="74" t="s">
        <v>0</v>
      </c>
      <c r="E409" s="75">
        <v>1</v>
      </c>
      <c r="F409" s="76">
        <f>'Прайс для расчета'!E445</f>
        <v>94.5</v>
      </c>
      <c r="G409" s="77">
        <f t="shared" si="61"/>
        <v>94.5</v>
      </c>
      <c r="I409" s="135">
        <f>'Прайс для расчета (М)'!E445</f>
        <v>47.25</v>
      </c>
      <c r="J409" s="36">
        <f t="shared" si="62"/>
        <v>47.25</v>
      </c>
    </row>
    <row r="410" spans="2:10" ht="15.6" x14ac:dyDescent="0.3">
      <c r="B410" s="72"/>
      <c r="C410" s="78" t="s">
        <v>698</v>
      </c>
      <c r="D410" s="74" t="s">
        <v>0</v>
      </c>
      <c r="E410" s="75">
        <v>1</v>
      </c>
      <c r="F410" s="76">
        <f>'Прайс для расчета'!E446</f>
        <v>2236.5</v>
      </c>
      <c r="G410" s="77">
        <f t="shared" si="61"/>
        <v>2236.5</v>
      </c>
      <c r="I410" s="135">
        <f>'Прайс для расчета (М)'!E446</f>
        <v>1118.25</v>
      </c>
      <c r="J410" s="36">
        <f t="shared" si="62"/>
        <v>1118.25</v>
      </c>
    </row>
    <row r="411" spans="2:10" ht="15.6" x14ac:dyDescent="0.3">
      <c r="B411" s="72"/>
      <c r="C411" s="78" t="s">
        <v>468</v>
      </c>
      <c r="D411" s="74" t="s">
        <v>0</v>
      </c>
      <c r="E411" s="75">
        <v>1</v>
      </c>
      <c r="F411" s="76">
        <f>'Прайс для расчета'!E447</f>
        <v>1207.5</v>
      </c>
      <c r="G411" s="77">
        <f t="shared" si="61"/>
        <v>1207.5</v>
      </c>
      <c r="I411" s="135">
        <f>'Прайс для расчета (М)'!E447</f>
        <v>603.75</v>
      </c>
      <c r="J411" s="36">
        <f t="shared" si="62"/>
        <v>603.75</v>
      </c>
    </row>
    <row r="412" spans="2:10" ht="15.6" x14ac:dyDescent="0.3">
      <c r="B412" s="72"/>
      <c r="C412" s="78" t="s">
        <v>469</v>
      </c>
      <c r="D412" s="74" t="s">
        <v>0</v>
      </c>
      <c r="E412" s="75">
        <v>1</v>
      </c>
      <c r="F412" s="76">
        <f>'Прайс для расчета'!E448</f>
        <v>1207.5</v>
      </c>
      <c r="G412" s="77">
        <f t="shared" si="61"/>
        <v>1207.5</v>
      </c>
      <c r="I412" s="135">
        <f>'Прайс для расчета (М)'!E448</f>
        <v>603.75</v>
      </c>
      <c r="J412" s="36">
        <f t="shared" si="62"/>
        <v>603.75</v>
      </c>
    </row>
    <row r="413" spans="2:10" ht="15.6" x14ac:dyDescent="0.3">
      <c r="B413" s="72"/>
      <c r="C413" s="78" t="s">
        <v>699</v>
      </c>
      <c r="D413" s="74" t="s">
        <v>0</v>
      </c>
      <c r="E413" s="75">
        <v>1</v>
      </c>
      <c r="F413" s="76">
        <f>'Прайс для расчета'!E449</f>
        <v>3885</v>
      </c>
      <c r="G413" s="77">
        <f t="shared" si="61"/>
        <v>3885</v>
      </c>
      <c r="I413" s="135">
        <f>'Прайс для расчета (М)'!E449</f>
        <v>1942.5</v>
      </c>
      <c r="J413" s="36">
        <f t="shared" si="62"/>
        <v>1942.5</v>
      </c>
    </row>
    <row r="414" spans="2:10" ht="15.6" x14ac:dyDescent="0.3">
      <c r="B414" s="72"/>
      <c r="C414" s="78" t="s">
        <v>700</v>
      </c>
      <c r="D414" s="74" t="s">
        <v>0</v>
      </c>
      <c r="E414" s="75">
        <v>1</v>
      </c>
      <c r="F414" s="76">
        <f>'Прайс для расчета'!E450</f>
        <v>1837.5</v>
      </c>
      <c r="G414" s="77">
        <f t="shared" si="61"/>
        <v>1837.5</v>
      </c>
      <c r="I414" s="135">
        <f>'Прайс для расчета (М)'!E450</f>
        <v>918.75</v>
      </c>
      <c r="J414" s="36">
        <f t="shared" si="62"/>
        <v>918.75</v>
      </c>
    </row>
    <row r="415" spans="2:10" ht="15.6" x14ac:dyDescent="0.3">
      <c r="B415" s="72"/>
      <c r="C415" s="78" t="s">
        <v>470</v>
      </c>
      <c r="D415" s="74" t="s">
        <v>0</v>
      </c>
      <c r="E415" s="75">
        <v>1</v>
      </c>
      <c r="F415" s="76">
        <f>'Прайс для расчета'!E451</f>
        <v>1207.5</v>
      </c>
      <c r="G415" s="77">
        <f t="shared" si="61"/>
        <v>1207.5</v>
      </c>
      <c r="I415" s="135">
        <f>'Прайс для расчета (М)'!E451</f>
        <v>603.75</v>
      </c>
      <c r="J415" s="36">
        <f t="shared" si="62"/>
        <v>603.75</v>
      </c>
    </row>
    <row r="416" spans="2:10" ht="15.6" x14ac:dyDescent="0.3">
      <c r="B416" s="72"/>
      <c r="C416" s="78" t="s">
        <v>140</v>
      </c>
      <c r="D416" s="74" t="s">
        <v>0</v>
      </c>
      <c r="E416" s="75">
        <v>1</v>
      </c>
      <c r="F416" s="76">
        <f>'Прайс для расчета'!E452</f>
        <v>1890</v>
      </c>
      <c r="G416" s="77">
        <f t="shared" si="61"/>
        <v>1890</v>
      </c>
      <c r="I416" s="135">
        <f>'Прайс для расчета (М)'!E452</f>
        <v>945</v>
      </c>
      <c r="J416" s="36">
        <f t="shared" ref="J416:J443" si="65">I416*E416</f>
        <v>945</v>
      </c>
    </row>
    <row r="417" spans="2:10" ht="15.6" x14ac:dyDescent="0.3">
      <c r="B417" s="72"/>
      <c r="C417" s="78" t="s">
        <v>471</v>
      </c>
      <c r="D417" s="74" t="s">
        <v>0</v>
      </c>
      <c r="E417" s="75">
        <v>1</v>
      </c>
      <c r="F417" s="76">
        <f>'Прайс для расчета'!E453</f>
        <v>1260</v>
      </c>
      <c r="G417" s="77">
        <f t="shared" si="61"/>
        <v>1260</v>
      </c>
      <c r="I417" s="135">
        <f>'Прайс для расчета (М)'!E453</f>
        <v>630</v>
      </c>
      <c r="J417" s="36">
        <f t="shared" si="65"/>
        <v>630</v>
      </c>
    </row>
    <row r="418" spans="2:10" ht="15.6" x14ac:dyDescent="0.3">
      <c r="B418" s="72"/>
      <c r="C418" s="78" t="s">
        <v>549</v>
      </c>
      <c r="D418" s="74" t="s">
        <v>0</v>
      </c>
      <c r="E418" s="75">
        <v>1</v>
      </c>
      <c r="F418" s="76">
        <f>'Прайс для расчета'!E454</f>
        <v>3097.5</v>
      </c>
      <c r="G418" s="77">
        <f t="shared" ref="G418:G443" si="66">F418*E418</f>
        <v>3097.5</v>
      </c>
      <c r="I418" s="135">
        <f>'Прайс для расчета (М)'!E454</f>
        <v>1548.75</v>
      </c>
      <c r="J418" s="36">
        <f t="shared" si="65"/>
        <v>1548.75</v>
      </c>
    </row>
    <row r="419" spans="2:10" ht="15.6" x14ac:dyDescent="0.3">
      <c r="B419" s="72"/>
      <c r="C419" s="78" t="s">
        <v>472</v>
      </c>
      <c r="D419" s="74" t="s">
        <v>0</v>
      </c>
      <c r="E419" s="75">
        <v>1</v>
      </c>
      <c r="F419" s="76">
        <f>'Прайс для расчета'!E455</f>
        <v>1890</v>
      </c>
      <c r="G419" s="77">
        <f t="shared" si="66"/>
        <v>1890</v>
      </c>
      <c r="I419" s="135">
        <f>'Прайс для расчета (М)'!E455</f>
        <v>945</v>
      </c>
      <c r="J419" s="36">
        <f t="shared" si="65"/>
        <v>945</v>
      </c>
    </row>
    <row r="420" spans="2:10" ht="15.6" x14ac:dyDescent="0.3">
      <c r="B420" s="72"/>
      <c r="C420" s="78" t="s">
        <v>134</v>
      </c>
      <c r="D420" s="74" t="s">
        <v>3</v>
      </c>
      <c r="E420" s="75" t="e">
        <f>F7</f>
        <v>#REF!</v>
      </c>
      <c r="F420" s="76">
        <f>'Прайс для расчета'!E456</f>
        <v>2079</v>
      </c>
      <c r="G420" s="77" t="e">
        <f t="shared" si="66"/>
        <v>#REF!</v>
      </c>
      <c r="I420" s="135">
        <f>'Прайс для расчета (М)'!E456</f>
        <v>1039.5</v>
      </c>
      <c r="J420" s="36" t="e">
        <f t="shared" si="65"/>
        <v>#REF!</v>
      </c>
    </row>
    <row r="421" spans="2:10" ht="15.6" x14ac:dyDescent="0.3">
      <c r="B421" s="72"/>
      <c r="C421" s="78" t="s">
        <v>550</v>
      </c>
      <c r="D421" s="74" t="s">
        <v>0</v>
      </c>
      <c r="E421" s="75">
        <v>1</v>
      </c>
      <c r="F421" s="76">
        <f>'Прайс для расчета'!E457</f>
        <v>1312.5</v>
      </c>
      <c r="G421" s="77">
        <f t="shared" si="66"/>
        <v>1312.5</v>
      </c>
      <c r="I421" s="135">
        <f>'Прайс для расчета (М)'!E457</f>
        <v>656.25</v>
      </c>
      <c r="J421" s="36">
        <f t="shared" si="65"/>
        <v>656.25</v>
      </c>
    </row>
    <row r="422" spans="2:10" ht="15.6" x14ac:dyDescent="0.3">
      <c r="B422" s="72"/>
      <c r="C422" s="78" t="s">
        <v>551</v>
      </c>
      <c r="D422" s="74" t="s">
        <v>0</v>
      </c>
      <c r="E422" s="75">
        <v>1</v>
      </c>
      <c r="F422" s="76">
        <f>'Прайс для расчета'!E458</f>
        <v>2362.5</v>
      </c>
      <c r="G422" s="77">
        <f t="shared" si="66"/>
        <v>2362.5</v>
      </c>
      <c r="I422" s="135">
        <f>'Прайс для расчета (М)'!E458</f>
        <v>1181.25</v>
      </c>
      <c r="J422" s="36">
        <f t="shared" si="65"/>
        <v>1181.25</v>
      </c>
    </row>
    <row r="423" spans="2:10" ht="15.6" x14ac:dyDescent="0.3">
      <c r="B423" s="72"/>
      <c r="C423" s="78" t="s">
        <v>135</v>
      </c>
      <c r="D423" s="74" t="s">
        <v>0</v>
      </c>
      <c r="E423" s="75">
        <v>1</v>
      </c>
      <c r="F423" s="76">
        <f>'Прайс для расчета'!E459</f>
        <v>2467.5</v>
      </c>
      <c r="G423" s="77">
        <f t="shared" si="66"/>
        <v>2467.5</v>
      </c>
      <c r="I423" s="135">
        <f>'Прайс для расчета (М)'!E459</f>
        <v>1233.75</v>
      </c>
      <c r="J423" s="36">
        <f t="shared" si="65"/>
        <v>1233.75</v>
      </c>
    </row>
    <row r="424" spans="2:10" ht="15.6" x14ac:dyDescent="0.3">
      <c r="B424" s="72"/>
      <c r="C424" s="78" t="s">
        <v>552</v>
      </c>
      <c r="D424" s="74" t="s">
        <v>0</v>
      </c>
      <c r="E424" s="75">
        <v>1</v>
      </c>
      <c r="F424" s="76">
        <f>'Прайс для расчета'!E460</f>
        <v>1470</v>
      </c>
      <c r="G424" s="77">
        <f t="shared" si="66"/>
        <v>1470</v>
      </c>
      <c r="I424" s="135">
        <f>'Прайс для расчета (М)'!E460</f>
        <v>735</v>
      </c>
      <c r="J424" s="36">
        <f t="shared" si="65"/>
        <v>735</v>
      </c>
    </row>
    <row r="425" spans="2:10" ht="15.6" x14ac:dyDescent="0.3">
      <c r="B425" s="72"/>
      <c r="C425" s="78" t="s">
        <v>553</v>
      </c>
      <c r="D425" s="74" t="s">
        <v>0</v>
      </c>
      <c r="E425" s="75">
        <v>1</v>
      </c>
      <c r="F425" s="76">
        <f>'Прайс для расчета'!E461</f>
        <v>2934.75</v>
      </c>
      <c r="G425" s="77">
        <f t="shared" si="66"/>
        <v>2934.75</v>
      </c>
      <c r="I425" s="135">
        <f>'Прайс для расчета (М)'!E461</f>
        <v>1467.375</v>
      </c>
      <c r="J425" s="36">
        <f t="shared" si="65"/>
        <v>1467.375</v>
      </c>
    </row>
    <row r="426" spans="2:10" ht="15.6" x14ac:dyDescent="0.3">
      <c r="B426" s="72"/>
      <c r="C426" s="78" t="s">
        <v>554</v>
      </c>
      <c r="D426" s="74" t="s">
        <v>166</v>
      </c>
      <c r="E426" s="75">
        <v>1</v>
      </c>
      <c r="F426" s="76">
        <f>'Прайс для расчета'!E462</f>
        <v>7140</v>
      </c>
      <c r="G426" s="77">
        <f t="shared" si="66"/>
        <v>7140</v>
      </c>
      <c r="I426" s="135">
        <f>'Прайс для расчета (М)'!E462</f>
        <v>3570</v>
      </c>
      <c r="J426" s="36">
        <f t="shared" si="65"/>
        <v>3570</v>
      </c>
    </row>
    <row r="427" spans="2:10" ht="15.6" x14ac:dyDescent="0.3">
      <c r="B427" s="72"/>
      <c r="C427" s="78" t="s">
        <v>167</v>
      </c>
      <c r="D427" s="74" t="s">
        <v>0</v>
      </c>
      <c r="E427" s="75">
        <v>1</v>
      </c>
      <c r="F427" s="76">
        <f>'Прайс для расчета'!E463</f>
        <v>3255</v>
      </c>
      <c r="G427" s="77">
        <f t="shared" si="66"/>
        <v>3255</v>
      </c>
      <c r="I427" s="135">
        <f>'Прайс для расчета (М)'!E463</f>
        <v>1627.5</v>
      </c>
      <c r="J427" s="36">
        <f t="shared" si="65"/>
        <v>1627.5</v>
      </c>
    </row>
    <row r="428" spans="2:10" ht="15.6" x14ac:dyDescent="0.3">
      <c r="B428" s="72"/>
      <c r="C428" s="78" t="s">
        <v>473</v>
      </c>
      <c r="D428" s="74" t="s">
        <v>0</v>
      </c>
      <c r="E428" s="75">
        <v>1</v>
      </c>
      <c r="F428" s="76">
        <f>'Прайс для расчета'!E464</f>
        <v>472.5</v>
      </c>
      <c r="G428" s="77">
        <f t="shared" si="66"/>
        <v>472.5</v>
      </c>
      <c r="I428" s="135">
        <f>'Прайс для расчета (М)'!E464</f>
        <v>236.25</v>
      </c>
      <c r="J428" s="36">
        <f t="shared" si="65"/>
        <v>236.25</v>
      </c>
    </row>
    <row r="429" spans="2:10" ht="15.6" x14ac:dyDescent="0.3">
      <c r="B429" s="72"/>
      <c r="C429" s="78" t="s">
        <v>555</v>
      </c>
      <c r="D429" s="74" t="s">
        <v>0</v>
      </c>
      <c r="E429" s="75">
        <v>1</v>
      </c>
      <c r="F429" s="76">
        <f>'Прайс для расчета'!E465</f>
        <v>162.75</v>
      </c>
      <c r="G429" s="77">
        <f t="shared" si="66"/>
        <v>162.75</v>
      </c>
      <c r="I429" s="135">
        <f>'Прайс для расчета (М)'!E465</f>
        <v>81.375</v>
      </c>
      <c r="J429" s="36">
        <f t="shared" si="65"/>
        <v>81.375</v>
      </c>
    </row>
    <row r="430" spans="2:10" ht="15.6" x14ac:dyDescent="0.3">
      <c r="B430" s="72"/>
      <c r="C430" s="78" t="s">
        <v>556</v>
      </c>
      <c r="D430" s="74" t="s">
        <v>0</v>
      </c>
      <c r="E430" s="75">
        <v>1</v>
      </c>
      <c r="F430" s="76">
        <f>'Прайс для расчета'!E466</f>
        <v>162.75</v>
      </c>
      <c r="G430" s="77">
        <f t="shared" si="66"/>
        <v>162.75</v>
      </c>
      <c r="I430" s="135">
        <f>'Прайс для расчета (М)'!E466</f>
        <v>81.375</v>
      </c>
      <c r="J430" s="36">
        <f t="shared" si="65"/>
        <v>81.375</v>
      </c>
    </row>
    <row r="431" spans="2:10" ht="15.6" x14ac:dyDescent="0.3">
      <c r="B431" s="72"/>
      <c r="C431" s="78" t="s">
        <v>557</v>
      </c>
      <c r="D431" s="74" t="s">
        <v>0</v>
      </c>
      <c r="E431" s="75">
        <v>1</v>
      </c>
      <c r="F431" s="76">
        <f>'Прайс для расчета'!E467</f>
        <v>162.75</v>
      </c>
      <c r="G431" s="77">
        <f t="shared" si="66"/>
        <v>162.75</v>
      </c>
      <c r="I431" s="135">
        <f>'Прайс для расчета (М)'!E467</f>
        <v>81.375</v>
      </c>
      <c r="J431" s="36">
        <f t="shared" si="65"/>
        <v>81.375</v>
      </c>
    </row>
    <row r="432" spans="2:10" ht="15.6" x14ac:dyDescent="0.3">
      <c r="B432" s="72"/>
      <c r="C432" s="78" t="s">
        <v>701</v>
      </c>
      <c r="D432" s="74" t="s">
        <v>0</v>
      </c>
      <c r="E432" s="75">
        <v>1</v>
      </c>
      <c r="F432" s="76">
        <f>'Прайс для расчета'!E468</f>
        <v>162.75</v>
      </c>
      <c r="G432" s="77">
        <f t="shared" si="66"/>
        <v>162.75</v>
      </c>
      <c r="I432" s="135">
        <f>'Прайс для расчета (М)'!E468</f>
        <v>81.375</v>
      </c>
      <c r="J432" s="36">
        <f t="shared" si="65"/>
        <v>81.375</v>
      </c>
    </row>
    <row r="433" spans="2:10" ht="15.6" x14ac:dyDescent="0.3">
      <c r="B433" s="72"/>
      <c r="C433" s="78" t="s">
        <v>558</v>
      </c>
      <c r="D433" s="74" t="s">
        <v>0</v>
      </c>
      <c r="E433" s="75">
        <v>1</v>
      </c>
      <c r="F433" s="76">
        <f>'Прайс для расчета'!E469</f>
        <v>162.75</v>
      </c>
      <c r="G433" s="77">
        <f t="shared" si="66"/>
        <v>162.75</v>
      </c>
      <c r="I433" s="135">
        <f>'Прайс для расчета (М)'!E469</f>
        <v>81.375</v>
      </c>
      <c r="J433" s="36">
        <f t="shared" si="65"/>
        <v>81.375</v>
      </c>
    </row>
    <row r="434" spans="2:10" ht="15.6" x14ac:dyDescent="0.3">
      <c r="B434" s="72"/>
      <c r="C434" s="78" t="s">
        <v>559</v>
      </c>
      <c r="D434" s="74" t="s">
        <v>0</v>
      </c>
      <c r="E434" s="75">
        <v>1</v>
      </c>
      <c r="F434" s="76">
        <f>'Прайс для расчета'!E470</f>
        <v>2262.75</v>
      </c>
      <c r="G434" s="77">
        <f t="shared" si="66"/>
        <v>2262.75</v>
      </c>
      <c r="I434" s="135">
        <f>'Прайс для расчета (М)'!E470</f>
        <v>1131.375</v>
      </c>
      <c r="J434" s="36">
        <f t="shared" si="65"/>
        <v>1131.375</v>
      </c>
    </row>
    <row r="435" spans="2:10" ht="15.6" x14ac:dyDescent="0.3">
      <c r="B435" s="72"/>
      <c r="C435" s="78" t="s">
        <v>560</v>
      </c>
      <c r="D435" s="74" t="s">
        <v>0</v>
      </c>
      <c r="E435" s="75">
        <v>1</v>
      </c>
      <c r="F435" s="76">
        <f>'Прайс для расчета'!E471</f>
        <v>1527.75</v>
      </c>
      <c r="G435" s="77">
        <f t="shared" si="66"/>
        <v>1527.75</v>
      </c>
      <c r="I435" s="135">
        <f>'Прайс для расчета (М)'!E471</f>
        <v>763.875</v>
      </c>
      <c r="J435" s="36">
        <f t="shared" si="65"/>
        <v>763.875</v>
      </c>
    </row>
    <row r="436" spans="2:10" ht="15.6" x14ac:dyDescent="0.3">
      <c r="B436" s="72"/>
      <c r="C436" s="78" t="s">
        <v>561</v>
      </c>
      <c r="D436" s="74" t="s">
        <v>0</v>
      </c>
      <c r="E436" s="75">
        <f>E434</f>
        <v>1</v>
      </c>
      <c r="F436" s="76">
        <f>'Прайс для расчета'!E472</f>
        <v>897.75</v>
      </c>
      <c r="G436" s="77">
        <f t="shared" si="66"/>
        <v>897.75</v>
      </c>
      <c r="I436" s="135">
        <f>'Прайс для расчета (М)'!E472</f>
        <v>448.875</v>
      </c>
      <c r="J436" s="36">
        <f t="shared" si="65"/>
        <v>448.875</v>
      </c>
    </row>
    <row r="437" spans="2:10" ht="15.6" x14ac:dyDescent="0.3">
      <c r="B437" s="72"/>
      <c r="C437" s="78" t="s">
        <v>474</v>
      </c>
      <c r="D437" s="74" t="s">
        <v>0</v>
      </c>
      <c r="E437" s="75">
        <f>E435</f>
        <v>1</v>
      </c>
      <c r="F437" s="76">
        <f>'Прайс для расчета'!E473</f>
        <v>687.75</v>
      </c>
      <c r="G437" s="77">
        <f t="shared" si="66"/>
        <v>687.75</v>
      </c>
      <c r="I437" s="135">
        <f>'Прайс для расчета (М)'!E473</f>
        <v>343.875</v>
      </c>
      <c r="J437" s="36">
        <f t="shared" si="65"/>
        <v>343.875</v>
      </c>
    </row>
    <row r="438" spans="2:10" ht="15.6" x14ac:dyDescent="0.3">
      <c r="B438" s="72"/>
      <c r="C438" s="78" t="s">
        <v>562</v>
      </c>
      <c r="D438" s="74" t="s">
        <v>0</v>
      </c>
      <c r="E438" s="75">
        <v>1</v>
      </c>
      <c r="F438" s="76">
        <f>'Прайс для расчета'!E474</f>
        <v>3045</v>
      </c>
      <c r="G438" s="77">
        <f t="shared" si="66"/>
        <v>3045</v>
      </c>
      <c r="I438" s="135">
        <f>'Прайс для расчета (М)'!E474</f>
        <v>1522.5</v>
      </c>
      <c r="J438" s="36">
        <f t="shared" si="65"/>
        <v>1522.5</v>
      </c>
    </row>
    <row r="439" spans="2:10" ht="15.6" x14ac:dyDescent="0.3">
      <c r="B439" s="72"/>
      <c r="C439" s="78" t="s">
        <v>563</v>
      </c>
      <c r="D439" s="74" t="s">
        <v>0</v>
      </c>
      <c r="E439" s="75">
        <f>E438</f>
        <v>1</v>
      </c>
      <c r="F439" s="76">
        <f>'Прайс для расчета'!E475</f>
        <v>1417.5</v>
      </c>
      <c r="G439" s="77">
        <f t="shared" si="66"/>
        <v>1417.5</v>
      </c>
      <c r="I439" s="135">
        <f>'Прайс для расчета (М)'!E475</f>
        <v>708.75</v>
      </c>
      <c r="J439" s="36">
        <f t="shared" si="65"/>
        <v>708.75</v>
      </c>
    </row>
    <row r="440" spans="2:10" ht="15.6" x14ac:dyDescent="0.3">
      <c r="B440" s="72"/>
      <c r="C440" s="78" t="s">
        <v>702</v>
      </c>
      <c r="D440" s="74" t="s">
        <v>0</v>
      </c>
      <c r="E440" s="75">
        <v>1</v>
      </c>
      <c r="F440" s="76">
        <f>'Прайс для расчета'!E476</f>
        <v>2982</v>
      </c>
      <c r="G440" s="77">
        <f t="shared" si="66"/>
        <v>2982</v>
      </c>
      <c r="I440" s="135">
        <f>'Прайс для расчета (М)'!E476</f>
        <v>1491</v>
      </c>
      <c r="J440" s="36">
        <f t="shared" si="65"/>
        <v>1491</v>
      </c>
    </row>
    <row r="441" spans="2:10" ht="15.6" x14ac:dyDescent="0.3">
      <c r="B441" s="72"/>
      <c r="C441" s="78" t="s">
        <v>703</v>
      </c>
      <c r="D441" s="74" t="s">
        <v>0</v>
      </c>
      <c r="E441" s="75">
        <v>1</v>
      </c>
      <c r="F441" s="76">
        <f>'Прайс для расчета'!E477</f>
        <v>745.5</v>
      </c>
      <c r="G441" s="77">
        <f t="shared" si="66"/>
        <v>745.5</v>
      </c>
      <c r="I441" s="135">
        <f>'Прайс для расчета (М)'!E477</f>
        <v>372.75</v>
      </c>
      <c r="J441" s="36">
        <f t="shared" si="65"/>
        <v>372.75</v>
      </c>
    </row>
    <row r="442" spans="2:10" ht="15.6" x14ac:dyDescent="0.3">
      <c r="B442" s="72"/>
      <c r="C442" s="78" t="s">
        <v>449</v>
      </c>
      <c r="D442" s="74" t="s">
        <v>3</v>
      </c>
      <c r="E442" s="75">
        <v>1</v>
      </c>
      <c r="F442" s="76">
        <f>'Прайс для расчета'!E410</f>
        <v>240.05099999999999</v>
      </c>
      <c r="G442" s="77">
        <f t="shared" si="66"/>
        <v>240.05099999999999</v>
      </c>
      <c r="I442" s="135">
        <f>'Прайс для расчета (М)'!E410</f>
        <v>120.02549999999999</v>
      </c>
      <c r="J442" s="36">
        <f t="shared" si="65"/>
        <v>120.02549999999999</v>
      </c>
    </row>
    <row r="443" spans="2:10" ht="15.6" x14ac:dyDescent="0.3">
      <c r="B443" s="72"/>
      <c r="C443" s="78" t="s">
        <v>450</v>
      </c>
      <c r="D443" s="74" t="s">
        <v>3</v>
      </c>
      <c r="E443" s="75">
        <v>1</v>
      </c>
      <c r="F443" s="76">
        <f>'Прайс для расчета'!E411</f>
        <v>326.529</v>
      </c>
      <c r="G443" s="77">
        <f t="shared" si="66"/>
        <v>326.529</v>
      </c>
      <c r="I443" s="135">
        <f>'Прайс для расчета (М)'!E411</f>
        <v>163.2645</v>
      </c>
      <c r="J443" s="36">
        <f t="shared" si="65"/>
        <v>163.2645</v>
      </c>
    </row>
    <row r="444" spans="2:10" ht="20.100000000000001" customHeight="1" x14ac:dyDescent="0.25">
      <c r="B444" s="110">
        <f>IF(SUM(B384:B443)&gt;0,1,0)</f>
        <v>0</v>
      </c>
      <c r="C444" s="245" t="s">
        <v>545</v>
      </c>
      <c r="D444" s="245"/>
      <c r="E444" s="245"/>
      <c r="F444" s="245"/>
      <c r="G444" s="157">
        <f>SUMIF(B384:B443,1,G384:G443)</f>
        <v>0</v>
      </c>
      <c r="J444" s="36">
        <f>SUMIF(B384:B443,1,J384:J443)</f>
        <v>0</v>
      </c>
    </row>
    <row r="445" spans="2:10" ht="15.6" x14ac:dyDescent="0.25">
      <c r="B445" s="153">
        <f>IF(SUM(B446:B453)&gt;0,1,0)</f>
        <v>0</v>
      </c>
      <c r="C445" s="148" t="s">
        <v>711</v>
      </c>
      <c r="D445" s="154" t="s">
        <v>179</v>
      </c>
      <c r="E445" s="154" t="s">
        <v>180</v>
      </c>
      <c r="F445" s="154" t="s">
        <v>1</v>
      </c>
      <c r="G445" s="154" t="s">
        <v>181</v>
      </c>
      <c r="I445" s="36" t="s">
        <v>1</v>
      </c>
      <c r="J445" s="36" t="s">
        <v>181</v>
      </c>
    </row>
    <row r="446" spans="2:10" ht="15.6" x14ac:dyDescent="0.3">
      <c r="B446" s="72"/>
      <c r="C446" s="78" t="s">
        <v>1078</v>
      </c>
      <c r="D446" s="74" t="s">
        <v>2</v>
      </c>
      <c r="E446" s="75">
        <f>$A$4</f>
        <v>0</v>
      </c>
      <c r="F446" s="76">
        <f>'Прайс для расчета'!E412</f>
        <v>110.25</v>
      </c>
      <c r="G446" s="77">
        <f t="shared" ref="G446:G453" si="67">F446*E446</f>
        <v>0</v>
      </c>
      <c r="I446" s="135">
        <f>'Прайс для расчета (М)'!E412</f>
        <v>55.125</v>
      </c>
      <c r="J446" s="36">
        <f t="shared" ref="J446:J453" si="68">I446*E446</f>
        <v>0</v>
      </c>
    </row>
    <row r="447" spans="2:10" ht="15.6" x14ac:dyDescent="0.3">
      <c r="B447" s="72"/>
      <c r="C447" s="78" t="s">
        <v>688</v>
      </c>
      <c r="D447" s="74" t="s">
        <v>0</v>
      </c>
      <c r="E447" s="75">
        <v>1</v>
      </c>
      <c r="F447" s="76">
        <f>'Прайс для расчета'!E413</f>
        <v>1714.65</v>
      </c>
      <c r="G447" s="77">
        <f t="shared" si="67"/>
        <v>1714.65</v>
      </c>
      <c r="I447" s="135">
        <f>'Прайс для расчета (М)'!E413</f>
        <v>857.32500000000005</v>
      </c>
      <c r="J447" s="36">
        <f t="shared" si="68"/>
        <v>857.32500000000005</v>
      </c>
    </row>
    <row r="448" spans="2:10" ht="15.6" x14ac:dyDescent="0.3">
      <c r="B448" s="72"/>
      <c r="C448" s="78" t="s">
        <v>452</v>
      </c>
      <c r="D448" s="74" t="s">
        <v>0</v>
      </c>
      <c r="E448" s="75">
        <v>1</v>
      </c>
      <c r="F448" s="76">
        <f>'Прайс для расчета'!E414</f>
        <v>2571.9749999999999</v>
      </c>
      <c r="G448" s="77">
        <f t="shared" si="67"/>
        <v>2571.9749999999999</v>
      </c>
      <c r="I448" s="135">
        <f>'Прайс для расчета (М)'!E414</f>
        <v>1285.9875</v>
      </c>
      <c r="J448" s="36">
        <f t="shared" si="68"/>
        <v>1285.9875</v>
      </c>
    </row>
    <row r="449" spans="2:10" ht="15.6" x14ac:dyDescent="0.3">
      <c r="B449" s="72"/>
      <c r="C449" s="78" t="s">
        <v>453</v>
      </c>
      <c r="D449" s="74" t="s">
        <v>0</v>
      </c>
      <c r="E449" s="75">
        <v>1</v>
      </c>
      <c r="F449" s="76">
        <f>'Прайс для расчета'!E415</f>
        <v>857.32500000000005</v>
      </c>
      <c r="G449" s="77">
        <f t="shared" si="67"/>
        <v>857.32500000000005</v>
      </c>
      <c r="I449" s="135">
        <f>'Прайс для расчета (М)'!E415</f>
        <v>428.66250000000002</v>
      </c>
      <c r="J449" s="36">
        <f t="shared" si="68"/>
        <v>428.66250000000002</v>
      </c>
    </row>
    <row r="450" spans="2:10" ht="15.6" x14ac:dyDescent="0.3">
      <c r="B450" s="72"/>
      <c r="C450" s="78" t="s">
        <v>454</v>
      </c>
      <c r="D450" s="74" t="s">
        <v>885</v>
      </c>
      <c r="E450" s="75">
        <v>1</v>
      </c>
      <c r="F450" s="76">
        <f>'Прайс для расчета'!E416</f>
        <v>1470</v>
      </c>
      <c r="G450" s="77">
        <f t="shared" si="67"/>
        <v>1470</v>
      </c>
      <c r="I450" s="135">
        <f>'Прайс для расчета (М)'!E416</f>
        <v>735</v>
      </c>
      <c r="J450" s="36">
        <f t="shared" si="68"/>
        <v>735</v>
      </c>
    </row>
    <row r="451" spans="2:10" ht="15.6" x14ac:dyDescent="0.3">
      <c r="B451" s="72"/>
      <c r="C451" s="78" t="s">
        <v>455</v>
      </c>
      <c r="D451" s="74" t="s">
        <v>886</v>
      </c>
      <c r="E451" s="75">
        <v>1</v>
      </c>
      <c r="F451" s="76">
        <f>'Прайс для расчета'!E417</f>
        <v>315</v>
      </c>
      <c r="G451" s="77">
        <f t="shared" si="67"/>
        <v>315</v>
      </c>
      <c r="I451" s="135">
        <f>'Прайс для расчета (М)'!E417</f>
        <v>157.5</v>
      </c>
      <c r="J451" s="36">
        <f t="shared" si="68"/>
        <v>157.5</v>
      </c>
    </row>
    <row r="452" spans="2:10" ht="15.6" x14ac:dyDescent="0.3">
      <c r="B452" s="72"/>
      <c r="C452" s="78" t="s">
        <v>456</v>
      </c>
      <c r="D452" s="74" t="s">
        <v>886</v>
      </c>
      <c r="E452" s="75">
        <v>1</v>
      </c>
      <c r="F452" s="76">
        <f>'Прайс для расчета'!E418</f>
        <v>1575</v>
      </c>
      <c r="G452" s="77">
        <f t="shared" si="67"/>
        <v>1575</v>
      </c>
      <c r="I452" s="135">
        <f>'Прайс для расчета (М)'!E418</f>
        <v>787.5</v>
      </c>
      <c r="J452" s="36">
        <f t="shared" si="68"/>
        <v>787.5</v>
      </c>
    </row>
    <row r="453" spans="2:10" ht="15.6" x14ac:dyDescent="0.3">
      <c r="B453" s="72"/>
      <c r="C453" s="78" t="s">
        <v>689</v>
      </c>
      <c r="D453" s="74" t="s">
        <v>886</v>
      </c>
      <c r="E453" s="75">
        <v>1</v>
      </c>
      <c r="F453" s="76">
        <f>'Прайс для расчета'!E419</f>
        <v>315</v>
      </c>
      <c r="G453" s="77">
        <f t="shared" si="67"/>
        <v>315</v>
      </c>
      <c r="I453" s="135">
        <f>'Прайс для расчета (М)'!E419</f>
        <v>157.5</v>
      </c>
      <c r="J453" s="36">
        <f t="shared" si="68"/>
        <v>157.5</v>
      </c>
    </row>
    <row r="454" spans="2:10" ht="20.100000000000001" customHeight="1" x14ac:dyDescent="0.25">
      <c r="B454" s="110">
        <f>IF(SUM(B446:B453)&gt;0,1,0)</f>
        <v>0</v>
      </c>
      <c r="C454" s="245" t="s">
        <v>546</v>
      </c>
      <c r="D454" s="245"/>
      <c r="E454" s="245"/>
      <c r="F454" s="245"/>
      <c r="G454" s="157">
        <f>SUMIF(B446:B453,1,G446:G453)</f>
        <v>0</v>
      </c>
      <c r="J454" s="36">
        <f>SUMIF(B446:B453,1,J446:J453)</f>
        <v>0</v>
      </c>
    </row>
    <row r="455" spans="2:10" ht="20.100000000000001" customHeight="1" x14ac:dyDescent="0.25">
      <c r="B455" s="153">
        <f>IF(SUM(B10:B454)&gt;0,1,0)</f>
        <v>0</v>
      </c>
      <c r="C455" s="260" t="s">
        <v>191</v>
      </c>
      <c r="D455" s="260"/>
      <c r="E455" s="260"/>
      <c r="F455" s="260"/>
      <c r="G455" s="155">
        <f>G137+G248+G382+G444+G454</f>
        <v>0</v>
      </c>
      <c r="J455" s="36">
        <f>J137+J248+J382+J444+J454</f>
        <v>0</v>
      </c>
    </row>
    <row r="456" spans="2:10" ht="20.100000000000001" customHeight="1" x14ac:dyDescent="0.25">
      <c r="B456" s="153" t="e">
        <f>IF(G456&gt;0,1,0)</f>
        <v>#REF!</v>
      </c>
      <c r="C456" s="260" t="s">
        <v>241</v>
      </c>
      <c r="D456" s="260"/>
      <c r="E456" s="260"/>
      <c r="F456" s="260"/>
      <c r="G456" s="156" t="e">
        <f>#REF!</f>
        <v>#REF!</v>
      </c>
      <c r="J456" s="136">
        <v>0</v>
      </c>
    </row>
    <row r="457" spans="2:10" ht="20.100000000000001" customHeight="1" x14ac:dyDescent="0.25">
      <c r="B457" s="153" t="e">
        <f>IF(G457&gt;0,1,0)</f>
        <v>#REF!</v>
      </c>
      <c r="C457" s="260" t="s">
        <v>240</v>
      </c>
      <c r="D457" s="260"/>
      <c r="E457" s="260"/>
      <c r="F457" s="260"/>
      <c r="G457" s="155" t="e">
        <f>G455-(G455*G456)</f>
        <v>#REF!</v>
      </c>
      <c r="J457" s="36">
        <f>J455-(J455*J456)</f>
        <v>0</v>
      </c>
    </row>
    <row r="458" spans="2:10" x14ac:dyDescent="0.25">
      <c r="B458"/>
      <c r="C458" s="1"/>
      <c r="E458" s="15"/>
    </row>
    <row r="459" spans="2:10" ht="15.6" x14ac:dyDescent="0.25">
      <c r="B459"/>
      <c r="C459" s="3" t="s">
        <v>238</v>
      </c>
      <c r="E459" s="16" t="s">
        <v>239</v>
      </c>
    </row>
    <row r="460" spans="2:10" x14ac:dyDescent="0.25">
      <c r="B460"/>
      <c r="C460" s="1"/>
    </row>
    <row r="461" spans="2:10" x14ac:dyDescent="0.25">
      <c r="B461"/>
      <c r="C461" s="4" t="s">
        <v>185</v>
      </c>
      <c r="E461" s="17" t="s">
        <v>185</v>
      </c>
    </row>
    <row r="462" spans="2:10" x14ac:dyDescent="0.25">
      <c r="B462"/>
      <c r="C462" s="5" t="s">
        <v>690</v>
      </c>
      <c r="E462" s="15" t="s">
        <v>186</v>
      </c>
    </row>
    <row r="463" spans="2:10" x14ac:dyDescent="0.25">
      <c r="C463" s="1"/>
      <c r="E463" s="15"/>
    </row>
  </sheetData>
  <autoFilter ref="B9:H457"/>
  <mergeCells count="12">
    <mergeCell ref="C1:C4"/>
    <mergeCell ref="C456:F456"/>
    <mergeCell ref="C457:F457"/>
    <mergeCell ref="C248:F248"/>
    <mergeCell ref="C137:F137"/>
    <mergeCell ref="D8:G8"/>
    <mergeCell ref="C5:G5"/>
    <mergeCell ref="C6:C7"/>
    <mergeCell ref="C455:F455"/>
    <mergeCell ref="C454:F454"/>
    <mergeCell ref="C444:F444"/>
    <mergeCell ref="C382:F382"/>
  </mergeCells>
  <phoneticPr fontId="8" type="noConversion"/>
  <conditionalFormatting sqref="B10:G11 B60:G60 B69:G69 B87:G87 B97:G97 B105:G105 B126:G126 B165:G165 B209:G209 B287:G287 B331:G331 B339:G339 B353:G353 B373:G373 B454:G457 B219:G219 B33:G33 B13:B32 G13:G32 B389:B443 G389:G443 B220:E235 G220:G246 B444:G445 B382:G383 B248:G250 B137:G139 B239:E246 B236:B238 D236:E238">
    <cfRule type="expression" dxfId="466" priority="70">
      <formula>$B10=0</formula>
    </cfRule>
  </conditionalFormatting>
  <conditionalFormatting sqref="B12 G12">
    <cfRule type="expression" dxfId="465" priority="59">
      <formula>$B12=0</formula>
    </cfRule>
  </conditionalFormatting>
  <conditionalFormatting sqref="B34:B59 G34:G59">
    <cfRule type="expression" dxfId="464" priority="57">
      <formula>$B34=0</formula>
    </cfRule>
  </conditionalFormatting>
  <conditionalFormatting sqref="B61:E68 G61:G68">
    <cfRule type="expression" dxfId="463" priority="56">
      <formula>$B61=0</formula>
    </cfRule>
  </conditionalFormatting>
  <conditionalFormatting sqref="B70:E86 G70:G86">
    <cfRule type="expression" dxfId="462" priority="55">
      <formula>$B70=0</formula>
    </cfRule>
  </conditionalFormatting>
  <conditionalFormatting sqref="B88:G96">
    <cfRule type="expression" dxfId="461" priority="54">
      <formula>$B88=0</formula>
    </cfRule>
  </conditionalFormatting>
  <conditionalFormatting sqref="B98:G104">
    <cfRule type="expression" dxfId="460" priority="53">
      <formula>$B98=0</formula>
    </cfRule>
  </conditionalFormatting>
  <conditionalFormatting sqref="B106:G125">
    <cfRule type="expression" dxfId="459" priority="52">
      <formula>$B106=0</formula>
    </cfRule>
  </conditionalFormatting>
  <conditionalFormatting sqref="B127:G136">
    <cfRule type="expression" dxfId="458" priority="51">
      <formula>$B127=0</formula>
    </cfRule>
  </conditionalFormatting>
  <conditionalFormatting sqref="B140:E140 B152:E163 B151:D151 B149:E150 B141 D141:E141 B144:B148 D144:E148 B142:E143 G140:G163">
    <cfRule type="expression" dxfId="457" priority="50">
      <formula>$B140=0</formula>
    </cfRule>
  </conditionalFormatting>
  <conditionalFormatting sqref="B164:E164 G164">
    <cfRule type="expression" dxfId="456" priority="49">
      <formula>$B164=0</formula>
    </cfRule>
  </conditionalFormatting>
  <conditionalFormatting sqref="G166:G208 B166:E166 B172:E175 B167:B171 D167:E171 B187:E208 B176:B186 D176:E186">
    <cfRule type="expression" dxfId="455" priority="48">
      <formula>$B166=0</formula>
    </cfRule>
  </conditionalFormatting>
  <conditionalFormatting sqref="B210:E218 G210:G218">
    <cfRule type="expression" dxfId="454" priority="47">
      <formula>$B210=0</formula>
    </cfRule>
  </conditionalFormatting>
  <conditionalFormatting sqref="G247">
    <cfRule type="expression" dxfId="453" priority="46">
      <formula>$B247=0</formula>
    </cfRule>
  </conditionalFormatting>
  <conditionalFormatting sqref="B251:B286 G251:G286">
    <cfRule type="expression" dxfId="452" priority="45">
      <formula>$B251=0</formula>
    </cfRule>
  </conditionalFormatting>
  <conditionalFormatting sqref="B293:B330">
    <cfRule type="expression" dxfId="451" priority="44">
      <formula>$B293=0</formula>
    </cfRule>
  </conditionalFormatting>
  <conditionalFormatting sqref="B332:E338 G332:G338">
    <cfRule type="expression" dxfId="450" priority="43">
      <formula>$B332=0</formula>
    </cfRule>
  </conditionalFormatting>
  <conditionalFormatting sqref="B340:B352 G340:G352">
    <cfRule type="expression" dxfId="449" priority="42">
      <formula>$B340=0</formula>
    </cfRule>
  </conditionalFormatting>
  <conditionalFormatting sqref="B354:E372 G354:G372">
    <cfRule type="expression" dxfId="448" priority="41">
      <formula>$B354=0</formula>
    </cfRule>
  </conditionalFormatting>
  <conditionalFormatting sqref="B374:E381 G374:G381">
    <cfRule type="expression" dxfId="447" priority="40">
      <formula>$B374=0</formula>
    </cfRule>
  </conditionalFormatting>
  <conditionalFormatting sqref="B384:B388 G384:G388">
    <cfRule type="expression" dxfId="446" priority="38">
      <formula>$B384=0</formula>
    </cfRule>
  </conditionalFormatting>
  <conditionalFormatting sqref="B446:E453 G446:G453">
    <cfRule type="expression" dxfId="445" priority="37">
      <formula>$B446=0</formula>
    </cfRule>
  </conditionalFormatting>
  <conditionalFormatting sqref="B247:E247">
    <cfRule type="expression" dxfId="444" priority="36">
      <formula>$B247=0</formula>
    </cfRule>
  </conditionalFormatting>
  <conditionalFormatting sqref="B288:B292 G288:G330">
    <cfRule type="expression" dxfId="443" priority="33">
      <formula>$B288=0</formula>
    </cfRule>
  </conditionalFormatting>
  <conditionalFormatting sqref="E151">
    <cfRule type="expression" dxfId="442" priority="34">
      <formula>$B151=0</formula>
    </cfRule>
  </conditionalFormatting>
  <conditionalFormatting sqref="C141">
    <cfRule type="expression" dxfId="441" priority="32">
      <formula>$B141=0</formula>
    </cfRule>
  </conditionalFormatting>
  <conditionalFormatting sqref="C144:C148">
    <cfRule type="expression" dxfId="440" priority="31">
      <formula>$B144=0</formula>
    </cfRule>
  </conditionalFormatting>
  <conditionalFormatting sqref="C12:F32">
    <cfRule type="expression" dxfId="439" priority="30">
      <formula>$B12=0</formula>
    </cfRule>
  </conditionalFormatting>
  <conditionalFormatting sqref="C34:F59">
    <cfRule type="expression" dxfId="438" priority="29">
      <formula>$B34=0</formula>
    </cfRule>
  </conditionalFormatting>
  <conditionalFormatting sqref="F61:F68">
    <cfRule type="expression" dxfId="437" priority="28">
      <formula>$B61=0</formula>
    </cfRule>
  </conditionalFormatting>
  <conditionalFormatting sqref="F70:F86">
    <cfRule type="expression" dxfId="436" priority="27">
      <formula>$B70=0</formula>
    </cfRule>
  </conditionalFormatting>
  <conditionalFormatting sqref="F140:F164">
    <cfRule type="expression" dxfId="435" priority="26">
      <formula>$B140=0</formula>
    </cfRule>
  </conditionalFormatting>
  <conditionalFormatting sqref="F166:F208">
    <cfRule type="expression" dxfId="434" priority="25">
      <formula>$B166=0</formula>
    </cfRule>
  </conditionalFormatting>
  <conditionalFormatting sqref="F210:F218">
    <cfRule type="expression" dxfId="433" priority="24">
      <formula>$B210=0</formula>
    </cfRule>
  </conditionalFormatting>
  <conditionalFormatting sqref="F220:F247">
    <cfRule type="expression" dxfId="432" priority="23">
      <formula>$B220=0</formula>
    </cfRule>
  </conditionalFormatting>
  <conditionalFormatting sqref="D251:D269">
    <cfRule type="expression" dxfId="431" priority="20">
      <formula>$B251=0</formula>
    </cfRule>
  </conditionalFormatting>
  <conditionalFormatting sqref="C251:C269">
    <cfRule type="expression" dxfId="430" priority="21">
      <formula>$B251=0</formula>
    </cfRule>
  </conditionalFormatting>
  <conditionalFormatting sqref="E251:F251 C270:E286 E252:E269 F252:F286">
    <cfRule type="expression" dxfId="429" priority="22">
      <formula>$B251=0</formula>
    </cfRule>
  </conditionalFormatting>
  <conditionalFormatting sqref="C288:F288 C290:F290 D289:F289 C293:F330 D291:F292">
    <cfRule type="expression" dxfId="428" priority="19">
      <formula>$B288=0</formula>
    </cfRule>
  </conditionalFormatting>
  <conditionalFormatting sqref="F332:F338">
    <cfRule type="expression" dxfId="427" priority="18">
      <formula>$B332=0</formula>
    </cfRule>
  </conditionalFormatting>
  <conditionalFormatting sqref="C340:F352">
    <cfRule type="expression" dxfId="426" priority="17">
      <formula>$B340=0</formula>
    </cfRule>
  </conditionalFormatting>
  <conditionalFormatting sqref="F354:F372">
    <cfRule type="expression" dxfId="425" priority="16">
      <formula>$B354=0</formula>
    </cfRule>
  </conditionalFormatting>
  <conditionalFormatting sqref="F374:F381">
    <cfRule type="expression" dxfId="424" priority="15">
      <formula>$B374=0</formula>
    </cfRule>
  </conditionalFormatting>
  <conditionalFormatting sqref="C384:F443">
    <cfRule type="expression" dxfId="423" priority="14">
      <formula>$B384=0</formula>
    </cfRule>
  </conditionalFormatting>
  <conditionalFormatting sqref="F446:F453">
    <cfRule type="expression" dxfId="422" priority="13">
      <formula>$B446=0</formula>
    </cfRule>
  </conditionalFormatting>
  <conditionalFormatting sqref="C289">
    <cfRule type="expression" dxfId="421" priority="12">
      <formula>$B289=0</formula>
    </cfRule>
  </conditionalFormatting>
  <conditionalFormatting sqref="C291">
    <cfRule type="expression" dxfId="420" priority="10">
      <formula>$B291=0</formula>
    </cfRule>
  </conditionalFormatting>
  <conditionalFormatting sqref="C292">
    <cfRule type="expression" dxfId="419" priority="9">
      <formula>$B292=0</formula>
    </cfRule>
  </conditionalFormatting>
  <conditionalFormatting sqref="C183:C184">
    <cfRule type="expression" dxfId="418" priority="8">
      <formula>$B183=0</formula>
    </cfRule>
  </conditionalFormatting>
  <conditionalFormatting sqref="C167:C171">
    <cfRule type="expression" dxfId="417" priority="7">
      <formula>$B167=0</formula>
    </cfRule>
  </conditionalFormatting>
  <conditionalFormatting sqref="C186">
    <cfRule type="expression" dxfId="416" priority="6">
      <formula>$B186=0</formula>
    </cfRule>
  </conditionalFormatting>
  <conditionalFormatting sqref="C185">
    <cfRule type="expression" dxfId="415" priority="5">
      <formula>$B185=0</formula>
    </cfRule>
  </conditionalFormatting>
  <conditionalFormatting sqref="C176:C177 C179:C182">
    <cfRule type="expression" dxfId="414" priority="4">
      <formula>$B176=0</formula>
    </cfRule>
  </conditionalFormatting>
  <conditionalFormatting sqref="C178">
    <cfRule type="expression" dxfId="413" priority="3">
      <formula>$B178=0</formula>
    </cfRule>
  </conditionalFormatting>
  <conditionalFormatting sqref="C236:C237">
    <cfRule type="expression" dxfId="412" priority="2">
      <formula>$B236=0</formula>
    </cfRule>
  </conditionalFormatting>
  <conditionalFormatting sqref="C238">
    <cfRule type="expression" dxfId="411" priority="1">
      <formula>$B238=0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ignoredErrors>
    <ignoredError sqref="A3 A5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1111111">
    <tabColor rgb="FF00B050"/>
    <pageSetUpPr fitToPage="1"/>
  </sheetPr>
  <dimension ref="A1:U381"/>
  <sheetViews>
    <sheetView topLeftCell="A214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T3" s="35">
        <f>G362</f>
        <v>0</v>
      </c>
      <c r="U3" s="35">
        <f>J362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0</v>
      </c>
      <c r="U6" s="35">
        <f>J372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I7" s="36" t="e">
        <f>#REF!</f>
        <v>#REF!</v>
      </c>
      <c r="J7" s="36">
        <v>0</v>
      </c>
      <c r="T7" s="35">
        <f>G373</f>
        <v>0</v>
      </c>
      <c r="U7" s="35">
        <f>J373</f>
        <v>0</v>
      </c>
    </row>
    <row r="8" spans="1:21" x14ac:dyDescent="0.25">
      <c r="C8" s="70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>
        <f>J375</f>
        <v>0</v>
      </c>
    </row>
    <row r="9" spans="1:21" ht="15.6" x14ac:dyDescent="0.3">
      <c r="B9" s="110"/>
      <c r="C9" s="137"/>
      <c r="D9" s="112"/>
      <c r="E9" s="112"/>
      <c r="F9" s="112"/>
      <c r="G9" s="112"/>
      <c r="U9" s="36"/>
    </row>
    <row r="10" spans="1:21" ht="15.6" x14ac:dyDescent="0.25">
      <c r="B10" s="153">
        <f>IF(SUM(B11:B136)&gt;0,1,0)</f>
        <v>0</v>
      </c>
      <c r="C10" s="164" t="s">
        <v>712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x14ac:dyDescent="0.25">
      <c r="B12" s="59"/>
      <c r="C12" s="65" t="s">
        <v>305</v>
      </c>
      <c r="D12" s="61" t="s">
        <v>3</v>
      </c>
      <c r="E12" s="62">
        <f>$A$2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25">
      <c r="B13" s="59"/>
      <c r="C13" s="65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5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5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5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5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5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5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5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5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5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5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5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5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5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5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5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5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5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5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x14ac:dyDescent="0.25">
      <c r="B70" s="59"/>
      <c r="C70" s="65" t="s">
        <v>334</v>
      </c>
      <c r="D70" s="61" t="s">
        <v>3</v>
      </c>
      <c r="E70" s="62">
        <f>$A$2</f>
        <v>0</v>
      </c>
      <c r="F70" s="63">
        <f>'Прайс для расчета'!E62</f>
        <v>110.25</v>
      </c>
      <c r="G70" s="64">
        <f t="shared" ref="G70:G86" si="9">F70*E70</f>
        <v>0</v>
      </c>
      <c r="I70" s="135">
        <f>'Прайс для расчета (М)'!E62</f>
        <v>55.125</v>
      </c>
      <c r="J70" s="36">
        <f t="shared" ref="J70:J86" si="10">I70*E70</f>
        <v>0</v>
      </c>
    </row>
    <row r="71" spans="2:10" ht="15.6" x14ac:dyDescent="0.25">
      <c r="B71" s="59"/>
      <c r="C71" s="65" t="s">
        <v>335</v>
      </c>
      <c r="D71" s="61" t="s">
        <v>2</v>
      </c>
      <c r="E71" s="62">
        <f t="shared" ref="E71:E76" si="11">$A$4</f>
        <v>0</v>
      </c>
      <c r="F71" s="63">
        <f>'Прайс для расчета'!E63</f>
        <v>248.99699999999999</v>
      </c>
      <c r="G71" s="64">
        <f t="shared" si="9"/>
        <v>0</v>
      </c>
      <c r="I71" s="135">
        <f>'Прайс для расчета (М)'!E63</f>
        <v>124.49849999999999</v>
      </c>
      <c r="J71" s="36">
        <f t="shared" si="10"/>
        <v>0</v>
      </c>
    </row>
    <row r="72" spans="2:10" ht="15.6" x14ac:dyDescent="0.25">
      <c r="B72" s="59"/>
      <c r="C72" s="65" t="s">
        <v>336</v>
      </c>
      <c r="D72" s="61" t="s">
        <v>2</v>
      </c>
      <c r="E72" s="62">
        <f t="shared" si="11"/>
        <v>0</v>
      </c>
      <c r="F72" s="63">
        <f>'Прайс для расчета'!E64</f>
        <v>205.75799999999998</v>
      </c>
      <c r="G72" s="64">
        <f t="shared" si="9"/>
        <v>0</v>
      </c>
      <c r="I72" s="135">
        <f>'Прайс для расчета (М)'!E64</f>
        <v>102.87899999999999</v>
      </c>
      <c r="J72" s="36">
        <f t="shared" si="10"/>
        <v>0</v>
      </c>
    </row>
    <row r="73" spans="2:10" ht="15.6" x14ac:dyDescent="0.25">
      <c r="B73" s="59"/>
      <c r="C73" s="65" t="s">
        <v>481</v>
      </c>
      <c r="D73" s="61" t="s">
        <v>2</v>
      </c>
      <c r="E73" s="62">
        <f t="shared" si="11"/>
        <v>0</v>
      </c>
      <c r="F73" s="63">
        <f>'Прайс для расчета'!E65</f>
        <v>155.06400000000002</v>
      </c>
      <c r="G73" s="64">
        <f t="shared" si="9"/>
        <v>0</v>
      </c>
      <c r="I73" s="135">
        <f>'Прайс для расчета (М)'!E65</f>
        <v>77.532000000000011</v>
      </c>
      <c r="J73" s="36">
        <f t="shared" si="10"/>
        <v>0</v>
      </c>
    </row>
    <row r="74" spans="2:10" ht="15.6" x14ac:dyDescent="0.25">
      <c r="B74" s="59"/>
      <c r="C74" s="65" t="s">
        <v>482</v>
      </c>
      <c r="D74" s="61" t="s">
        <v>2</v>
      </c>
      <c r="E74" s="62">
        <f t="shared" si="11"/>
        <v>0</v>
      </c>
      <c r="F74" s="63">
        <f>'Прайс для расчета'!E66</f>
        <v>137.172</v>
      </c>
      <c r="G74" s="64">
        <f t="shared" si="9"/>
        <v>0</v>
      </c>
      <c r="I74" s="135">
        <f>'Прайс для расчета (М)'!E66</f>
        <v>68.585999999999999</v>
      </c>
      <c r="J74" s="36">
        <f t="shared" si="10"/>
        <v>0</v>
      </c>
    </row>
    <row r="75" spans="2:10" ht="15.6" x14ac:dyDescent="0.25">
      <c r="B75" s="59"/>
      <c r="C75" s="65" t="s">
        <v>483</v>
      </c>
      <c r="D75" s="61" t="s">
        <v>2</v>
      </c>
      <c r="E75" s="62">
        <f t="shared" si="11"/>
        <v>0</v>
      </c>
      <c r="F75" s="63">
        <f>'Прайс для расчета'!E67</f>
        <v>86.478000000000009</v>
      </c>
      <c r="G75" s="64">
        <f t="shared" si="9"/>
        <v>0</v>
      </c>
      <c r="I75" s="135">
        <f>'Прайс для расчета (М)'!E67</f>
        <v>43.239000000000004</v>
      </c>
      <c r="J75" s="36">
        <f t="shared" si="10"/>
        <v>0</v>
      </c>
    </row>
    <row r="76" spans="2:10" ht="15.6" x14ac:dyDescent="0.25">
      <c r="B76" s="59"/>
      <c r="C76" s="65" t="s">
        <v>484</v>
      </c>
      <c r="D76" s="61" t="s">
        <v>2</v>
      </c>
      <c r="E76" s="62">
        <f t="shared" si="11"/>
        <v>0</v>
      </c>
      <c r="F76" s="63">
        <f>'Прайс для расчета'!E68</f>
        <v>102.87899999999999</v>
      </c>
      <c r="G76" s="64">
        <f t="shared" si="9"/>
        <v>0</v>
      </c>
      <c r="I76" s="135">
        <f>'Прайс для расчета (М)'!E68</f>
        <v>51.439499999999995</v>
      </c>
      <c r="J76" s="36">
        <f t="shared" si="10"/>
        <v>0</v>
      </c>
    </row>
    <row r="77" spans="2:10" ht="15.6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x14ac:dyDescent="0.25">
      <c r="B78" s="59"/>
      <c r="C78" s="65" t="s">
        <v>661</v>
      </c>
      <c r="D78" s="61" t="s">
        <v>2</v>
      </c>
      <c r="E78" s="62">
        <f>$A$4</f>
        <v>0</v>
      </c>
      <c r="F78" s="63">
        <f>'Прайс для расчета'!E70</f>
        <v>377.22300000000001</v>
      </c>
      <c r="G78" s="64">
        <f t="shared" si="9"/>
        <v>0</v>
      </c>
      <c r="I78" s="135">
        <f>'Прайс для расчета (М)'!E70</f>
        <v>188.61150000000001</v>
      </c>
      <c r="J78" s="36">
        <f t="shared" si="10"/>
        <v>0</v>
      </c>
    </row>
    <row r="79" spans="2:10" ht="15.6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x14ac:dyDescent="0.25">
      <c r="B80" s="59"/>
      <c r="C80" s="65" t="s">
        <v>138</v>
      </c>
      <c r="D80" s="61" t="s">
        <v>3</v>
      </c>
      <c r="E80" s="62">
        <f t="shared" ref="E80:E86" si="12">$A$4</f>
        <v>0</v>
      </c>
      <c r="F80" s="63">
        <f>'Прайс для расчета'!E72</f>
        <v>204.75</v>
      </c>
      <c r="G80" s="64">
        <f t="shared" si="9"/>
        <v>0</v>
      </c>
      <c r="I80" s="135">
        <f>'Прайс для расчета (М)'!E72</f>
        <v>102.375</v>
      </c>
      <c r="J80" s="36">
        <f t="shared" si="10"/>
        <v>0</v>
      </c>
    </row>
    <row r="81" spans="2:10" ht="15.6" x14ac:dyDescent="0.25">
      <c r="B81" s="59"/>
      <c r="C81" s="65" t="s">
        <v>339</v>
      </c>
      <c r="D81" s="61" t="s">
        <v>2</v>
      </c>
      <c r="E81" s="62">
        <f t="shared" si="12"/>
        <v>0</v>
      </c>
      <c r="F81" s="63">
        <f>'Прайс для расчета'!E73</f>
        <v>274.34399999999999</v>
      </c>
      <c r="G81" s="64">
        <f t="shared" si="9"/>
        <v>0</v>
      </c>
      <c r="I81" s="135">
        <f>'Прайс для расчета (М)'!E73</f>
        <v>137.172</v>
      </c>
      <c r="J81" s="36">
        <f t="shared" si="10"/>
        <v>0</v>
      </c>
    </row>
    <row r="82" spans="2:10" ht="15.6" x14ac:dyDescent="0.25">
      <c r="B82" s="59"/>
      <c r="C82" s="65" t="s">
        <v>156</v>
      </c>
      <c r="D82" s="61" t="s">
        <v>2</v>
      </c>
      <c r="E82" s="62">
        <f t="shared" si="12"/>
        <v>0</v>
      </c>
      <c r="F82" s="63">
        <f>'Прайс для расчета'!E74</f>
        <v>223.65</v>
      </c>
      <c r="G82" s="64">
        <f t="shared" si="9"/>
        <v>0</v>
      </c>
      <c r="I82" s="135">
        <f>'Прайс для расчета (М)'!E74</f>
        <v>111.825</v>
      </c>
      <c r="J82" s="36">
        <f t="shared" si="10"/>
        <v>0</v>
      </c>
    </row>
    <row r="83" spans="2:10" ht="15.6" x14ac:dyDescent="0.25">
      <c r="B83" s="59"/>
      <c r="C83" s="65" t="s">
        <v>340</v>
      </c>
      <c r="D83" s="61" t="s">
        <v>2</v>
      </c>
      <c r="E83" s="62">
        <f t="shared" si="12"/>
        <v>0</v>
      </c>
      <c r="F83" s="63">
        <f>'Прайс для расчета'!E75</f>
        <v>506.94</v>
      </c>
      <c r="G83" s="64">
        <f t="shared" si="9"/>
        <v>0</v>
      </c>
      <c r="I83" s="135">
        <f>'Прайс для расчета (М)'!E75</f>
        <v>253.47</v>
      </c>
      <c r="J83" s="36">
        <f t="shared" si="10"/>
        <v>0</v>
      </c>
    </row>
    <row r="84" spans="2:10" ht="15.6" x14ac:dyDescent="0.25">
      <c r="B84" s="59"/>
      <c r="C84" s="65" t="s">
        <v>54</v>
      </c>
      <c r="D84" s="61" t="s">
        <v>2</v>
      </c>
      <c r="E84" s="62">
        <f t="shared" si="12"/>
        <v>0</v>
      </c>
      <c r="F84" s="63">
        <f>'Прайс для расчета'!E76</f>
        <v>591.92700000000002</v>
      </c>
      <c r="G84" s="64">
        <f t="shared" si="9"/>
        <v>0</v>
      </c>
      <c r="I84" s="135">
        <f>'Прайс для расчета (М)'!E76</f>
        <v>295.96350000000001</v>
      </c>
      <c r="J84" s="36">
        <f t="shared" si="10"/>
        <v>0</v>
      </c>
    </row>
    <row r="85" spans="2:10" ht="15.6" x14ac:dyDescent="0.25">
      <c r="B85" s="59"/>
      <c r="C85" s="65" t="s">
        <v>221</v>
      </c>
      <c r="D85" s="61" t="s">
        <v>2</v>
      </c>
      <c r="E85" s="62">
        <f t="shared" si="12"/>
        <v>0</v>
      </c>
      <c r="F85" s="63">
        <f>'Прайс для расчета'!E77</f>
        <v>210</v>
      </c>
      <c r="G85" s="64">
        <f t="shared" si="9"/>
        <v>0</v>
      </c>
      <c r="I85" s="135">
        <f>'Прайс для расчета (М)'!E77</f>
        <v>105</v>
      </c>
      <c r="J85" s="36">
        <f t="shared" si="10"/>
        <v>0</v>
      </c>
    </row>
    <row r="86" spans="2:10" ht="15.6" x14ac:dyDescent="0.25">
      <c r="B86" s="59"/>
      <c r="C86" s="65" t="s">
        <v>157</v>
      </c>
      <c r="D86" s="61" t="s">
        <v>2</v>
      </c>
      <c r="E86" s="62">
        <f t="shared" si="12"/>
        <v>0</v>
      </c>
      <c r="F86" s="63">
        <f>'Прайс для расчета'!E78</f>
        <v>240.05099999999999</v>
      </c>
      <c r="G86" s="64">
        <f t="shared" si="9"/>
        <v>0</v>
      </c>
      <c r="I86" s="135">
        <f>'Прайс для расчета (М)'!E78</f>
        <v>120.02549999999999</v>
      </c>
      <c r="J86" s="36">
        <f t="shared" si="10"/>
        <v>0</v>
      </c>
    </row>
    <row r="87" spans="2:10" ht="15.6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64" t="s">
        <v>654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/>
      <c r="C140" s="78" t="s">
        <v>1018</v>
      </c>
      <c r="D140" s="74" t="s">
        <v>2</v>
      </c>
      <c r="E140" s="75">
        <f t="shared" ref="E140:E164" si="21">$A$4</f>
        <v>0</v>
      </c>
      <c r="F140" s="63">
        <f>'Прайс для расчета'!E125</f>
        <v>94.5</v>
      </c>
      <c r="G140" s="64">
        <f t="shared" ref="G140:G164" si="22">F140*E140</f>
        <v>0</v>
      </c>
      <c r="I140" s="135">
        <f>'Прайс для расчета (М)'!E125</f>
        <v>47.25</v>
      </c>
      <c r="J140" s="36">
        <f t="shared" ref="J140:J164" si="23">I140*E140</f>
        <v>0</v>
      </c>
    </row>
    <row r="141" spans="2:10" ht="15.6" x14ac:dyDescent="0.3">
      <c r="B141" s="59"/>
      <c r="C141" s="69" t="s">
        <v>1128</v>
      </c>
      <c r="D141" s="74" t="s">
        <v>2</v>
      </c>
      <c r="E141" s="75">
        <f t="shared" si="21"/>
        <v>0</v>
      </c>
      <c r="F141" s="63">
        <f>'Прайс для расчета'!E126</f>
        <v>157.5</v>
      </c>
      <c r="G141" s="64">
        <f t="shared" ref="G141" si="24">F141*E141</f>
        <v>0</v>
      </c>
      <c r="I141" s="135">
        <f>'Прайс для расчета (М)'!E126</f>
        <v>78.75</v>
      </c>
      <c r="J141" s="36">
        <f t="shared" si="23"/>
        <v>0</v>
      </c>
    </row>
    <row r="142" spans="2:10" ht="15.6" x14ac:dyDescent="0.3">
      <c r="B142" s="59"/>
      <c r="C142" s="78" t="s">
        <v>1019</v>
      </c>
      <c r="D142" s="74" t="s">
        <v>2</v>
      </c>
      <c r="E142" s="75">
        <f t="shared" si="21"/>
        <v>0</v>
      </c>
      <c r="F142" s="63">
        <f>'Прайс для расчета'!E127</f>
        <v>114.45</v>
      </c>
      <c r="G142" s="64">
        <f t="shared" si="22"/>
        <v>0</v>
      </c>
      <c r="I142" s="135">
        <f>'Прайс для расчета (М)'!E127</f>
        <v>57.225000000000001</v>
      </c>
      <c r="J142" s="36">
        <f t="shared" si="23"/>
        <v>0</v>
      </c>
    </row>
    <row r="143" spans="2:10" ht="15.6" x14ac:dyDescent="0.3">
      <c r="B143" s="59"/>
      <c r="C143" s="78" t="s">
        <v>1034</v>
      </c>
      <c r="D143" s="74" t="s">
        <v>2</v>
      </c>
      <c r="E143" s="75">
        <f t="shared" si="21"/>
        <v>0</v>
      </c>
      <c r="F143" s="63">
        <f>'Прайс для расчета'!E128</f>
        <v>0</v>
      </c>
      <c r="G143" s="64">
        <f t="shared" ref="G143" si="25">F143*E143</f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59"/>
      <c r="C144" s="69" t="s">
        <v>930</v>
      </c>
      <c r="D144" s="74" t="s">
        <v>2</v>
      </c>
      <c r="E144" s="75">
        <f t="shared" si="21"/>
        <v>0</v>
      </c>
      <c r="F144" s="63">
        <f>'Прайс для расчета'!E129</f>
        <v>576.45000000000005</v>
      </c>
      <c r="G144" s="64">
        <f t="shared" si="22"/>
        <v>0</v>
      </c>
      <c r="I144" s="135">
        <f>'Прайс для расчета (М)'!E129</f>
        <v>288.22500000000002</v>
      </c>
      <c r="J144" s="36">
        <f t="shared" si="23"/>
        <v>0</v>
      </c>
    </row>
    <row r="145" spans="2:10" ht="15.6" x14ac:dyDescent="0.3">
      <c r="B145" s="59"/>
      <c r="C145" s="69" t="s">
        <v>931</v>
      </c>
      <c r="D145" s="74" t="s">
        <v>2</v>
      </c>
      <c r="E145" s="75">
        <f t="shared" si="21"/>
        <v>0</v>
      </c>
      <c r="F145" s="63">
        <f>'Прайс для расчета'!E130</f>
        <v>681.45</v>
      </c>
      <c r="G145" s="64">
        <f t="shared" si="22"/>
        <v>0</v>
      </c>
      <c r="I145" s="135">
        <f>'Прайс для расчета (М)'!E130</f>
        <v>340.72500000000002</v>
      </c>
      <c r="J145" s="36">
        <f t="shared" si="23"/>
        <v>0</v>
      </c>
    </row>
    <row r="146" spans="2:10" ht="15.6" x14ac:dyDescent="0.3">
      <c r="B146" s="59"/>
      <c r="C146" s="69" t="s">
        <v>932</v>
      </c>
      <c r="D146" s="74" t="s">
        <v>2</v>
      </c>
      <c r="E146" s="75">
        <f t="shared" si="21"/>
        <v>0</v>
      </c>
      <c r="F146" s="63">
        <f>'Прайс для расчета'!E131</f>
        <v>891.45</v>
      </c>
      <c r="G146" s="64">
        <f t="shared" si="22"/>
        <v>0</v>
      </c>
      <c r="I146" s="135">
        <f>'Прайс для расчета (М)'!E131</f>
        <v>445.72500000000002</v>
      </c>
      <c r="J146" s="36">
        <f t="shared" si="23"/>
        <v>0</v>
      </c>
    </row>
    <row r="147" spans="2:10" ht="15.6" x14ac:dyDescent="0.3">
      <c r="B147" s="59"/>
      <c r="C147" s="69" t="s">
        <v>357</v>
      </c>
      <c r="D147" s="74" t="s">
        <v>2</v>
      </c>
      <c r="E147" s="75">
        <f t="shared" si="21"/>
        <v>0</v>
      </c>
      <c r="F147" s="63">
        <f>'Прайс для расчета'!E132</f>
        <v>996.45</v>
      </c>
      <c r="G147" s="64">
        <f t="shared" si="22"/>
        <v>0</v>
      </c>
      <c r="I147" s="135">
        <f>'Прайс для расчета (М)'!E132</f>
        <v>498.22500000000002</v>
      </c>
      <c r="J147" s="36">
        <f t="shared" si="23"/>
        <v>0</v>
      </c>
    </row>
    <row r="148" spans="2:10" ht="15.6" x14ac:dyDescent="0.3">
      <c r="B148" s="59"/>
      <c r="C148" s="69" t="s">
        <v>1127</v>
      </c>
      <c r="D148" s="74" t="s">
        <v>2</v>
      </c>
      <c r="E148" s="75">
        <f t="shared" si="21"/>
        <v>0</v>
      </c>
      <c r="F148" s="63">
        <f>'Прайс для расчета'!E133</f>
        <v>1101.45</v>
      </c>
      <c r="G148" s="64">
        <f t="shared" si="22"/>
        <v>0</v>
      </c>
      <c r="I148" s="135">
        <f>'Прайс для расчета (М)'!E133</f>
        <v>550.72500000000002</v>
      </c>
      <c r="J148" s="36">
        <f t="shared" si="23"/>
        <v>0</v>
      </c>
    </row>
    <row r="149" spans="2:10" ht="15.6" x14ac:dyDescent="0.3">
      <c r="B149" s="59"/>
      <c r="C149" s="78" t="s">
        <v>151</v>
      </c>
      <c r="D149" s="74" t="s">
        <v>2</v>
      </c>
      <c r="E149" s="75">
        <f t="shared" si="21"/>
        <v>0</v>
      </c>
      <c r="F149" s="63">
        <f>'Прайс для расчета'!E134</f>
        <v>271.95</v>
      </c>
      <c r="G149" s="64">
        <f t="shared" si="22"/>
        <v>0</v>
      </c>
      <c r="I149" s="135">
        <f>'Прайс для расчета (М)'!E134</f>
        <v>135.97499999999999</v>
      </c>
      <c r="J149" s="36">
        <f t="shared" si="23"/>
        <v>0</v>
      </c>
    </row>
    <row r="150" spans="2:10" ht="15.6" x14ac:dyDescent="0.3">
      <c r="B150" s="59"/>
      <c r="C150" s="78" t="s">
        <v>499</v>
      </c>
      <c r="D150" s="74" t="s">
        <v>2</v>
      </c>
      <c r="E150" s="75">
        <f t="shared" si="21"/>
        <v>0</v>
      </c>
      <c r="F150" s="63">
        <f>'Прайс для расчета'!E135</f>
        <v>262.5</v>
      </c>
      <c r="G150" s="64">
        <f t="shared" si="22"/>
        <v>0</v>
      </c>
      <c r="I150" s="135">
        <f>'Прайс для расчета (М)'!E135</f>
        <v>131.25</v>
      </c>
      <c r="J150" s="36">
        <f t="shared" si="23"/>
        <v>0</v>
      </c>
    </row>
    <row r="151" spans="2:10" ht="15.6" x14ac:dyDescent="0.3">
      <c r="B151" s="59"/>
      <c r="C151" s="78" t="s">
        <v>500</v>
      </c>
      <c r="D151" s="74" t="s">
        <v>3</v>
      </c>
      <c r="E151" s="62">
        <f>$A$2</f>
        <v>0</v>
      </c>
      <c r="F151" s="63">
        <f>'Прайс для расчета'!E136</f>
        <v>250.95000000000002</v>
      </c>
      <c r="G151" s="64">
        <f t="shared" si="22"/>
        <v>0</v>
      </c>
      <c r="I151" s="135">
        <f>'Прайс для расчета (М)'!E136</f>
        <v>125.47500000000001</v>
      </c>
      <c r="J151" s="36">
        <f t="shared" si="23"/>
        <v>0</v>
      </c>
    </row>
    <row r="152" spans="2:10" ht="15.6" x14ac:dyDescent="0.3">
      <c r="B152" s="59"/>
      <c r="C152" s="78" t="s">
        <v>1024</v>
      </c>
      <c r="D152" s="74" t="s">
        <v>2</v>
      </c>
      <c r="E152" s="75">
        <f t="shared" si="21"/>
        <v>0</v>
      </c>
      <c r="F152" s="63">
        <f>'Прайс для расчета'!E137</f>
        <v>204.75</v>
      </c>
      <c r="G152" s="64">
        <f t="shared" si="22"/>
        <v>0</v>
      </c>
      <c r="I152" s="135">
        <f>'Прайс для расчета (М)'!E137</f>
        <v>102.375</v>
      </c>
      <c r="J152" s="36">
        <f t="shared" si="23"/>
        <v>0</v>
      </c>
    </row>
    <row r="153" spans="2:10" ht="15.6" x14ac:dyDescent="0.3">
      <c r="B153" s="59"/>
      <c r="C153" s="78" t="s">
        <v>359</v>
      </c>
      <c r="D153" s="74" t="s">
        <v>2</v>
      </c>
      <c r="E153" s="75">
        <f t="shared" si="21"/>
        <v>0</v>
      </c>
      <c r="F153" s="63">
        <f>'Прайс для расчета'!E138</f>
        <v>299.25</v>
      </c>
      <c r="G153" s="64">
        <f t="shared" si="22"/>
        <v>0</v>
      </c>
      <c r="I153" s="135">
        <f>'Прайс для расчета (М)'!E138</f>
        <v>149.625</v>
      </c>
      <c r="J153" s="36">
        <f t="shared" si="23"/>
        <v>0</v>
      </c>
    </row>
    <row r="154" spans="2:10" ht="15.6" x14ac:dyDescent="0.3">
      <c r="B154" s="59"/>
      <c r="C154" s="78" t="s">
        <v>360</v>
      </c>
      <c r="D154" s="74" t="s">
        <v>2</v>
      </c>
      <c r="E154" s="75">
        <f t="shared" si="21"/>
        <v>0</v>
      </c>
      <c r="F154" s="63">
        <f>'Прайс для расчета'!E139</f>
        <v>104.36999999999999</v>
      </c>
      <c r="G154" s="64">
        <f t="shared" si="22"/>
        <v>0</v>
      </c>
      <c r="I154" s="135">
        <f>'Прайс для расчета (М)'!E139</f>
        <v>52.184999999999995</v>
      </c>
      <c r="J154" s="36">
        <f t="shared" si="23"/>
        <v>0</v>
      </c>
    </row>
    <row r="155" spans="2:10" ht="15.6" x14ac:dyDescent="0.3">
      <c r="B155" s="59"/>
      <c r="C155" s="78" t="s">
        <v>361</v>
      </c>
      <c r="D155" s="74" t="s">
        <v>2</v>
      </c>
      <c r="E155" s="75">
        <f t="shared" si="21"/>
        <v>0</v>
      </c>
      <c r="F155" s="63">
        <f>'Прайс для расчета'!E140</f>
        <v>498.75</v>
      </c>
      <c r="G155" s="64">
        <f t="shared" si="22"/>
        <v>0</v>
      </c>
      <c r="I155" s="135">
        <f>'Прайс для расчета (М)'!E140</f>
        <v>249.375</v>
      </c>
      <c r="J155" s="36">
        <f t="shared" si="23"/>
        <v>0</v>
      </c>
    </row>
    <row r="156" spans="2:10" ht="15.6" x14ac:dyDescent="0.3">
      <c r="B156" s="59"/>
      <c r="C156" s="78" t="s">
        <v>501</v>
      </c>
      <c r="D156" s="74" t="s">
        <v>2</v>
      </c>
      <c r="E156" s="75">
        <f t="shared" si="21"/>
        <v>0</v>
      </c>
      <c r="F156" s="63">
        <f>'Прайс для расчета'!E141</f>
        <v>460.95000000000005</v>
      </c>
      <c r="G156" s="64">
        <f t="shared" si="22"/>
        <v>0</v>
      </c>
      <c r="I156" s="135">
        <f>'Прайс для расчета (М)'!E141</f>
        <v>230.47500000000002</v>
      </c>
      <c r="J156" s="36">
        <f t="shared" si="23"/>
        <v>0</v>
      </c>
    </row>
    <row r="157" spans="2:10" ht="15.6" x14ac:dyDescent="0.3">
      <c r="B157" s="59"/>
      <c r="C157" s="78" t="s">
        <v>362</v>
      </c>
      <c r="D157" s="74" t="s">
        <v>2</v>
      </c>
      <c r="E157" s="75">
        <f t="shared" si="21"/>
        <v>0</v>
      </c>
      <c r="F157" s="63">
        <f>'Прайс для расчета'!E142</f>
        <v>1942.5</v>
      </c>
      <c r="G157" s="64">
        <f t="shared" si="22"/>
        <v>0</v>
      </c>
      <c r="I157" s="135">
        <f>'Прайс для расчета (М)'!E142</f>
        <v>971.25</v>
      </c>
      <c r="J157" s="36">
        <f t="shared" si="23"/>
        <v>0</v>
      </c>
    </row>
    <row r="158" spans="2:10" ht="15.6" x14ac:dyDescent="0.3">
      <c r="B158" s="59"/>
      <c r="C158" s="78" t="s">
        <v>227</v>
      </c>
      <c r="D158" s="74" t="s">
        <v>2</v>
      </c>
      <c r="E158" s="75">
        <f t="shared" si="21"/>
        <v>0</v>
      </c>
      <c r="F158" s="63">
        <f>'Прайс для расчета'!E143</f>
        <v>362.25</v>
      </c>
      <c r="G158" s="64">
        <f t="shared" si="22"/>
        <v>0</v>
      </c>
      <c r="I158" s="135">
        <f>'Прайс для расчета (М)'!E143</f>
        <v>181.125</v>
      </c>
      <c r="J158" s="36">
        <f t="shared" si="23"/>
        <v>0</v>
      </c>
    </row>
    <row r="159" spans="2:10" ht="15.6" x14ac:dyDescent="0.3">
      <c r="B159" s="59"/>
      <c r="C159" s="78" t="s">
        <v>224</v>
      </c>
      <c r="D159" s="74" t="s">
        <v>2</v>
      </c>
      <c r="E159" s="75">
        <f t="shared" si="21"/>
        <v>0</v>
      </c>
      <c r="F159" s="63">
        <f>'Прайс для расчета'!E144</f>
        <v>271.95</v>
      </c>
      <c r="G159" s="64">
        <f t="shared" si="22"/>
        <v>0</v>
      </c>
      <c r="I159" s="135">
        <f>'Прайс для расчета (М)'!E144</f>
        <v>135.97499999999999</v>
      </c>
      <c r="J159" s="36">
        <f t="shared" si="23"/>
        <v>0</v>
      </c>
    </row>
    <row r="160" spans="2:10" ht="15.6" x14ac:dyDescent="0.3">
      <c r="B160" s="59"/>
      <c r="C160" s="78" t="s">
        <v>1025</v>
      </c>
      <c r="D160" s="74" t="s">
        <v>2</v>
      </c>
      <c r="E160" s="75">
        <f t="shared" si="21"/>
        <v>0</v>
      </c>
      <c r="F160" s="63">
        <f>'Прайс для расчета'!E145</f>
        <v>509.25</v>
      </c>
      <c r="G160" s="64">
        <f t="shared" si="22"/>
        <v>0</v>
      </c>
      <c r="I160" s="135">
        <f>'Прайс для расчета (М)'!E145</f>
        <v>254.625</v>
      </c>
      <c r="J160" s="36">
        <f t="shared" si="23"/>
        <v>0</v>
      </c>
    </row>
    <row r="161" spans="2:10" ht="15.6" x14ac:dyDescent="0.3">
      <c r="B161" s="59"/>
      <c r="C161" s="78" t="s">
        <v>363</v>
      </c>
      <c r="D161" s="74" t="s">
        <v>3</v>
      </c>
      <c r="E161" s="75">
        <f t="shared" si="21"/>
        <v>0</v>
      </c>
      <c r="F161" s="63">
        <f>'Прайс для расчета'!E146</f>
        <v>472.5</v>
      </c>
      <c r="G161" s="64">
        <f t="shared" si="22"/>
        <v>0</v>
      </c>
      <c r="I161" s="135">
        <f>'Прайс для расчета (М)'!E146</f>
        <v>236.25</v>
      </c>
      <c r="J161" s="36">
        <f t="shared" si="23"/>
        <v>0</v>
      </c>
    </row>
    <row r="162" spans="2:10" ht="15.6" x14ac:dyDescent="0.3">
      <c r="B162" s="59"/>
      <c r="C162" s="78" t="s">
        <v>364</v>
      </c>
      <c r="D162" s="74" t="s">
        <v>2</v>
      </c>
      <c r="E162" s="75">
        <f t="shared" si="21"/>
        <v>0</v>
      </c>
      <c r="F162" s="63">
        <f>'Прайс для расчета'!E147</f>
        <v>404.06100000000004</v>
      </c>
      <c r="G162" s="64">
        <f t="shared" si="22"/>
        <v>0</v>
      </c>
      <c r="I162" s="135">
        <f>'Прайс для расчета (М)'!E147</f>
        <v>202.03050000000002</v>
      </c>
      <c r="J162" s="36">
        <f t="shared" si="23"/>
        <v>0</v>
      </c>
    </row>
    <row r="163" spans="2:10" ht="15.6" x14ac:dyDescent="0.3">
      <c r="B163" s="59"/>
      <c r="C163" s="78" t="s">
        <v>365</v>
      </c>
      <c r="D163" s="74" t="s">
        <v>2</v>
      </c>
      <c r="E163" s="75">
        <f t="shared" si="21"/>
        <v>0</v>
      </c>
      <c r="F163" s="63">
        <f>'Прайс для расчета'!E148</f>
        <v>304.5</v>
      </c>
      <c r="G163" s="64">
        <f t="shared" si="22"/>
        <v>0</v>
      </c>
      <c r="I163" s="135">
        <f>'Прайс для расчета (М)'!E148</f>
        <v>152.25</v>
      </c>
      <c r="J163" s="36">
        <f t="shared" si="23"/>
        <v>0</v>
      </c>
    </row>
    <row r="164" spans="2:10" ht="15.6" x14ac:dyDescent="0.3">
      <c r="B164" s="59"/>
      <c r="C164" s="78" t="s">
        <v>366</v>
      </c>
      <c r="D164" s="74" t="s">
        <v>2</v>
      </c>
      <c r="E164" s="75">
        <f t="shared" si="21"/>
        <v>0</v>
      </c>
      <c r="F164" s="63">
        <f>'Прайс для расчета'!E149</f>
        <v>472.5</v>
      </c>
      <c r="G164" s="64">
        <f t="shared" si="22"/>
        <v>0</v>
      </c>
      <c r="I164" s="135">
        <f>'Прайс для расчета (М)'!E149</f>
        <v>236.25</v>
      </c>
      <c r="J164" s="36">
        <f t="shared" si="23"/>
        <v>0</v>
      </c>
    </row>
    <row r="165" spans="2:10" ht="15.6" x14ac:dyDescent="0.25">
      <c r="B165" s="59">
        <f>IF(SUM(B166:B208)&gt;0,1,0)</f>
        <v>0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/>
      <c r="C166" s="78" t="s">
        <v>1020</v>
      </c>
      <c r="D166" s="74" t="s">
        <v>2</v>
      </c>
      <c r="E166" s="75" t="e">
        <f t="shared" ref="E166:E182" si="26">$A$6</f>
        <v>#REF!</v>
      </c>
      <c r="F166" s="63">
        <f>'Прайс для расчета'!E150</f>
        <v>124.95</v>
      </c>
      <c r="G166" s="64" t="e">
        <f t="shared" ref="G166:G208" si="27">F166*E166</f>
        <v>#REF!</v>
      </c>
      <c r="I166" s="135">
        <f>'Прайс для расчета (М)'!E150</f>
        <v>62.475000000000001</v>
      </c>
      <c r="J166" s="36" t="e">
        <f t="shared" ref="J166:J208" si="28">I166*E166</f>
        <v>#REF!</v>
      </c>
    </row>
    <row r="167" spans="2:10" ht="15.6" x14ac:dyDescent="0.3">
      <c r="B167" s="59"/>
      <c r="C167" s="69" t="s">
        <v>1107</v>
      </c>
      <c r="D167" s="74" t="s">
        <v>2</v>
      </c>
      <c r="E167" s="75" t="e">
        <f t="shared" si="26"/>
        <v>#REF!</v>
      </c>
      <c r="F167" s="63">
        <f>'Прайс для расчета'!E151</f>
        <v>892.5</v>
      </c>
      <c r="G167" s="64" t="e">
        <f t="shared" ref="G167" si="29">F167*E167</f>
        <v>#REF!</v>
      </c>
      <c r="I167" s="135">
        <f>'Прайс для расчета (М)'!E151</f>
        <v>446.25</v>
      </c>
      <c r="J167" s="36" t="e">
        <f t="shared" si="28"/>
        <v>#REF!</v>
      </c>
    </row>
    <row r="168" spans="2:10" ht="15.6" x14ac:dyDescent="0.3">
      <c r="B168" s="59"/>
      <c r="C168" s="69" t="s">
        <v>1108</v>
      </c>
      <c r="D168" s="74" t="s">
        <v>2</v>
      </c>
      <c r="E168" s="75" t="e">
        <f t="shared" si="26"/>
        <v>#REF!</v>
      </c>
      <c r="F168" s="63">
        <f>'Прайс для расчета'!E152</f>
        <v>1207.5</v>
      </c>
      <c r="G168" s="64" t="e">
        <f t="shared" si="27"/>
        <v>#REF!</v>
      </c>
      <c r="I168" s="135">
        <f>'Прайс для расчета (М)'!E152</f>
        <v>603.75</v>
      </c>
      <c r="J168" s="36" t="e">
        <f t="shared" si="28"/>
        <v>#REF!</v>
      </c>
    </row>
    <row r="169" spans="2:10" ht="15.6" x14ac:dyDescent="0.3">
      <c r="B169" s="59"/>
      <c r="C169" s="69" t="s">
        <v>1109</v>
      </c>
      <c r="D169" s="74" t="s">
        <v>2</v>
      </c>
      <c r="E169" s="75" t="e">
        <f t="shared" si="26"/>
        <v>#REF!</v>
      </c>
      <c r="F169" s="63">
        <f>'Прайс для расчета'!E153</f>
        <v>624.75</v>
      </c>
      <c r="G169" s="64" t="e">
        <f t="shared" si="27"/>
        <v>#REF!</v>
      </c>
      <c r="I169" s="135">
        <f>'Прайс для расчета (М)'!E153</f>
        <v>312.375</v>
      </c>
      <c r="J169" s="36" t="e">
        <f t="shared" si="28"/>
        <v>#REF!</v>
      </c>
    </row>
    <row r="170" spans="2:10" ht="15.6" x14ac:dyDescent="0.3">
      <c r="B170" s="59"/>
      <c r="C170" s="69" t="s">
        <v>1110</v>
      </c>
      <c r="D170" s="74" t="s">
        <v>2</v>
      </c>
      <c r="E170" s="75" t="e">
        <f t="shared" si="26"/>
        <v>#REF!</v>
      </c>
      <c r="F170" s="63">
        <f>'Прайс для расчета'!E154</f>
        <v>729.75</v>
      </c>
      <c r="G170" s="64" t="e">
        <f t="shared" si="27"/>
        <v>#REF!</v>
      </c>
      <c r="I170" s="135">
        <f>'Прайс для расчета (М)'!E154</f>
        <v>364.875</v>
      </c>
      <c r="J170" s="36" t="e">
        <f t="shared" si="28"/>
        <v>#REF!</v>
      </c>
    </row>
    <row r="171" spans="2:10" ht="15.6" x14ac:dyDescent="0.3">
      <c r="B171" s="59"/>
      <c r="C171" s="69" t="s">
        <v>1115</v>
      </c>
      <c r="D171" s="74" t="s">
        <v>2</v>
      </c>
      <c r="E171" s="75" t="e">
        <f t="shared" si="26"/>
        <v>#REF!</v>
      </c>
      <c r="F171" s="63">
        <f>'Прайс для расчета'!E155</f>
        <v>943.95</v>
      </c>
      <c r="G171" s="64" t="e">
        <f t="shared" si="27"/>
        <v>#REF!</v>
      </c>
      <c r="I171" s="135">
        <f>'Прайс для расчета (М)'!E155</f>
        <v>471.97500000000002</v>
      </c>
      <c r="J171" s="36" t="e">
        <f t="shared" si="28"/>
        <v>#REF!</v>
      </c>
    </row>
    <row r="172" spans="2:10" ht="15.6" x14ac:dyDescent="0.3">
      <c r="B172" s="59"/>
      <c r="C172" s="78" t="s">
        <v>1028</v>
      </c>
      <c r="D172" s="74" t="s">
        <v>2</v>
      </c>
      <c r="E172" s="75" t="e">
        <f t="shared" si="26"/>
        <v>#REF!</v>
      </c>
      <c r="F172" s="63">
        <f>'Прайс для расчета'!E156</f>
        <v>787.5</v>
      </c>
      <c r="G172" s="64" t="e">
        <f t="shared" si="27"/>
        <v>#REF!</v>
      </c>
      <c r="I172" s="135">
        <f>'Прайс для расчета (М)'!E156</f>
        <v>393.75</v>
      </c>
      <c r="J172" s="36" t="e">
        <f t="shared" si="28"/>
        <v>#REF!</v>
      </c>
    </row>
    <row r="173" spans="2:10" ht="15.6" x14ac:dyDescent="0.3">
      <c r="B173" s="59"/>
      <c r="C173" s="78" t="s">
        <v>1029</v>
      </c>
      <c r="D173" s="74" t="s">
        <v>3</v>
      </c>
      <c r="E173" s="75" t="e">
        <f t="shared" si="26"/>
        <v>#REF!</v>
      </c>
      <c r="F173" s="63">
        <f>'Прайс для расчета'!E157</f>
        <v>651</v>
      </c>
      <c r="G173" s="64" t="e">
        <f t="shared" si="27"/>
        <v>#REF!</v>
      </c>
      <c r="I173" s="135">
        <f>'Прайс для расчета (М)'!E157</f>
        <v>325.5</v>
      </c>
      <c r="J173" s="36" t="e">
        <f t="shared" si="28"/>
        <v>#REF!</v>
      </c>
    </row>
    <row r="174" spans="2:10" ht="15.6" x14ac:dyDescent="0.3">
      <c r="B174" s="59"/>
      <c r="C174" s="78" t="s">
        <v>674</v>
      </c>
      <c r="D174" s="74" t="s">
        <v>2</v>
      </c>
      <c r="E174" s="75" t="e">
        <f t="shared" si="26"/>
        <v>#REF!</v>
      </c>
      <c r="F174" s="63">
        <f>'Прайс для расчета'!E158</f>
        <v>267.75</v>
      </c>
      <c r="G174" s="64" t="e">
        <f t="shared" si="27"/>
        <v>#REF!</v>
      </c>
      <c r="I174" s="135">
        <f>'Прайс для расчета (М)'!E158</f>
        <v>133.875</v>
      </c>
      <c r="J174" s="36" t="e">
        <f t="shared" si="28"/>
        <v>#REF!</v>
      </c>
    </row>
    <row r="175" spans="2:10" ht="15.6" x14ac:dyDescent="0.3">
      <c r="B175" s="59"/>
      <c r="C175" s="200" t="s">
        <v>1007</v>
      </c>
      <c r="D175" s="74" t="s">
        <v>2</v>
      </c>
      <c r="E175" s="75" t="e">
        <f t="shared" si="26"/>
        <v>#REF!</v>
      </c>
      <c r="F175" s="63">
        <f>'Прайс для расчета'!E159</f>
        <v>2992.5</v>
      </c>
      <c r="G175" s="64" t="e">
        <f t="shared" si="27"/>
        <v>#REF!</v>
      </c>
      <c r="I175" s="135">
        <f>'Прайс для расчета (М)'!E159</f>
        <v>1496.25</v>
      </c>
      <c r="J175" s="36" t="e">
        <f t="shared" si="28"/>
        <v>#REF!</v>
      </c>
    </row>
    <row r="176" spans="2:10" ht="15.6" x14ac:dyDescent="0.3">
      <c r="B176" s="59"/>
      <c r="C176" s="69" t="s">
        <v>1021</v>
      </c>
      <c r="D176" s="74" t="s">
        <v>2</v>
      </c>
      <c r="E176" s="75" t="e">
        <f t="shared" si="26"/>
        <v>#REF!</v>
      </c>
      <c r="F176" s="63">
        <f>'Прайс для расчета'!E160</f>
        <v>94.5</v>
      </c>
      <c r="G176" s="64" t="e">
        <f t="shared" si="27"/>
        <v>#REF!</v>
      </c>
      <c r="I176" s="135">
        <f>'Прайс для расчета (М)'!E160</f>
        <v>47.25</v>
      </c>
      <c r="J176" s="36" t="e">
        <f t="shared" si="28"/>
        <v>#REF!</v>
      </c>
    </row>
    <row r="177" spans="2:10" ht="15.6" x14ac:dyDescent="0.3">
      <c r="B177" s="59"/>
      <c r="C177" s="69" t="s">
        <v>1125</v>
      </c>
      <c r="D177" s="74" t="s">
        <v>2</v>
      </c>
      <c r="E177" s="75" t="e">
        <f t="shared" si="26"/>
        <v>#REF!</v>
      </c>
      <c r="F177" s="63">
        <f>'Прайс для расчета'!E161</f>
        <v>157.5</v>
      </c>
      <c r="G177" s="64" t="e">
        <f t="shared" ref="G177" si="30">F177*E177</f>
        <v>#REF!</v>
      </c>
      <c r="I177" s="135">
        <f>'Прайс для расчета (М)'!E161</f>
        <v>78.75</v>
      </c>
      <c r="J177" s="36" t="e">
        <f t="shared" si="28"/>
        <v>#REF!</v>
      </c>
    </row>
    <row r="178" spans="2:10" ht="15.6" x14ac:dyDescent="0.3">
      <c r="B178" s="59"/>
      <c r="C178" s="69" t="s">
        <v>1126</v>
      </c>
      <c r="D178" s="74" t="s">
        <v>2</v>
      </c>
      <c r="E178" s="75" t="e">
        <f t="shared" si="26"/>
        <v>#REF!</v>
      </c>
      <c r="F178" s="63">
        <f>'Прайс для расчета'!E162</f>
        <v>519.75</v>
      </c>
      <c r="G178" s="64" t="e">
        <f t="shared" si="27"/>
        <v>#REF!</v>
      </c>
      <c r="I178" s="135">
        <f>'Прайс для расчета (М)'!E162</f>
        <v>259.875</v>
      </c>
      <c r="J178" s="36" t="e">
        <f t="shared" si="28"/>
        <v>#REF!</v>
      </c>
    </row>
    <row r="179" spans="2:10" ht="15.6" x14ac:dyDescent="0.3">
      <c r="B179" s="59"/>
      <c r="C179" s="69" t="s">
        <v>1119</v>
      </c>
      <c r="D179" s="74" t="s">
        <v>2</v>
      </c>
      <c r="E179" s="75" t="e">
        <f t="shared" si="26"/>
        <v>#REF!</v>
      </c>
      <c r="F179" s="63">
        <f>'Прайс для расчета'!E163</f>
        <v>687.75</v>
      </c>
      <c r="G179" s="64" t="e">
        <f t="shared" si="27"/>
        <v>#REF!</v>
      </c>
      <c r="I179" s="135">
        <f>'Прайс для расчета (М)'!E163</f>
        <v>343.875</v>
      </c>
      <c r="J179" s="36" t="e">
        <f t="shared" si="28"/>
        <v>#REF!</v>
      </c>
    </row>
    <row r="180" spans="2:10" ht="15.6" x14ac:dyDescent="0.3">
      <c r="B180" s="59"/>
      <c r="C180" s="69" t="s">
        <v>1121</v>
      </c>
      <c r="D180" s="74" t="s">
        <v>2</v>
      </c>
      <c r="E180" s="75" t="e">
        <f t="shared" si="26"/>
        <v>#REF!</v>
      </c>
      <c r="F180" s="63">
        <f>'Прайс для расчета'!E164</f>
        <v>420</v>
      </c>
      <c r="G180" s="64" t="e">
        <f t="shared" si="27"/>
        <v>#REF!</v>
      </c>
      <c r="I180" s="135">
        <f>'Прайс для расчета (М)'!E164</f>
        <v>210</v>
      </c>
      <c r="J180" s="36" t="e">
        <f t="shared" si="28"/>
        <v>#REF!</v>
      </c>
    </row>
    <row r="181" spans="2:10" ht="15.6" x14ac:dyDescent="0.3">
      <c r="B181" s="59"/>
      <c r="C181" s="69" t="s">
        <v>1122</v>
      </c>
      <c r="D181" s="74" t="s">
        <v>2</v>
      </c>
      <c r="E181" s="75" t="e">
        <f t="shared" si="26"/>
        <v>#REF!</v>
      </c>
      <c r="F181" s="63">
        <f>'Прайс для расчета'!E165</f>
        <v>829.5</v>
      </c>
      <c r="G181" s="64" t="e">
        <f t="shared" si="27"/>
        <v>#REF!</v>
      </c>
      <c r="I181" s="135">
        <f>'Прайс для расчета (М)'!E165</f>
        <v>414.75</v>
      </c>
      <c r="J181" s="36" t="e">
        <f t="shared" si="28"/>
        <v>#REF!</v>
      </c>
    </row>
    <row r="182" spans="2:10" ht="15.6" x14ac:dyDescent="0.3">
      <c r="B182" s="59"/>
      <c r="C182" s="69" t="s">
        <v>1120</v>
      </c>
      <c r="D182" s="74" t="s">
        <v>2</v>
      </c>
      <c r="E182" s="75" t="e">
        <f t="shared" si="26"/>
        <v>#REF!</v>
      </c>
      <c r="F182" s="63">
        <f>'Прайс для расчета'!E166</f>
        <v>204.75</v>
      </c>
      <c r="G182" s="64" t="e">
        <f t="shared" si="27"/>
        <v>#REF!</v>
      </c>
      <c r="I182" s="135">
        <f>'Прайс для расчета (М)'!E166</f>
        <v>102.375</v>
      </c>
      <c r="J182" s="36" t="e">
        <f t="shared" si="28"/>
        <v>#REF!</v>
      </c>
    </row>
    <row r="183" spans="2:10" ht="15.6" x14ac:dyDescent="0.3">
      <c r="B183" s="59"/>
      <c r="C183" s="69" t="s">
        <v>1105</v>
      </c>
      <c r="D183" s="74" t="s">
        <v>3</v>
      </c>
      <c r="E183" s="75">
        <v>1</v>
      </c>
      <c r="F183" s="63">
        <f>'Прайс для расчета'!E167</f>
        <v>157.5</v>
      </c>
      <c r="G183" s="64">
        <f t="shared" si="27"/>
        <v>157.5</v>
      </c>
      <c r="I183" s="135">
        <f>'Прайс для расчета (М)'!E167</f>
        <v>78.75</v>
      </c>
      <c r="J183" s="36">
        <f t="shared" si="28"/>
        <v>78.75</v>
      </c>
    </row>
    <row r="184" spans="2:10" ht="15.6" x14ac:dyDescent="0.3">
      <c r="B184" s="59"/>
      <c r="C184" s="69" t="s">
        <v>1106</v>
      </c>
      <c r="D184" s="74" t="s">
        <v>3</v>
      </c>
      <c r="E184" s="75">
        <v>1</v>
      </c>
      <c r="F184" s="63">
        <f>'Прайс для расчета'!E168</f>
        <v>157.5</v>
      </c>
      <c r="G184" s="64">
        <f t="shared" si="27"/>
        <v>157.5</v>
      </c>
      <c r="I184" s="135">
        <f>'Прайс для расчета (М)'!E168</f>
        <v>78.75</v>
      </c>
      <c r="J184" s="36">
        <f t="shared" si="28"/>
        <v>78.75</v>
      </c>
    </row>
    <row r="185" spans="2:10" ht="15.6" x14ac:dyDescent="0.3">
      <c r="B185" s="59"/>
      <c r="C185" s="69" t="s">
        <v>1117</v>
      </c>
      <c r="D185" s="74" t="s">
        <v>2</v>
      </c>
      <c r="E185" s="75" t="e">
        <f t="shared" ref="E185:E191" si="31">$A$6</f>
        <v>#REF!</v>
      </c>
      <c r="F185" s="63">
        <f>'Прайс для расчета'!E169</f>
        <v>204.75</v>
      </c>
      <c r="G185" s="64" t="e">
        <f t="shared" si="27"/>
        <v>#REF!</v>
      </c>
      <c r="I185" s="135">
        <f>'Прайс для расчета (М)'!E169</f>
        <v>102.375</v>
      </c>
      <c r="J185" s="36" t="e">
        <f t="shared" si="28"/>
        <v>#REF!</v>
      </c>
    </row>
    <row r="186" spans="2:10" ht="15.6" x14ac:dyDescent="0.3">
      <c r="B186" s="59"/>
      <c r="C186" s="69" t="s">
        <v>1116</v>
      </c>
      <c r="D186" s="74" t="s">
        <v>2</v>
      </c>
      <c r="E186" s="75" t="e">
        <f t="shared" si="31"/>
        <v>#REF!</v>
      </c>
      <c r="F186" s="63">
        <f>'Прайс для расчета'!E170</f>
        <v>204.75</v>
      </c>
      <c r="G186" s="64" t="e">
        <f t="shared" si="27"/>
        <v>#REF!</v>
      </c>
      <c r="I186" s="135">
        <f>'Прайс для расчета (М)'!E170</f>
        <v>102.375</v>
      </c>
      <c r="J186" s="36" t="e">
        <f t="shared" si="28"/>
        <v>#REF!</v>
      </c>
    </row>
    <row r="187" spans="2:10" ht="15.6" x14ac:dyDescent="0.3">
      <c r="B187" s="59"/>
      <c r="C187" s="78" t="s">
        <v>376</v>
      </c>
      <c r="D187" s="74" t="s">
        <v>2</v>
      </c>
      <c r="E187" s="75" t="e">
        <f t="shared" si="31"/>
        <v>#REF!</v>
      </c>
      <c r="F187" s="63">
        <f>'Прайс для расчета'!E171</f>
        <v>1559.586</v>
      </c>
      <c r="G187" s="64" t="e">
        <f t="shared" si="27"/>
        <v>#REF!</v>
      </c>
      <c r="I187" s="135">
        <f>'Прайс для расчета (М)'!E171</f>
        <v>779.79300000000001</v>
      </c>
      <c r="J187" s="36" t="e">
        <f t="shared" si="28"/>
        <v>#REF!</v>
      </c>
    </row>
    <row r="188" spans="2:10" ht="15.6" x14ac:dyDescent="0.3">
      <c r="B188" s="59"/>
      <c r="C188" s="78" t="s">
        <v>377</v>
      </c>
      <c r="D188" s="74" t="s">
        <v>2</v>
      </c>
      <c r="E188" s="75" t="e">
        <f t="shared" si="31"/>
        <v>#REF!</v>
      </c>
      <c r="F188" s="63">
        <f>'Прайс для расчета'!E172</f>
        <v>1616.2440000000001</v>
      </c>
      <c r="G188" s="64" t="e">
        <f t="shared" si="27"/>
        <v>#REF!</v>
      </c>
      <c r="I188" s="135">
        <f>'Прайс для расчета (М)'!E172</f>
        <v>808.12200000000007</v>
      </c>
      <c r="J188" s="36" t="e">
        <f t="shared" si="28"/>
        <v>#REF!</v>
      </c>
    </row>
    <row r="189" spans="2:10" ht="15.6" x14ac:dyDescent="0.3">
      <c r="B189" s="59"/>
      <c r="C189" s="78" t="s">
        <v>378</v>
      </c>
      <c r="D189" s="74" t="s">
        <v>2</v>
      </c>
      <c r="E189" s="75" t="e">
        <f t="shared" si="31"/>
        <v>#REF!</v>
      </c>
      <c r="F189" s="63">
        <f>'Прайс для расчета'!E173</f>
        <v>1131.6690000000001</v>
      </c>
      <c r="G189" s="64" t="e">
        <f t="shared" si="27"/>
        <v>#REF!</v>
      </c>
      <c r="I189" s="135">
        <f>'Прайс для расчета (М)'!E173</f>
        <v>565.83450000000005</v>
      </c>
      <c r="J189" s="36" t="e">
        <f t="shared" si="28"/>
        <v>#REF!</v>
      </c>
    </row>
    <row r="190" spans="2:10" ht="15.6" x14ac:dyDescent="0.3">
      <c r="B190" s="59"/>
      <c r="C190" s="78" t="s">
        <v>379</v>
      </c>
      <c r="D190" s="74" t="s">
        <v>2</v>
      </c>
      <c r="E190" s="75" t="e">
        <f t="shared" si="31"/>
        <v>#REF!</v>
      </c>
      <c r="F190" s="63">
        <f>'Прайс для расчета'!E174</f>
        <v>1191.309</v>
      </c>
      <c r="G190" s="64" t="e">
        <f t="shared" si="27"/>
        <v>#REF!</v>
      </c>
      <c r="I190" s="135">
        <f>'Прайс для расчета (М)'!E174</f>
        <v>595.65449999999998</v>
      </c>
      <c r="J190" s="36" t="e">
        <f t="shared" si="28"/>
        <v>#REF!</v>
      </c>
    </row>
    <row r="191" spans="2:10" ht="15.6" x14ac:dyDescent="0.3">
      <c r="B191" s="59"/>
      <c r="C191" s="78" t="s">
        <v>380</v>
      </c>
      <c r="D191" s="74" t="s">
        <v>2</v>
      </c>
      <c r="E191" s="75" t="e">
        <f t="shared" si="31"/>
        <v>#REF!</v>
      </c>
      <c r="F191" s="63">
        <f>'Прайс для расчета'!E175</f>
        <v>1265.8589999999999</v>
      </c>
      <c r="G191" s="64" t="e">
        <f t="shared" si="27"/>
        <v>#REF!</v>
      </c>
      <c r="I191" s="135">
        <f>'Прайс для расчета (М)'!E175</f>
        <v>632.92949999999996</v>
      </c>
      <c r="J191" s="36" t="e">
        <f t="shared" si="28"/>
        <v>#REF!</v>
      </c>
    </row>
    <row r="192" spans="2:10" ht="15.6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7"/>
        <v>1417.5</v>
      </c>
      <c r="I192" s="135">
        <f>'Прайс для расчета (М)'!E176</f>
        <v>708.75</v>
      </c>
      <c r="J192" s="36">
        <f t="shared" si="28"/>
        <v>708.75</v>
      </c>
    </row>
    <row r="193" spans="2:10" ht="15.6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7"/>
        <v>1837.5</v>
      </c>
      <c r="I193" s="135">
        <f>'Прайс для расчета (М)'!E177</f>
        <v>918.75</v>
      </c>
      <c r="J193" s="36">
        <f t="shared" si="28"/>
        <v>918.75</v>
      </c>
    </row>
    <row r="194" spans="2:10" ht="15.6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7"/>
        <v>183.75</v>
      </c>
      <c r="I194" s="135">
        <f>'Прайс для расчета (М)'!E178</f>
        <v>91.875</v>
      </c>
      <c r="J194" s="36">
        <f t="shared" si="28"/>
        <v>91.875</v>
      </c>
    </row>
    <row r="195" spans="2:10" ht="15.6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7"/>
        <v>367.5</v>
      </c>
      <c r="I195" s="135">
        <f>'Прайс для расчета (М)'!E179</f>
        <v>183.75</v>
      </c>
      <c r="J195" s="36">
        <f t="shared" si="28"/>
        <v>183.75</v>
      </c>
    </row>
    <row r="196" spans="2:10" ht="15.6" x14ac:dyDescent="0.3">
      <c r="B196" s="59"/>
      <c r="C196" s="78" t="s">
        <v>508</v>
      </c>
      <c r="D196" s="74" t="s">
        <v>2</v>
      </c>
      <c r="E196" s="75" t="e">
        <f t="shared" ref="E196:E201" si="32">$A$6</f>
        <v>#REF!</v>
      </c>
      <c r="F196" s="63">
        <f>'Прайс для расчета'!E180</f>
        <v>481.95000000000005</v>
      </c>
      <c r="G196" s="64" t="e">
        <f t="shared" si="27"/>
        <v>#REF!</v>
      </c>
      <c r="I196" s="135">
        <f>'Прайс для расчета (М)'!E180</f>
        <v>240.97500000000002</v>
      </c>
      <c r="J196" s="36" t="e">
        <f t="shared" si="28"/>
        <v>#REF!</v>
      </c>
    </row>
    <row r="197" spans="2:10" ht="15.6" x14ac:dyDescent="0.3">
      <c r="B197" s="59"/>
      <c r="C197" s="78" t="s">
        <v>383</v>
      </c>
      <c r="D197" s="74" t="s">
        <v>2</v>
      </c>
      <c r="E197" s="75" t="e">
        <f t="shared" si="32"/>
        <v>#REF!</v>
      </c>
      <c r="F197" s="63">
        <f>'Прайс для расчета'!E181</f>
        <v>1506.75</v>
      </c>
      <c r="G197" s="64" t="e">
        <f t="shared" si="27"/>
        <v>#REF!</v>
      </c>
      <c r="I197" s="135">
        <f>'Прайс для расчета (М)'!E181</f>
        <v>753.375</v>
      </c>
      <c r="J197" s="36" t="e">
        <f t="shared" si="28"/>
        <v>#REF!</v>
      </c>
    </row>
    <row r="198" spans="2:10" ht="15.6" x14ac:dyDescent="0.3">
      <c r="B198" s="59"/>
      <c r="C198" s="78" t="s">
        <v>384</v>
      </c>
      <c r="D198" s="74" t="s">
        <v>2</v>
      </c>
      <c r="E198" s="75" t="e">
        <f t="shared" si="32"/>
        <v>#REF!</v>
      </c>
      <c r="F198" s="63">
        <f>'Прайс для расчета'!E182</f>
        <v>1821.75</v>
      </c>
      <c r="G198" s="64" t="e">
        <f t="shared" si="27"/>
        <v>#REF!</v>
      </c>
      <c r="I198" s="135">
        <f>'Прайс для расчета (М)'!E182</f>
        <v>910.875</v>
      </c>
      <c r="J198" s="36" t="e">
        <f t="shared" si="28"/>
        <v>#REF!</v>
      </c>
    </row>
    <row r="199" spans="2:10" ht="15.6" x14ac:dyDescent="0.3">
      <c r="B199" s="59"/>
      <c r="C199" s="78" t="s">
        <v>385</v>
      </c>
      <c r="D199" s="74" t="s">
        <v>2</v>
      </c>
      <c r="E199" s="75" t="e">
        <f t="shared" si="32"/>
        <v>#REF!</v>
      </c>
      <c r="F199" s="63">
        <f>'Прайс для расчета'!E183</f>
        <v>1149.75</v>
      </c>
      <c r="G199" s="64" t="e">
        <f t="shared" si="27"/>
        <v>#REF!</v>
      </c>
      <c r="I199" s="135">
        <f>'Прайс для расчета (М)'!E183</f>
        <v>574.875</v>
      </c>
      <c r="J199" s="36" t="e">
        <f t="shared" si="28"/>
        <v>#REF!</v>
      </c>
    </row>
    <row r="200" spans="2:10" ht="15.6" x14ac:dyDescent="0.3">
      <c r="B200" s="59"/>
      <c r="C200" s="78" t="s">
        <v>509</v>
      </c>
      <c r="D200" s="74" t="s">
        <v>2</v>
      </c>
      <c r="E200" s="75" t="e">
        <f t="shared" si="32"/>
        <v>#REF!</v>
      </c>
      <c r="F200" s="63">
        <f>'Прайс для расчета'!E184</f>
        <v>1527.75</v>
      </c>
      <c r="G200" s="64" t="e">
        <f t="shared" si="27"/>
        <v>#REF!</v>
      </c>
      <c r="I200" s="135">
        <f>'Прайс для расчета (М)'!E184</f>
        <v>763.875</v>
      </c>
      <c r="J200" s="36" t="e">
        <f t="shared" si="28"/>
        <v>#REF!</v>
      </c>
    </row>
    <row r="201" spans="2:10" ht="15.6" x14ac:dyDescent="0.3">
      <c r="B201" s="59"/>
      <c r="C201" s="78" t="s">
        <v>510</v>
      </c>
      <c r="D201" s="74" t="s">
        <v>2</v>
      </c>
      <c r="E201" s="75" t="e">
        <f t="shared" si="32"/>
        <v>#REF!</v>
      </c>
      <c r="F201" s="63">
        <f>'Прайс для расчета'!E185</f>
        <v>1737.75</v>
      </c>
      <c r="G201" s="64" t="e">
        <f t="shared" si="27"/>
        <v>#REF!</v>
      </c>
      <c r="I201" s="135">
        <f>'Прайс для расчета (М)'!E185</f>
        <v>868.875</v>
      </c>
      <c r="J201" s="36" t="e">
        <f t="shared" si="28"/>
        <v>#REF!</v>
      </c>
    </row>
    <row r="202" spans="2:10" ht="15.6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7"/>
        <v>#REF!</v>
      </c>
      <c r="I202" s="135">
        <f>'Прайс для расчета (М)'!E186</f>
        <v>97.125</v>
      </c>
      <c r="J202" s="36" t="e">
        <f t="shared" si="28"/>
        <v>#REF!</v>
      </c>
    </row>
    <row r="203" spans="2:10" ht="15.6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7"/>
        <v>2089.5</v>
      </c>
      <c r="I203" s="135">
        <f>'Прайс для расчета (М)'!E187</f>
        <v>1044.75</v>
      </c>
      <c r="J203" s="36">
        <f t="shared" si="28"/>
        <v>1044.75</v>
      </c>
    </row>
    <row r="204" spans="2:10" ht="15.6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7"/>
        <v>3097.5</v>
      </c>
      <c r="I204" s="135">
        <f>'Прайс для расчета (М)'!E188</f>
        <v>1548.75</v>
      </c>
      <c r="J204" s="36">
        <f t="shared" si="28"/>
        <v>1548.75</v>
      </c>
    </row>
    <row r="205" spans="2:10" ht="15.6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7"/>
        <v>2992.5</v>
      </c>
      <c r="I205" s="135">
        <f>'Прайс для расчета (М)'!E189</f>
        <v>1496.25</v>
      </c>
      <c r="J205" s="36">
        <f t="shared" si="28"/>
        <v>1496.25</v>
      </c>
    </row>
    <row r="206" spans="2:10" ht="15.6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7"/>
        <v>#REF!</v>
      </c>
      <c r="I206" s="135">
        <f>'Прайс для расчета (М)'!E190</f>
        <v>202.03050000000002</v>
      </c>
      <c r="J206" s="36" t="e">
        <f t="shared" si="28"/>
        <v>#REF!</v>
      </c>
    </row>
    <row r="207" spans="2:10" ht="15.6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7"/>
        <v>#REF!</v>
      </c>
      <c r="I207" s="135">
        <f>'Прайс для расчета (М)'!E191</f>
        <v>141.22499999999999</v>
      </c>
      <c r="J207" s="36" t="e">
        <f t="shared" si="28"/>
        <v>#REF!</v>
      </c>
    </row>
    <row r="208" spans="2:10" ht="15.6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7"/>
        <v>#REF!</v>
      </c>
      <c r="I208" s="135">
        <f>'Прайс для расчета (М)'!E192</f>
        <v>307.125</v>
      </c>
      <c r="J208" s="36" t="e">
        <f t="shared" si="28"/>
        <v>#REF!</v>
      </c>
    </row>
    <row r="209" spans="2:10" ht="15.6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33">F210*E210</f>
        <v>84</v>
      </c>
      <c r="I210" s="135">
        <f>'Прайс для расчета (М)'!E193</f>
        <v>42</v>
      </c>
      <c r="J210" s="36">
        <f t="shared" ref="J210:J218" si="34">I210*E210</f>
        <v>42</v>
      </c>
    </row>
    <row r="211" spans="2:10" ht="15.6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33"/>
        <v>787.5</v>
      </c>
      <c r="I211" s="135">
        <f>'Прайс для расчета (М)'!E194</f>
        <v>393.75</v>
      </c>
      <c r="J211" s="36">
        <f t="shared" si="34"/>
        <v>393.75</v>
      </c>
    </row>
    <row r="212" spans="2:10" ht="15.6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33"/>
        <v>892.5</v>
      </c>
      <c r="I212" s="135">
        <f>'Прайс для расчета (М)'!E195</f>
        <v>446.25</v>
      </c>
      <c r="J212" s="36">
        <f t="shared" si="34"/>
        <v>446.25</v>
      </c>
    </row>
    <row r="213" spans="2:10" ht="15.6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33"/>
        <v>997.5</v>
      </c>
      <c r="I213" s="135">
        <f>'Прайс для расчета (М)'!E196</f>
        <v>498.75</v>
      </c>
      <c r="J213" s="36">
        <f t="shared" si="34"/>
        <v>498.75</v>
      </c>
    </row>
    <row r="214" spans="2:10" ht="15.6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33"/>
        <v>787.5</v>
      </c>
      <c r="I214" s="135">
        <f>'Прайс для расчета (М)'!E197</f>
        <v>393.75</v>
      </c>
      <c r="J214" s="36">
        <f t="shared" si="34"/>
        <v>393.75</v>
      </c>
    </row>
    <row r="215" spans="2:10" ht="15.6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33"/>
        <v>204.75</v>
      </c>
      <c r="I215" s="135">
        <f>'Прайс для расчета (М)'!E198</f>
        <v>102.375</v>
      </c>
      <c r="J215" s="36">
        <f t="shared" si="34"/>
        <v>102.375</v>
      </c>
    </row>
    <row r="216" spans="2:10" ht="15.6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33"/>
        <v>194.25</v>
      </c>
      <c r="I216" s="135">
        <f>'Прайс для расчета (М)'!E199</f>
        <v>97.125</v>
      </c>
      <c r="J216" s="36">
        <f t="shared" si="34"/>
        <v>97.125</v>
      </c>
    </row>
    <row r="217" spans="2:10" ht="15.6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33"/>
        <v>866.25</v>
      </c>
      <c r="I217" s="135">
        <f>'Прайс для расчета (М)'!E200</f>
        <v>433.125</v>
      </c>
      <c r="J217" s="36">
        <f t="shared" si="34"/>
        <v>433.125</v>
      </c>
    </row>
    <row r="218" spans="2:10" ht="15.6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33"/>
        <v>262.5</v>
      </c>
      <c r="I218" s="135">
        <f>'Прайс для расчета (М)'!E201</f>
        <v>131.25</v>
      </c>
      <c r="J218" s="36">
        <f t="shared" si="34"/>
        <v>131.25</v>
      </c>
    </row>
    <row r="219" spans="2:10" ht="15.6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x14ac:dyDescent="0.25">
      <c r="B220" s="59"/>
      <c r="C220" s="65" t="s">
        <v>1022</v>
      </c>
      <c r="D220" s="61" t="s">
        <v>2</v>
      </c>
      <c r="E220" s="62">
        <f t="shared" ref="E220:E226" si="35">$A$4</f>
        <v>0</v>
      </c>
      <c r="F220" s="63">
        <f>'Прайс для расчета'!E202</f>
        <v>135.45000000000002</v>
      </c>
      <c r="G220" s="64">
        <f t="shared" ref="G220:G246" si="36">F220*E220</f>
        <v>0</v>
      </c>
      <c r="I220" s="135">
        <f>'Прайс для расчета (М)'!E202</f>
        <v>67.725000000000009</v>
      </c>
      <c r="J220" s="36">
        <f t="shared" ref="J220:J247" si="37">I220*E220</f>
        <v>0</v>
      </c>
    </row>
    <row r="221" spans="2:10" ht="15.6" x14ac:dyDescent="0.25">
      <c r="B221" s="59"/>
      <c r="C221" s="65" t="s">
        <v>1105</v>
      </c>
      <c r="D221" s="61" t="s">
        <v>3</v>
      </c>
      <c r="E221" s="62">
        <f t="shared" si="35"/>
        <v>0</v>
      </c>
      <c r="F221" s="63">
        <f>'Прайс для расчета'!E203</f>
        <v>210</v>
      </c>
      <c r="G221" s="64">
        <f t="shared" ref="G221" si="38">F221*E221</f>
        <v>0</v>
      </c>
      <c r="I221" s="135">
        <f>'Прайс для расчета (М)'!E203</f>
        <v>105</v>
      </c>
      <c r="J221" s="36">
        <f t="shared" si="37"/>
        <v>0</v>
      </c>
    </row>
    <row r="222" spans="2:10" ht="15.6" x14ac:dyDescent="0.25">
      <c r="B222" s="59"/>
      <c r="C222" s="65" t="s">
        <v>1032</v>
      </c>
      <c r="D222" s="61" t="s">
        <v>2</v>
      </c>
      <c r="E222" s="62">
        <f t="shared" si="35"/>
        <v>0</v>
      </c>
      <c r="F222" s="63">
        <f>'Прайс для расчета'!E204</f>
        <v>892.5</v>
      </c>
      <c r="G222" s="64">
        <f t="shared" si="36"/>
        <v>0</v>
      </c>
      <c r="I222" s="135">
        <f>'Прайс для расчета (М)'!E204</f>
        <v>446.25</v>
      </c>
      <c r="J222" s="36">
        <f t="shared" si="37"/>
        <v>0</v>
      </c>
    </row>
    <row r="223" spans="2:10" ht="15.6" x14ac:dyDescent="0.25">
      <c r="B223" s="59"/>
      <c r="C223" s="65" t="s">
        <v>1030</v>
      </c>
      <c r="D223" s="61" t="s">
        <v>2</v>
      </c>
      <c r="E223" s="62">
        <f t="shared" si="35"/>
        <v>0</v>
      </c>
      <c r="F223" s="63">
        <f>'Прайс для расчета'!E205</f>
        <v>1102.5</v>
      </c>
      <c r="G223" s="64">
        <f t="shared" si="36"/>
        <v>0</v>
      </c>
      <c r="I223" s="135">
        <f>'Прайс для расчета (М)'!E205</f>
        <v>551.25</v>
      </c>
      <c r="J223" s="36">
        <f t="shared" si="37"/>
        <v>0</v>
      </c>
    </row>
    <row r="224" spans="2:10" ht="15.6" x14ac:dyDescent="0.25">
      <c r="B224" s="59"/>
      <c r="C224" s="65" t="s">
        <v>1031</v>
      </c>
      <c r="D224" s="61" t="s">
        <v>2</v>
      </c>
      <c r="E224" s="62">
        <f t="shared" si="35"/>
        <v>0</v>
      </c>
      <c r="F224" s="63">
        <f>'Прайс для расчета'!E206</f>
        <v>892.5</v>
      </c>
      <c r="G224" s="64">
        <f t="shared" si="36"/>
        <v>0</v>
      </c>
      <c r="I224" s="135">
        <f>'Прайс для расчета (М)'!E206</f>
        <v>446.25</v>
      </c>
      <c r="J224" s="36">
        <f t="shared" si="37"/>
        <v>0</v>
      </c>
    </row>
    <row r="225" spans="2:10" ht="15.6" x14ac:dyDescent="0.25">
      <c r="B225" s="59"/>
      <c r="C225" s="65" t="s">
        <v>1106</v>
      </c>
      <c r="D225" s="61" t="s">
        <v>3</v>
      </c>
      <c r="E225" s="62">
        <f t="shared" si="35"/>
        <v>0</v>
      </c>
      <c r="F225" s="63">
        <f>'Прайс для расчета'!E207</f>
        <v>210</v>
      </c>
      <c r="G225" s="64">
        <f t="shared" si="36"/>
        <v>0</v>
      </c>
      <c r="I225" s="135">
        <f>'Прайс для расчета (М)'!E207</f>
        <v>105</v>
      </c>
      <c r="J225" s="36">
        <f t="shared" si="37"/>
        <v>0</v>
      </c>
    </row>
    <row r="226" spans="2:10" ht="15.6" x14ac:dyDescent="0.25">
      <c r="B226" s="59"/>
      <c r="C226" s="202" t="s">
        <v>1009</v>
      </c>
      <c r="D226" s="61" t="s">
        <v>2</v>
      </c>
      <c r="E226" s="62">
        <f t="shared" si="35"/>
        <v>0</v>
      </c>
      <c r="F226" s="63">
        <f>'Прайс для расчета'!E208</f>
        <v>3097.5</v>
      </c>
      <c r="G226" s="64">
        <f t="shared" si="36"/>
        <v>0</v>
      </c>
      <c r="I226" s="135">
        <f>'Прайс для расчета (М)'!E208</f>
        <v>1548.75</v>
      </c>
      <c r="J226" s="36">
        <f t="shared" si="37"/>
        <v>0</v>
      </c>
    </row>
    <row r="227" spans="2:10" ht="15.6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6"/>
        <v>240.05099999999999</v>
      </c>
      <c r="I227" s="135">
        <f>'Прайс для расчета (М)'!E209</f>
        <v>120.02549999999999</v>
      </c>
      <c r="J227" s="36">
        <f t="shared" si="37"/>
        <v>120.02549999999999</v>
      </c>
    </row>
    <row r="228" spans="2:10" ht="15.6" x14ac:dyDescent="0.25">
      <c r="B228" s="59"/>
      <c r="C228" s="65" t="s">
        <v>401</v>
      </c>
      <c r="D228" s="61" t="s">
        <v>3</v>
      </c>
      <c r="E228" s="62">
        <f>ROUND($A$4*1.25,0)</f>
        <v>0</v>
      </c>
      <c r="F228" s="63">
        <f>'Прайс для расчета'!E210</f>
        <v>164.01</v>
      </c>
      <c r="G228" s="64">
        <f t="shared" si="36"/>
        <v>0</v>
      </c>
      <c r="I228" s="135">
        <f>'Прайс для расчета (М)'!E210</f>
        <v>82.004999999999995</v>
      </c>
      <c r="J228" s="36">
        <f t="shared" si="37"/>
        <v>0</v>
      </c>
    </row>
    <row r="229" spans="2:10" ht="15.6" x14ac:dyDescent="0.25">
      <c r="B229" s="59"/>
      <c r="C229" s="65" t="s">
        <v>675</v>
      </c>
      <c r="D229" s="61" t="s">
        <v>2</v>
      </c>
      <c r="E229" s="62">
        <f t="shared" ref="E229:E238" si="39">$A$4</f>
        <v>0</v>
      </c>
      <c r="F229" s="63">
        <f>'Прайс для расчета'!E211</f>
        <v>477.12</v>
      </c>
      <c r="G229" s="64">
        <f t="shared" si="36"/>
        <v>0</v>
      </c>
      <c r="I229" s="135">
        <f>'Прайс для расчета (М)'!E211</f>
        <v>238.56</v>
      </c>
      <c r="J229" s="36">
        <f t="shared" si="37"/>
        <v>0</v>
      </c>
    </row>
    <row r="230" spans="2:10" ht="15.6" x14ac:dyDescent="0.25">
      <c r="B230" s="59"/>
      <c r="C230" s="65" t="s">
        <v>1023</v>
      </c>
      <c r="D230" s="61" t="s">
        <v>2</v>
      </c>
      <c r="E230" s="62">
        <f t="shared" si="39"/>
        <v>0</v>
      </c>
      <c r="F230" s="63">
        <f>'Прайс для расчета'!E212</f>
        <v>124.95</v>
      </c>
      <c r="G230" s="64">
        <f t="shared" si="36"/>
        <v>0</v>
      </c>
      <c r="I230" s="135">
        <f>'Прайс для расчета (М)'!E212</f>
        <v>62.475000000000001</v>
      </c>
      <c r="J230" s="36">
        <f t="shared" si="37"/>
        <v>0</v>
      </c>
    </row>
    <row r="231" spans="2:10" ht="15.6" x14ac:dyDescent="0.25">
      <c r="B231" s="59"/>
      <c r="C231" s="65" t="s">
        <v>1132</v>
      </c>
      <c r="D231" s="61" t="s">
        <v>2</v>
      </c>
      <c r="E231" s="62">
        <f t="shared" si="39"/>
        <v>0</v>
      </c>
      <c r="F231" s="63">
        <f>'Прайс для расчета'!E213</f>
        <v>199.5</v>
      </c>
      <c r="G231" s="64">
        <f t="shared" ref="G231" si="40">F231*E231</f>
        <v>0</v>
      </c>
      <c r="I231" s="135">
        <f>'Прайс для расчета (М)'!E213</f>
        <v>99.75</v>
      </c>
      <c r="J231" s="36">
        <f t="shared" si="37"/>
        <v>0</v>
      </c>
    </row>
    <row r="232" spans="2:10" ht="15.6" x14ac:dyDescent="0.25">
      <c r="B232" s="59"/>
      <c r="C232" s="65" t="s">
        <v>676</v>
      </c>
      <c r="D232" s="61" t="s">
        <v>2</v>
      </c>
      <c r="E232" s="62">
        <f t="shared" si="39"/>
        <v>0</v>
      </c>
      <c r="F232" s="63">
        <f>'Прайс для расчета'!E214</f>
        <v>299.25</v>
      </c>
      <c r="G232" s="64">
        <f t="shared" si="36"/>
        <v>0</v>
      </c>
      <c r="I232" s="135">
        <f>'Прайс для расчета (М)'!E214</f>
        <v>149.625</v>
      </c>
      <c r="J232" s="36">
        <f t="shared" si="37"/>
        <v>0</v>
      </c>
    </row>
    <row r="233" spans="2:10" ht="15.6" x14ac:dyDescent="0.25">
      <c r="B233" s="59"/>
      <c r="C233" s="65" t="s">
        <v>403</v>
      </c>
      <c r="D233" s="61" t="s">
        <v>647</v>
      </c>
      <c r="E233" s="62">
        <f t="shared" si="39"/>
        <v>0</v>
      </c>
      <c r="F233" s="63">
        <f>'Прайс для расчета'!E215</f>
        <v>236.25</v>
      </c>
      <c r="G233" s="64">
        <f t="shared" si="36"/>
        <v>0</v>
      </c>
      <c r="I233" s="135">
        <f>'Прайс для расчета (М)'!E215</f>
        <v>118.125</v>
      </c>
      <c r="J233" s="36">
        <f t="shared" si="37"/>
        <v>0</v>
      </c>
    </row>
    <row r="234" spans="2:10" ht="15.6" x14ac:dyDescent="0.25">
      <c r="B234" s="59"/>
      <c r="C234" s="65" t="s">
        <v>1035</v>
      </c>
      <c r="D234" s="61" t="s">
        <v>2</v>
      </c>
      <c r="E234" s="62">
        <f t="shared" si="39"/>
        <v>0</v>
      </c>
      <c r="F234" s="63">
        <f>'Прайс для расчета'!E216</f>
        <v>624.75</v>
      </c>
      <c r="G234" s="64">
        <f t="shared" si="36"/>
        <v>0</v>
      </c>
      <c r="I234" s="135">
        <f>'Прайс для расчета (М)'!E216</f>
        <v>312.375</v>
      </c>
      <c r="J234" s="36">
        <f t="shared" si="37"/>
        <v>0</v>
      </c>
    </row>
    <row r="235" spans="2:10" ht="15.6" x14ac:dyDescent="0.25">
      <c r="B235" s="59"/>
      <c r="C235" s="65" t="s">
        <v>1041</v>
      </c>
      <c r="D235" s="61" t="s">
        <v>2</v>
      </c>
      <c r="E235" s="62">
        <f t="shared" si="39"/>
        <v>0</v>
      </c>
      <c r="F235" s="63">
        <f>'Прайс для расчета'!E217</f>
        <v>787.5</v>
      </c>
      <c r="G235" s="64">
        <f t="shared" si="36"/>
        <v>0</v>
      </c>
      <c r="I235" s="135">
        <f>'Прайс для расчета (М)'!E217</f>
        <v>393.75</v>
      </c>
      <c r="J235" s="36">
        <f t="shared" si="37"/>
        <v>0</v>
      </c>
    </row>
    <row r="236" spans="2:10" ht="15.6" x14ac:dyDescent="0.25">
      <c r="B236" s="59"/>
      <c r="C236" s="69" t="s">
        <v>1137</v>
      </c>
      <c r="D236" s="61" t="s">
        <v>2</v>
      </c>
      <c r="E236" s="62">
        <f t="shared" si="39"/>
        <v>0</v>
      </c>
      <c r="F236" s="63">
        <f>'Прайс для расчета'!E218</f>
        <v>1207.5</v>
      </c>
      <c r="G236" s="64">
        <f t="shared" si="36"/>
        <v>0</v>
      </c>
      <c r="I236" s="135">
        <f>'Прайс для расчета (М)'!E218</f>
        <v>603.75</v>
      </c>
      <c r="J236" s="36">
        <f t="shared" si="37"/>
        <v>0</v>
      </c>
    </row>
    <row r="237" spans="2:10" ht="15.6" x14ac:dyDescent="0.25">
      <c r="B237" s="59"/>
      <c r="C237" s="69" t="s">
        <v>1139</v>
      </c>
      <c r="D237" s="61" t="s">
        <v>2</v>
      </c>
      <c r="E237" s="62">
        <f t="shared" si="39"/>
        <v>0</v>
      </c>
      <c r="F237" s="63">
        <f>'Прайс для расчета'!E219</f>
        <v>262.5</v>
      </c>
      <c r="G237" s="64">
        <f t="shared" si="36"/>
        <v>0</v>
      </c>
      <c r="I237" s="135">
        <f>'Прайс для расчета (М)'!E219</f>
        <v>131.25</v>
      </c>
      <c r="J237" s="36">
        <f t="shared" si="37"/>
        <v>0</v>
      </c>
    </row>
    <row r="238" spans="2:10" ht="15.6" x14ac:dyDescent="0.25">
      <c r="B238" s="59"/>
      <c r="C238" s="69" t="s">
        <v>1142</v>
      </c>
      <c r="D238" s="61" t="s">
        <v>2</v>
      </c>
      <c r="E238" s="62">
        <f t="shared" si="39"/>
        <v>0</v>
      </c>
      <c r="F238" s="63">
        <f>'Прайс для расчета'!E220</f>
        <v>997.5</v>
      </c>
      <c r="G238" s="64">
        <f t="shared" si="36"/>
        <v>0</v>
      </c>
      <c r="I238" s="135">
        <f>'Прайс для расчета (М)'!E220</f>
        <v>498.75</v>
      </c>
      <c r="J238" s="36">
        <f t="shared" si="37"/>
        <v>0</v>
      </c>
    </row>
    <row r="239" spans="2:10" ht="15.6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6"/>
        <v>735</v>
      </c>
      <c r="I239" s="135">
        <f>'Прайс для расчета (М)'!E221</f>
        <v>367.5</v>
      </c>
      <c r="J239" s="36">
        <f t="shared" si="37"/>
        <v>367.5</v>
      </c>
    </row>
    <row r="240" spans="2:10" ht="15.6" x14ac:dyDescent="0.25">
      <c r="B240" s="59"/>
      <c r="C240" s="65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64">
        <f t="shared" si="36"/>
        <v>0</v>
      </c>
      <c r="I240" s="135">
        <f>'Прайс для расчета (М)'!E222</f>
        <v>52.5</v>
      </c>
      <c r="J240" s="36">
        <f t="shared" si="37"/>
        <v>0</v>
      </c>
    </row>
    <row r="241" spans="2:10" ht="15.6" x14ac:dyDescent="0.25">
      <c r="B241" s="59"/>
      <c r="C241" s="65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64">
        <f t="shared" si="36"/>
        <v>0</v>
      </c>
      <c r="I241" s="135">
        <f>'Прайс для расчета (М)'!E223</f>
        <v>146.47499999999999</v>
      </c>
      <c r="J241" s="36">
        <f t="shared" si="37"/>
        <v>0</v>
      </c>
    </row>
    <row r="242" spans="2:10" ht="15.6" x14ac:dyDescent="0.25">
      <c r="B242" s="59"/>
      <c r="C242" s="65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64">
        <f t="shared" si="36"/>
        <v>0</v>
      </c>
      <c r="I242" s="135">
        <f>'Прайс для расчета (М)'!E224</f>
        <v>359.625</v>
      </c>
      <c r="J242" s="36">
        <f t="shared" si="37"/>
        <v>0</v>
      </c>
    </row>
    <row r="243" spans="2:10" ht="15.6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6"/>
        <v>2299.5</v>
      </c>
      <c r="I243" s="135">
        <f>'Прайс для расчета (М)'!E225</f>
        <v>1149.75</v>
      </c>
      <c r="J243" s="36">
        <f t="shared" si="37"/>
        <v>1149.75</v>
      </c>
    </row>
    <row r="244" spans="2:10" ht="15.6" x14ac:dyDescent="0.25">
      <c r="B244" s="59"/>
      <c r="C244" s="65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64">
        <f t="shared" si="36"/>
        <v>0</v>
      </c>
      <c r="I244" s="135">
        <f>'Прайс для расчета (М)'!E226</f>
        <v>971.25</v>
      </c>
      <c r="J244" s="36">
        <f t="shared" si="37"/>
        <v>0</v>
      </c>
    </row>
    <row r="245" spans="2:10" ht="15.6" x14ac:dyDescent="0.25">
      <c r="B245" s="59"/>
      <c r="C245" s="65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64">
        <f t="shared" si="36"/>
        <v>0</v>
      </c>
      <c r="I245" s="135">
        <f>'Прайс для расчета (М)'!E227</f>
        <v>1023.75</v>
      </c>
      <c r="J245" s="36">
        <f t="shared" si="37"/>
        <v>0</v>
      </c>
    </row>
    <row r="246" spans="2:10" ht="15.6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6"/>
        <v>2467.5</v>
      </c>
      <c r="I246" s="135">
        <f>'Прайс для расчета (М)'!E228</f>
        <v>1233.75</v>
      </c>
      <c r="J246" s="36">
        <f t="shared" si="37"/>
        <v>1233.75</v>
      </c>
    </row>
    <row r="247" spans="2:10" ht="15.6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ref="G247" si="41">F247*E247</f>
        <v>2677.5</v>
      </c>
      <c r="I247" s="135">
        <f>'Прайс для расчета (М)'!E229</f>
        <v>1338.75</v>
      </c>
      <c r="J247" s="36">
        <f t="shared" si="37"/>
        <v>1338.75</v>
      </c>
    </row>
    <row r="248" spans="2:10" ht="15.6" x14ac:dyDescent="0.25">
      <c r="B248" s="110">
        <f>IF(SUM(B139:B247)&gt;0,1,0)</f>
        <v>0</v>
      </c>
      <c r="C248" s="266" t="s">
        <v>514</v>
      </c>
      <c r="D248" s="266"/>
      <c r="E248" s="266"/>
      <c r="F248" s="266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IF(SUM(B250:B361)&gt;0,1,0)</f>
        <v>0</v>
      </c>
      <c r="C249" s="164" t="s">
        <v>655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7" t="s">
        <v>877</v>
      </c>
      <c r="D250" s="61"/>
      <c r="E250" s="62"/>
      <c r="F250" s="63"/>
      <c r="G250" s="64"/>
    </row>
    <row r="251" spans="2:10" ht="15.6" x14ac:dyDescent="0.3">
      <c r="B251" s="59"/>
      <c r="C251" s="78" t="s">
        <v>933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64">
        <f t="shared" ref="G251:G286" si="42">F251*E251</f>
        <v>0</v>
      </c>
      <c r="I251" s="135">
        <f>'Прайс для расчета (М)'!E230</f>
        <v>1259.4750000000001</v>
      </c>
      <c r="J251" s="36">
        <f t="shared" ref="J251:J286" si="43">I251*E251</f>
        <v>0</v>
      </c>
    </row>
    <row r="252" spans="2:10" ht="15.6" x14ac:dyDescent="0.3">
      <c r="B252" s="59"/>
      <c r="C252" s="78" t="s">
        <v>233</v>
      </c>
      <c r="D252" s="74" t="s">
        <v>3</v>
      </c>
      <c r="E252" s="62">
        <f t="shared" ref="E252:E267" si="44">$A$4</f>
        <v>0</v>
      </c>
      <c r="F252" s="63">
        <f>'Прайс для расчета'!E231</f>
        <v>509.25</v>
      </c>
      <c r="G252" s="64">
        <f t="shared" si="42"/>
        <v>0</v>
      </c>
      <c r="I252" s="135">
        <f>'Прайс для расчета (М)'!E231</f>
        <v>254.625</v>
      </c>
      <c r="J252" s="36">
        <f t="shared" si="43"/>
        <v>0</v>
      </c>
    </row>
    <row r="253" spans="2:10" ht="15.6" x14ac:dyDescent="0.3">
      <c r="B253" s="59"/>
      <c r="C253" s="78" t="s">
        <v>409</v>
      </c>
      <c r="D253" s="74" t="s">
        <v>2</v>
      </c>
      <c r="E253" s="62">
        <f t="shared" si="44"/>
        <v>0</v>
      </c>
      <c r="F253" s="63">
        <f>'Прайс для расчета'!E232</f>
        <v>2718.4500000000003</v>
      </c>
      <c r="G253" s="64">
        <f t="shared" si="42"/>
        <v>0</v>
      </c>
      <c r="I253" s="135">
        <f>'Прайс для расчета (М)'!E232</f>
        <v>1359.2250000000001</v>
      </c>
      <c r="J253" s="36">
        <f t="shared" si="43"/>
        <v>0</v>
      </c>
    </row>
    <row r="254" spans="2:10" ht="15.6" x14ac:dyDescent="0.3">
      <c r="B254" s="59"/>
      <c r="C254" s="78" t="s">
        <v>1059</v>
      </c>
      <c r="D254" s="74" t="s">
        <v>2</v>
      </c>
      <c r="E254" s="62">
        <f t="shared" si="44"/>
        <v>0</v>
      </c>
      <c r="F254" s="63">
        <f>'Прайс для расчета'!E233</f>
        <v>1260</v>
      </c>
      <c r="G254" s="64">
        <f t="shared" si="42"/>
        <v>0</v>
      </c>
      <c r="I254" s="135">
        <f>'Прайс для расчета (М)'!E233</f>
        <v>630</v>
      </c>
      <c r="J254" s="36">
        <f t="shared" si="43"/>
        <v>0</v>
      </c>
    </row>
    <row r="255" spans="2:10" ht="15.6" x14ac:dyDescent="0.3">
      <c r="B255" s="59"/>
      <c r="C255" s="78" t="s">
        <v>411</v>
      </c>
      <c r="D255" s="74" t="s">
        <v>2</v>
      </c>
      <c r="E255" s="62">
        <f t="shared" si="44"/>
        <v>0</v>
      </c>
      <c r="F255" s="63">
        <f>'Прайс для расчета'!E234</f>
        <v>3033.4500000000003</v>
      </c>
      <c r="G255" s="64">
        <f t="shared" si="42"/>
        <v>0</v>
      </c>
      <c r="I255" s="135">
        <f>'Прайс для расчета (М)'!E234</f>
        <v>1516.7250000000001</v>
      </c>
      <c r="J255" s="36">
        <f t="shared" si="43"/>
        <v>0</v>
      </c>
    </row>
    <row r="256" spans="2:10" ht="15.6" x14ac:dyDescent="0.3">
      <c r="B256" s="59"/>
      <c r="C256" s="78" t="s">
        <v>1062</v>
      </c>
      <c r="D256" s="74" t="s">
        <v>3</v>
      </c>
      <c r="E256" s="62">
        <f t="shared" si="44"/>
        <v>0</v>
      </c>
      <c r="F256" s="63">
        <f>'Прайс для расчета'!E235</f>
        <v>971.25</v>
      </c>
      <c r="G256" s="64">
        <f t="shared" si="42"/>
        <v>0</v>
      </c>
      <c r="I256" s="135">
        <f>'Прайс для расчета (М)'!E235</f>
        <v>485.625</v>
      </c>
      <c r="J256" s="36">
        <f t="shared" si="43"/>
        <v>0</v>
      </c>
    </row>
    <row r="257" spans="2:10" ht="15.6" x14ac:dyDescent="0.3">
      <c r="B257" s="59"/>
      <c r="C257" s="78" t="s">
        <v>923</v>
      </c>
      <c r="D257" s="74" t="s">
        <v>2</v>
      </c>
      <c r="E257" s="62">
        <f t="shared" si="44"/>
        <v>0</v>
      </c>
      <c r="F257" s="63">
        <f>'Прайс для расчета'!E236</f>
        <v>3412.5</v>
      </c>
      <c r="G257" s="64">
        <f t="shared" si="42"/>
        <v>0</v>
      </c>
      <c r="I257" s="135">
        <f>'Прайс для расчета (М)'!E236</f>
        <v>1706.25</v>
      </c>
      <c r="J257" s="36">
        <f t="shared" si="43"/>
        <v>0</v>
      </c>
    </row>
    <row r="258" spans="2:10" ht="15.6" x14ac:dyDescent="0.3">
      <c r="B258" s="59"/>
      <c r="C258" s="78" t="s">
        <v>988</v>
      </c>
      <c r="D258" s="74" t="s">
        <v>2</v>
      </c>
      <c r="E258" s="62">
        <f t="shared" si="44"/>
        <v>0</v>
      </c>
      <c r="F258" s="63">
        <f>'Прайс для расчета'!E237</f>
        <v>2938.9500000000003</v>
      </c>
      <c r="G258" s="64">
        <f t="shared" si="42"/>
        <v>0</v>
      </c>
      <c r="I258" s="135">
        <f>'Прайс для расчета (М)'!E237</f>
        <v>1469.4750000000001</v>
      </c>
      <c r="J258" s="36">
        <f t="shared" si="43"/>
        <v>0</v>
      </c>
    </row>
    <row r="259" spans="2:10" ht="15.6" x14ac:dyDescent="0.3">
      <c r="B259" s="59"/>
      <c r="C259" s="78" t="s">
        <v>922</v>
      </c>
      <c r="D259" s="74" t="s">
        <v>2</v>
      </c>
      <c r="E259" s="62">
        <f t="shared" si="44"/>
        <v>0</v>
      </c>
      <c r="F259" s="63">
        <f>'Прайс для расчета'!E238</f>
        <v>3097.5</v>
      </c>
      <c r="G259" s="64">
        <f t="shared" si="42"/>
        <v>0</v>
      </c>
      <c r="I259" s="135">
        <f>'Прайс для расчета (М)'!E238</f>
        <v>1548.75</v>
      </c>
      <c r="J259" s="36">
        <f t="shared" si="43"/>
        <v>0</v>
      </c>
    </row>
    <row r="260" spans="2:10" ht="15.6" x14ac:dyDescent="0.3">
      <c r="B260" s="59"/>
      <c r="C260" s="78" t="s">
        <v>989</v>
      </c>
      <c r="D260" s="74" t="s">
        <v>2</v>
      </c>
      <c r="E260" s="62">
        <f t="shared" si="44"/>
        <v>0</v>
      </c>
      <c r="F260" s="63">
        <f>'Прайс для расчета'!E239</f>
        <v>3717</v>
      </c>
      <c r="G260" s="64">
        <f t="shared" si="42"/>
        <v>0</v>
      </c>
      <c r="I260" s="135">
        <f>'Прайс для расчета (М)'!E239</f>
        <v>1858.5</v>
      </c>
      <c r="J260" s="36">
        <f t="shared" si="43"/>
        <v>0</v>
      </c>
    </row>
    <row r="261" spans="2:10" ht="15.6" x14ac:dyDescent="0.3">
      <c r="B261" s="59"/>
      <c r="C261" s="78" t="s">
        <v>936</v>
      </c>
      <c r="D261" s="74" t="s">
        <v>2</v>
      </c>
      <c r="E261" s="62">
        <f t="shared" si="44"/>
        <v>0</v>
      </c>
      <c r="F261" s="63">
        <f>'Прайс для расчета'!E240</f>
        <v>6237</v>
      </c>
      <c r="G261" s="64">
        <f t="shared" si="42"/>
        <v>0</v>
      </c>
      <c r="I261" s="135">
        <f>'Прайс для расчета (М)'!E240</f>
        <v>3118.5</v>
      </c>
      <c r="J261" s="36">
        <f t="shared" si="43"/>
        <v>0</v>
      </c>
    </row>
    <row r="262" spans="2:10" ht="15.6" x14ac:dyDescent="0.3">
      <c r="B262" s="59"/>
      <c r="C262" s="78" t="s">
        <v>1065</v>
      </c>
      <c r="D262" s="74" t="s">
        <v>2</v>
      </c>
      <c r="E262" s="62">
        <f t="shared" si="44"/>
        <v>0</v>
      </c>
      <c r="F262" s="63">
        <f>'Прайс для расчета'!E241</f>
        <v>3622.5</v>
      </c>
      <c r="G262" s="64">
        <f t="shared" si="42"/>
        <v>0</v>
      </c>
      <c r="I262" s="135">
        <f>'Прайс для расчета (М)'!E241</f>
        <v>1811.25</v>
      </c>
      <c r="J262" s="36">
        <f t="shared" si="43"/>
        <v>0</v>
      </c>
    </row>
    <row r="263" spans="2:10" ht="15.6" x14ac:dyDescent="0.3">
      <c r="B263" s="59"/>
      <c r="C263" s="78" t="s">
        <v>1066</v>
      </c>
      <c r="D263" s="74" t="s">
        <v>2</v>
      </c>
      <c r="E263" s="62">
        <f t="shared" si="44"/>
        <v>0</v>
      </c>
      <c r="F263" s="63">
        <f>'Прайс для расчета'!E242</f>
        <v>5197.5</v>
      </c>
      <c r="G263" s="64">
        <f t="shared" si="42"/>
        <v>0</v>
      </c>
      <c r="I263" s="135">
        <f>'Прайс для расчета (М)'!E242</f>
        <v>2598.75</v>
      </c>
      <c r="J263" s="36">
        <f t="shared" si="43"/>
        <v>0</v>
      </c>
    </row>
    <row r="264" spans="2:10" ht="15.6" x14ac:dyDescent="0.3">
      <c r="B264" s="59"/>
      <c r="C264" s="78" t="s">
        <v>1067</v>
      </c>
      <c r="D264" s="74" t="s">
        <v>2</v>
      </c>
      <c r="E264" s="62">
        <f t="shared" si="44"/>
        <v>0</v>
      </c>
      <c r="F264" s="63">
        <f>'Прайс для расчета'!E243</f>
        <v>3097.5</v>
      </c>
      <c r="G264" s="64">
        <f t="shared" si="42"/>
        <v>0</v>
      </c>
      <c r="I264" s="135">
        <f>'Прайс для расчета (М)'!E243</f>
        <v>1548.75</v>
      </c>
      <c r="J264" s="36">
        <f t="shared" si="43"/>
        <v>0</v>
      </c>
    </row>
    <row r="265" spans="2:10" ht="15.6" x14ac:dyDescent="0.3">
      <c r="B265" s="59"/>
      <c r="C265" s="78" t="s">
        <v>412</v>
      </c>
      <c r="D265" s="74" t="s">
        <v>2</v>
      </c>
      <c r="E265" s="62">
        <f t="shared" si="44"/>
        <v>0</v>
      </c>
      <c r="F265" s="63">
        <f>'Прайс для расчета'!E244</f>
        <v>404.25</v>
      </c>
      <c r="G265" s="64">
        <f t="shared" si="42"/>
        <v>0</v>
      </c>
      <c r="I265" s="135">
        <f>'Прайс для расчета (М)'!E244</f>
        <v>202.125</v>
      </c>
      <c r="J265" s="36">
        <f t="shared" si="43"/>
        <v>0</v>
      </c>
    </row>
    <row r="266" spans="2:10" ht="15.6" x14ac:dyDescent="0.3">
      <c r="B266" s="59"/>
      <c r="C266" s="78" t="s">
        <v>937</v>
      </c>
      <c r="D266" s="74" t="s">
        <v>2</v>
      </c>
      <c r="E266" s="62">
        <f t="shared" si="44"/>
        <v>0</v>
      </c>
      <c r="F266" s="63">
        <f>'Прайс для расчета'!E245</f>
        <v>1244.25</v>
      </c>
      <c r="G266" s="64">
        <f t="shared" si="42"/>
        <v>0</v>
      </c>
      <c r="I266" s="135">
        <f>'Прайс для расчета (М)'!E245</f>
        <v>622.125</v>
      </c>
      <c r="J266" s="36">
        <f t="shared" si="43"/>
        <v>0</v>
      </c>
    </row>
    <row r="267" spans="2:10" ht="15.6" x14ac:dyDescent="0.3">
      <c r="B267" s="59"/>
      <c r="C267" s="78" t="s">
        <v>938</v>
      </c>
      <c r="D267" s="74" t="s">
        <v>2</v>
      </c>
      <c r="E267" s="62">
        <f t="shared" si="44"/>
        <v>0</v>
      </c>
      <c r="F267" s="63">
        <f>'Прайс для расчета'!E246</f>
        <v>929.25</v>
      </c>
      <c r="G267" s="64">
        <f t="shared" si="42"/>
        <v>0</v>
      </c>
      <c r="I267" s="135">
        <f>'Прайс для расчета (М)'!E246</f>
        <v>464.625</v>
      </c>
      <c r="J267" s="36">
        <f t="shared" si="43"/>
        <v>0</v>
      </c>
    </row>
    <row r="268" spans="2:10" ht="15.6" x14ac:dyDescent="0.3">
      <c r="B268" s="59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64">
        <f t="shared" si="42"/>
        <v>0</v>
      </c>
      <c r="I268" s="135">
        <f>'Прайс для расчета (М)'!E247</f>
        <v>286.125</v>
      </c>
      <c r="J268" s="36">
        <f t="shared" si="43"/>
        <v>0</v>
      </c>
    </row>
    <row r="269" spans="2:10" ht="15.6" x14ac:dyDescent="0.3">
      <c r="B269" s="59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64">
        <f t="shared" ref="G269" si="45">F269*E269</f>
        <v>0</v>
      </c>
      <c r="I269" s="135">
        <f>'Прайс для расчета (М)'!E248</f>
        <v>511.875</v>
      </c>
      <c r="J269" s="36">
        <f t="shared" si="43"/>
        <v>0</v>
      </c>
    </row>
    <row r="270" spans="2:10" ht="15.6" x14ac:dyDescent="0.25">
      <c r="B270" s="59"/>
      <c r="C270" s="69" t="s">
        <v>414</v>
      </c>
      <c r="D270" s="61" t="s">
        <v>2</v>
      </c>
      <c r="E270" s="62">
        <f t="shared" ref="E270:E280" si="46">$A$4</f>
        <v>0</v>
      </c>
      <c r="F270" s="63">
        <f>'Прайс для расчета'!E249</f>
        <v>715.68</v>
      </c>
      <c r="G270" s="64">
        <f t="shared" ref="G270" si="47">F270*E270</f>
        <v>0</v>
      </c>
      <c r="I270" s="135">
        <f>'Прайс для расчета (М)'!E249</f>
        <v>357.84</v>
      </c>
      <c r="J270" s="36">
        <f t="shared" si="43"/>
        <v>0</v>
      </c>
    </row>
    <row r="271" spans="2:10" ht="15.6" x14ac:dyDescent="0.25">
      <c r="B271" s="59"/>
      <c r="C271" s="69" t="s">
        <v>145</v>
      </c>
      <c r="D271" s="61" t="s">
        <v>2</v>
      </c>
      <c r="E271" s="62">
        <f t="shared" si="46"/>
        <v>0</v>
      </c>
      <c r="F271" s="63">
        <f>'Прайс для расчета'!E250</f>
        <v>819</v>
      </c>
      <c r="G271" s="64">
        <f t="shared" si="42"/>
        <v>0</v>
      </c>
      <c r="I271" s="135">
        <f>'Прайс для расчета (М)'!E250</f>
        <v>409.5</v>
      </c>
      <c r="J271" s="36">
        <f t="shared" si="43"/>
        <v>0</v>
      </c>
    </row>
    <row r="272" spans="2:10" ht="15.6" x14ac:dyDescent="0.25">
      <c r="B272" s="59"/>
      <c r="C272" s="69" t="s">
        <v>1072</v>
      </c>
      <c r="D272" s="61" t="s">
        <v>2</v>
      </c>
      <c r="E272" s="62">
        <f t="shared" si="46"/>
        <v>0</v>
      </c>
      <c r="F272" s="63">
        <f>'Прайс для расчета'!E251</f>
        <v>876.75</v>
      </c>
      <c r="G272" s="64">
        <f t="shared" si="42"/>
        <v>0</v>
      </c>
      <c r="I272" s="135">
        <f>'Прайс для расчета (М)'!E251</f>
        <v>438.375</v>
      </c>
      <c r="J272" s="36">
        <f t="shared" si="43"/>
        <v>0</v>
      </c>
    </row>
    <row r="273" spans="2:10" ht="15.6" x14ac:dyDescent="0.25">
      <c r="B273" s="59"/>
      <c r="C273" s="69" t="s">
        <v>1073</v>
      </c>
      <c r="D273" s="61" t="s">
        <v>2</v>
      </c>
      <c r="E273" s="62">
        <f t="shared" si="46"/>
        <v>0</v>
      </c>
      <c r="F273" s="63">
        <f>'Прайс для расчета'!E252</f>
        <v>1097.25</v>
      </c>
      <c r="G273" s="64">
        <f t="shared" si="42"/>
        <v>0</v>
      </c>
      <c r="I273" s="135">
        <f>'Прайс для расчета (М)'!E252</f>
        <v>548.625</v>
      </c>
      <c r="J273" s="36">
        <f t="shared" si="43"/>
        <v>0</v>
      </c>
    </row>
    <row r="274" spans="2:10" ht="15.6" x14ac:dyDescent="0.25">
      <c r="B274" s="59"/>
      <c r="C274" s="69" t="s">
        <v>893</v>
      </c>
      <c r="D274" s="61" t="s">
        <v>2</v>
      </c>
      <c r="E274" s="62">
        <f t="shared" si="46"/>
        <v>0</v>
      </c>
      <c r="F274" s="63">
        <f>'Прайс для расчета'!E253</f>
        <v>299.25</v>
      </c>
      <c r="G274" s="64">
        <f t="shared" ref="G274" si="48">F274*E274</f>
        <v>0</v>
      </c>
      <c r="I274" s="135">
        <f>'Прайс для расчета (М)'!E253</f>
        <v>149.625</v>
      </c>
      <c r="J274" s="36">
        <f t="shared" si="43"/>
        <v>0</v>
      </c>
    </row>
    <row r="275" spans="2:10" ht="15.6" x14ac:dyDescent="0.25">
      <c r="B275" s="59"/>
      <c r="C275" s="69" t="s">
        <v>415</v>
      </c>
      <c r="D275" s="61" t="s">
        <v>2</v>
      </c>
      <c r="E275" s="62">
        <f t="shared" si="46"/>
        <v>0</v>
      </c>
      <c r="F275" s="63">
        <f>'Прайс для расчета'!E254</f>
        <v>1044.75</v>
      </c>
      <c r="G275" s="64">
        <f t="shared" si="42"/>
        <v>0</v>
      </c>
      <c r="I275" s="135">
        <f>'Прайс для расчета (М)'!E254</f>
        <v>522.375</v>
      </c>
      <c r="J275" s="36">
        <f t="shared" si="43"/>
        <v>0</v>
      </c>
    </row>
    <row r="276" spans="2:10" ht="15.6" x14ac:dyDescent="0.25">
      <c r="B276" s="59"/>
      <c r="C276" s="69" t="s">
        <v>519</v>
      </c>
      <c r="D276" s="61" t="s">
        <v>2</v>
      </c>
      <c r="E276" s="62">
        <f t="shared" si="46"/>
        <v>0</v>
      </c>
      <c r="F276" s="63">
        <f>'Прайс для расчета'!E255</f>
        <v>1401.75</v>
      </c>
      <c r="G276" s="64">
        <f t="shared" si="42"/>
        <v>0</v>
      </c>
      <c r="I276" s="135">
        <f>'Прайс для расчета (М)'!E255</f>
        <v>700.875</v>
      </c>
      <c r="J276" s="36">
        <f t="shared" si="43"/>
        <v>0</v>
      </c>
    </row>
    <row r="277" spans="2:10" ht="15.6" x14ac:dyDescent="0.25">
      <c r="B277" s="59"/>
      <c r="C277" s="69" t="s">
        <v>891</v>
      </c>
      <c r="D277" s="61" t="s">
        <v>2</v>
      </c>
      <c r="E277" s="62">
        <f t="shared" si="46"/>
        <v>0</v>
      </c>
      <c r="F277" s="63">
        <f>'Прайс для расчета'!E256</f>
        <v>2982</v>
      </c>
      <c r="G277" s="64">
        <f t="shared" si="42"/>
        <v>0</v>
      </c>
      <c r="I277" s="135">
        <f>'Прайс для расчета (М)'!E256</f>
        <v>1491</v>
      </c>
      <c r="J277" s="36">
        <f t="shared" si="43"/>
        <v>0</v>
      </c>
    </row>
    <row r="278" spans="2:10" ht="15.6" x14ac:dyDescent="0.25">
      <c r="B278" s="59"/>
      <c r="C278" s="69" t="s">
        <v>416</v>
      </c>
      <c r="D278" s="61" t="s">
        <v>2</v>
      </c>
      <c r="E278" s="62">
        <f t="shared" si="46"/>
        <v>0</v>
      </c>
      <c r="F278" s="63">
        <f>'Прайс для расчета'!E257</f>
        <v>1155</v>
      </c>
      <c r="G278" s="64">
        <f t="shared" si="42"/>
        <v>0</v>
      </c>
      <c r="I278" s="135">
        <f>'Прайс для расчета (М)'!E257</f>
        <v>577.5</v>
      </c>
      <c r="J278" s="36">
        <f t="shared" si="43"/>
        <v>0</v>
      </c>
    </row>
    <row r="279" spans="2:10" ht="15.6" x14ac:dyDescent="0.25">
      <c r="B279" s="59"/>
      <c r="C279" s="69" t="s">
        <v>149</v>
      </c>
      <c r="D279" s="61" t="s">
        <v>2</v>
      </c>
      <c r="E279" s="62">
        <f t="shared" si="46"/>
        <v>0</v>
      </c>
      <c r="F279" s="63">
        <f>'Прайс для расчета'!E258</f>
        <v>441</v>
      </c>
      <c r="G279" s="64">
        <f t="shared" si="42"/>
        <v>0</v>
      </c>
      <c r="I279" s="135">
        <f>'Прайс для расчета (М)'!E258</f>
        <v>220.5</v>
      </c>
      <c r="J279" s="36">
        <f t="shared" si="43"/>
        <v>0</v>
      </c>
    </row>
    <row r="280" spans="2:10" ht="15.6" x14ac:dyDescent="0.25">
      <c r="B280" s="59"/>
      <c r="C280" s="69" t="s">
        <v>150</v>
      </c>
      <c r="D280" s="61" t="s">
        <v>2</v>
      </c>
      <c r="E280" s="62">
        <f t="shared" si="46"/>
        <v>0</v>
      </c>
      <c r="F280" s="63">
        <f>'Прайс для расчета'!E259</f>
        <v>514.5</v>
      </c>
      <c r="G280" s="64">
        <f t="shared" si="42"/>
        <v>0</v>
      </c>
      <c r="I280" s="135">
        <f>'Прайс для расчета (М)'!E259</f>
        <v>257.25</v>
      </c>
      <c r="J280" s="36">
        <f t="shared" si="43"/>
        <v>0</v>
      </c>
    </row>
    <row r="281" spans="2:10" ht="15.6" x14ac:dyDescent="0.25">
      <c r="B281" s="59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64">
        <f t="shared" si="42"/>
        <v>0</v>
      </c>
      <c r="I281" s="135">
        <f>'Прайс для расчета (М)'!E260</f>
        <v>112.35000000000001</v>
      </c>
      <c r="J281" s="36">
        <f t="shared" si="43"/>
        <v>0</v>
      </c>
    </row>
    <row r="282" spans="2:10" ht="15.6" x14ac:dyDescent="0.25">
      <c r="B282" s="59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64">
        <f t="shared" si="42"/>
        <v>0</v>
      </c>
      <c r="I282" s="135">
        <f>'Прайс для расчета (М)'!E261</f>
        <v>325.5</v>
      </c>
      <c r="J282" s="36">
        <f t="shared" si="43"/>
        <v>0</v>
      </c>
    </row>
    <row r="283" spans="2:10" ht="15.6" x14ac:dyDescent="0.25">
      <c r="B283" s="59"/>
      <c r="C283" s="69" t="s">
        <v>890</v>
      </c>
      <c r="D283" s="61" t="s">
        <v>3</v>
      </c>
      <c r="E283" s="62">
        <f t="shared" ref="E283:E285" si="49">$A$2</f>
        <v>0</v>
      </c>
      <c r="F283" s="63">
        <f>'Прайс для расчета'!E262</f>
        <v>834.75</v>
      </c>
      <c r="G283" s="64">
        <f t="shared" si="42"/>
        <v>0</v>
      </c>
      <c r="I283" s="135">
        <f>'Прайс для расчета (М)'!E262</f>
        <v>417.375</v>
      </c>
      <c r="J283" s="36">
        <f t="shared" si="43"/>
        <v>0</v>
      </c>
    </row>
    <row r="284" spans="2:10" ht="15.6" x14ac:dyDescent="0.25">
      <c r="B284" s="59"/>
      <c r="C284" s="69" t="s">
        <v>418</v>
      </c>
      <c r="D284" s="61" t="s">
        <v>0</v>
      </c>
      <c r="E284" s="62">
        <f t="shared" si="49"/>
        <v>0</v>
      </c>
      <c r="F284" s="63">
        <f>'Прайс для расчета'!E263</f>
        <v>787.5</v>
      </c>
      <c r="G284" s="64">
        <f t="shared" si="42"/>
        <v>0</v>
      </c>
      <c r="I284" s="135">
        <f>'Прайс для расчета (М)'!E263</f>
        <v>393.75</v>
      </c>
      <c r="J284" s="36">
        <f t="shared" si="43"/>
        <v>0</v>
      </c>
    </row>
    <row r="285" spans="2:10" ht="15.6" x14ac:dyDescent="0.25">
      <c r="B285" s="59"/>
      <c r="C285" s="69" t="s">
        <v>137</v>
      </c>
      <c r="D285" s="61" t="s">
        <v>0</v>
      </c>
      <c r="E285" s="62">
        <f t="shared" si="49"/>
        <v>0</v>
      </c>
      <c r="F285" s="63">
        <f>'Прайс для расчета'!E264</f>
        <v>2551.5</v>
      </c>
      <c r="G285" s="64">
        <f t="shared" si="42"/>
        <v>0</v>
      </c>
      <c r="I285" s="135">
        <f>'Прайс для расчета (М)'!E264</f>
        <v>1275.75</v>
      </c>
      <c r="J285" s="36">
        <f t="shared" si="43"/>
        <v>0</v>
      </c>
    </row>
    <row r="286" spans="2:10" ht="15.6" x14ac:dyDescent="0.25">
      <c r="B286" s="59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64">
        <f t="shared" si="42"/>
        <v>0</v>
      </c>
      <c r="I286" s="135">
        <f>'Прайс для расчета (М)'!E265</f>
        <v>76.125</v>
      </c>
      <c r="J286" s="36">
        <f t="shared" si="43"/>
        <v>0</v>
      </c>
    </row>
    <row r="287" spans="2:10" ht="15.6" x14ac:dyDescent="0.25">
      <c r="B287" s="59">
        <f>IF(SUM(B288:B311)&gt;0,1,0)</f>
        <v>0</v>
      </c>
      <c r="C287" s="67" t="s">
        <v>878</v>
      </c>
      <c r="D287" s="61"/>
      <c r="E287" s="62"/>
      <c r="F287" s="63"/>
      <c r="G287" s="64"/>
    </row>
    <row r="288" spans="2:10" ht="15.6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50">F288*E288</f>
        <v>#REF!</v>
      </c>
      <c r="I288" s="135">
        <f>'Прайс для расчета (М)'!E276</f>
        <v>2192.4</v>
      </c>
      <c r="J288" s="36" t="e">
        <f t="shared" ref="J288:J311" si="51">I288*E288</f>
        <v>#REF!</v>
      </c>
    </row>
    <row r="289" spans="2:10" ht="15.6" x14ac:dyDescent="0.25">
      <c r="B289" s="59"/>
      <c r="C289" s="69" t="s">
        <v>270</v>
      </c>
      <c r="D289" s="61" t="s">
        <v>2</v>
      </c>
      <c r="E289" s="62" t="e">
        <f t="shared" ref="E289:E305" si="52">$A$6</f>
        <v>#REF!</v>
      </c>
      <c r="F289" s="63">
        <f>'Прайс для расчета'!E287</f>
        <v>2220.75</v>
      </c>
      <c r="G289" s="64" t="e">
        <f t="shared" si="50"/>
        <v>#REF!</v>
      </c>
      <c r="I289" s="135">
        <f>'Прайс для расчета (М)'!E287</f>
        <v>1110.375</v>
      </c>
      <c r="J289" s="36" t="e">
        <f t="shared" si="51"/>
        <v>#REF!</v>
      </c>
    </row>
    <row r="290" spans="2:10" ht="15.6" x14ac:dyDescent="0.25">
      <c r="B290" s="59"/>
      <c r="C290" s="69" t="s">
        <v>524</v>
      </c>
      <c r="D290" s="61" t="s">
        <v>2</v>
      </c>
      <c r="E290" s="62" t="e">
        <f t="shared" si="52"/>
        <v>#REF!</v>
      </c>
      <c r="F290" s="63">
        <f>'Прайс для расчета'!E288</f>
        <v>2577.75</v>
      </c>
      <c r="G290" s="64" t="e">
        <f t="shared" si="50"/>
        <v>#REF!</v>
      </c>
      <c r="I290" s="135">
        <f>'Прайс для расчета (М)'!E288</f>
        <v>1288.875</v>
      </c>
      <c r="J290" s="36" t="e">
        <f t="shared" si="51"/>
        <v>#REF!</v>
      </c>
    </row>
    <row r="291" spans="2:10" ht="15.6" x14ac:dyDescent="0.25">
      <c r="B291" s="59"/>
      <c r="C291" s="69" t="s">
        <v>525</v>
      </c>
      <c r="D291" s="61" t="s">
        <v>2</v>
      </c>
      <c r="E291" s="62" t="e">
        <f t="shared" si="52"/>
        <v>#REF!</v>
      </c>
      <c r="F291" s="63">
        <f>'Прайс для расчета'!E289</f>
        <v>1291.5</v>
      </c>
      <c r="G291" s="64" t="e">
        <f t="shared" si="50"/>
        <v>#REF!</v>
      </c>
      <c r="I291" s="135">
        <f>'Прайс для расчета (М)'!E289</f>
        <v>645.75</v>
      </c>
      <c r="J291" s="36" t="e">
        <f t="shared" si="51"/>
        <v>#REF!</v>
      </c>
    </row>
    <row r="292" spans="2:10" ht="15.6" x14ac:dyDescent="0.25">
      <c r="B292" s="59"/>
      <c r="C292" s="69" t="s">
        <v>526</v>
      </c>
      <c r="D292" s="61" t="s">
        <v>2</v>
      </c>
      <c r="E292" s="62" t="e">
        <f t="shared" si="52"/>
        <v>#REF!</v>
      </c>
      <c r="F292" s="63">
        <f>'Прайс для расчета'!E290</f>
        <v>1186.5</v>
      </c>
      <c r="G292" s="64" t="e">
        <f t="shared" si="50"/>
        <v>#REF!</v>
      </c>
      <c r="I292" s="135">
        <f>'Прайс для расчета (М)'!E290</f>
        <v>593.25</v>
      </c>
      <c r="J292" s="36" t="e">
        <f t="shared" si="51"/>
        <v>#REF!</v>
      </c>
    </row>
    <row r="293" spans="2:10" ht="15.6" x14ac:dyDescent="0.25">
      <c r="B293" s="59"/>
      <c r="C293" s="69" t="s">
        <v>271</v>
      </c>
      <c r="D293" s="61" t="s">
        <v>3</v>
      </c>
      <c r="E293" s="62" t="e">
        <f t="shared" si="52"/>
        <v>#REF!</v>
      </c>
      <c r="F293" s="63">
        <f>'Прайс для расчета'!E291</f>
        <v>761.25</v>
      </c>
      <c r="G293" s="64" t="e">
        <f t="shared" si="50"/>
        <v>#REF!</v>
      </c>
      <c r="I293" s="135">
        <f>'Прайс для расчета (М)'!E291</f>
        <v>380.625</v>
      </c>
      <c r="J293" s="36" t="e">
        <f t="shared" si="51"/>
        <v>#REF!</v>
      </c>
    </row>
    <row r="294" spans="2:10" ht="15.6" x14ac:dyDescent="0.25">
      <c r="B294" s="59"/>
      <c r="C294" s="69" t="s">
        <v>962</v>
      </c>
      <c r="D294" s="61" t="s">
        <v>3</v>
      </c>
      <c r="E294" s="62" t="e">
        <f t="shared" si="52"/>
        <v>#REF!</v>
      </c>
      <c r="F294" s="63">
        <f>'Прайс для расчета'!E292</f>
        <v>519.75</v>
      </c>
      <c r="G294" s="64" t="e">
        <f t="shared" ref="G294:G295" si="53">F294*E294</f>
        <v>#REF!</v>
      </c>
      <c r="I294" s="135">
        <f>'Прайс для расчета (М)'!E292</f>
        <v>259.875</v>
      </c>
      <c r="J294" s="36" t="e">
        <f t="shared" si="51"/>
        <v>#REF!</v>
      </c>
    </row>
    <row r="295" spans="2:10" ht="15.6" x14ac:dyDescent="0.25">
      <c r="B295" s="59"/>
      <c r="C295" s="69" t="s">
        <v>963</v>
      </c>
      <c r="D295" s="61" t="s">
        <v>3</v>
      </c>
      <c r="E295" s="62" t="e">
        <f t="shared" si="52"/>
        <v>#REF!</v>
      </c>
      <c r="F295" s="63">
        <f>'Прайс для расчета'!E293</f>
        <v>824.25</v>
      </c>
      <c r="G295" s="64" t="e">
        <f t="shared" si="53"/>
        <v>#REF!</v>
      </c>
      <c r="I295" s="135">
        <f>'Прайс для расчета (М)'!E293</f>
        <v>412.125</v>
      </c>
      <c r="J295" s="36" t="e">
        <f t="shared" si="51"/>
        <v>#REF!</v>
      </c>
    </row>
    <row r="296" spans="2:10" ht="15.6" x14ac:dyDescent="0.25">
      <c r="B296" s="59"/>
      <c r="C296" s="69" t="s">
        <v>527</v>
      </c>
      <c r="D296" s="61" t="s">
        <v>2</v>
      </c>
      <c r="E296" s="62" t="e">
        <f t="shared" si="52"/>
        <v>#REF!</v>
      </c>
      <c r="F296" s="63">
        <f>'Прайс для расчета'!E294</f>
        <v>1732.5</v>
      </c>
      <c r="G296" s="64" t="e">
        <f t="shared" si="50"/>
        <v>#REF!</v>
      </c>
      <c r="I296" s="135">
        <f>'Прайс для расчета (М)'!E294</f>
        <v>866.25</v>
      </c>
      <c r="J296" s="36" t="e">
        <f t="shared" si="51"/>
        <v>#REF!</v>
      </c>
    </row>
    <row r="297" spans="2:10" ht="15.6" x14ac:dyDescent="0.25">
      <c r="B297" s="59"/>
      <c r="C297" s="69" t="s">
        <v>678</v>
      </c>
      <c r="D297" s="61" t="s">
        <v>2</v>
      </c>
      <c r="E297" s="62" t="e">
        <f t="shared" si="52"/>
        <v>#REF!</v>
      </c>
      <c r="F297" s="63">
        <f>'Прайс для расчета'!E296</f>
        <v>3097.5</v>
      </c>
      <c r="G297" s="64" t="e">
        <f t="shared" si="50"/>
        <v>#REF!</v>
      </c>
      <c r="I297" s="135">
        <f>'Прайс для расчета (М)'!E296</f>
        <v>1548.75</v>
      </c>
      <c r="J297" s="36" t="e">
        <f t="shared" si="51"/>
        <v>#REF!</v>
      </c>
    </row>
    <row r="298" spans="2:10" ht="15.6" x14ac:dyDescent="0.25">
      <c r="B298" s="59"/>
      <c r="C298" s="69" t="s">
        <v>680</v>
      </c>
      <c r="D298" s="61" t="s">
        <v>2</v>
      </c>
      <c r="E298" s="62" t="e">
        <f t="shared" si="52"/>
        <v>#REF!</v>
      </c>
      <c r="F298" s="63">
        <f>'Прайс для расчета'!E310</f>
        <v>5040</v>
      </c>
      <c r="G298" s="64" t="e">
        <f t="shared" si="50"/>
        <v>#REF!</v>
      </c>
      <c r="I298" s="135">
        <f>'Прайс для расчета (М)'!E310</f>
        <v>2520</v>
      </c>
      <c r="J298" s="36" t="e">
        <f t="shared" si="51"/>
        <v>#REF!</v>
      </c>
    </row>
    <row r="299" spans="2:10" ht="15.6" x14ac:dyDescent="0.25">
      <c r="B299" s="59"/>
      <c r="C299" s="69" t="s">
        <v>679</v>
      </c>
      <c r="D299" s="61" t="s">
        <v>2</v>
      </c>
      <c r="E299" s="62" t="e">
        <f t="shared" si="52"/>
        <v>#REF!</v>
      </c>
      <c r="F299" s="63">
        <f>'Прайс для расчета'!E297</f>
        <v>1044.75</v>
      </c>
      <c r="G299" s="64" t="e">
        <f t="shared" si="50"/>
        <v>#REF!</v>
      </c>
      <c r="I299" s="135">
        <f>'Прайс для расчета (М)'!E297</f>
        <v>522.375</v>
      </c>
      <c r="J299" s="36" t="e">
        <f t="shared" si="51"/>
        <v>#REF!</v>
      </c>
    </row>
    <row r="300" spans="2:10" ht="15.6" x14ac:dyDescent="0.25">
      <c r="B300" s="59"/>
      <c r="C300" s="69" t="s">
        <v>895</v>
      </c>
      <c r="D300" s="61" t="s">
        <v>2</v>
      </c>
      <c r="E300" s="62" t="e">
        <f t="shared" si="52"/>
        <v>#REF!</v>
      </c>
      <c r="F300" s="63">
        <f>'Прайс для расчета'!E298</f>
        <v>593.25</v>
      </c>
      <c r="G300" s="64" t="e">
        <f t="shared" si="50"/>
        <v>#REF!</v>
      </c>
      <c r="I300" s="135">
        <f>'Прайс для расчета (М)'!E298</f>
        <v>296.625</v>
      </c>
      <c r="J300" s="36" t="e">
        <f t="shared" si="51"/>
        <v>#REF!</v>
      </c>
    </row>
    <row r="301" spans="2:10" ht="15.6" x14ac:dyDescent="0.25">
      <c r="B301" s="59"/>
      <c r="C301" s="69" t="s">
        <v>947</v>
      </c>
      <c r="D301" s="61" t="s">
        <v>2</v>
      </c>
      <c r="E301" s="62" t="e">
        <f t="shared" si="52"/>
        <v>#REF!</v>
      </c>
      <c r="F301" s="63">
        <f>'Прайс для расчета'!E299</f>
        <v>635.25</v>
      </c>
      <c r="G301" s="64" t="e">
        <f t="shared" si="50"/>
        <v>#REF!</v>
      </c>
      <c r="I301" s="135">
        <f>'Прайс для расчета (М)'!E299</f>
        <v>317.625</v>
      </c>
      <c r="J301" s="36" t="e">
        <f t="shared" si="51"/>
        <v>#REF!</v>
      </c>
    </row>
    <row r="302" spans="2:10" ht="31.2" x14ac:dyDescent="0.25">
      <c r="B302" s="59"/>
      <c r="C302" s="69" t="s">
        <v>1074</v>
      </c>
      <c r="D302" s="86" t="s">
        <v>2</v>
      </c>
      <c r="E302" s="62" t="e">
        <f t="shared" si="52"/>
        <v>#REF!</v>
      </c>
      <c r="F302" s="63">
        <f>'Прайс для расчета'!E300</f>
        <v>1181.25</v>
      </c>
      <c r="G302" s="64" t="e">
        <f t="shared" si="50"/>
        <v>#REF!</v>
      </c>
      <c r="I302" s="135">
        <f>'Прайс для расчета (М)'!E300</f>
        <v>590.625</v>
      </c>
      <c r="J302" s="36" t="e">
        <f t="shared" si="51"/>
        <v>#REF!</v>
      </c>
    </row>
    <row r="303" spans="2:10" ht="15.6" x14ac:dyDescent="0.25">
      <c r="B303" s="59"/>
      <c r="C303" s="69" t="s">
        <v>896</v>
      </c>
      <c r="D303" s="61" t="s">
        <v>2</v>
      </c>
      <c r="E303" s="62" t="e">
        <f t="shared" si="52"/>
        <v>#REF!</v>
      </c>
      <c r="F303" s="63">
        <f>'Прайс для расчета'!E301</f>
        <v>635.25</v>
      </c>
      <c r="G303" s="64" t="e">
        <f t="shared" si="50"/>
        <v>#REF!</v>
      </c>
      <c r="I303" s="135">
        <f>'Прайс для расчета (М)'!E301</f>
        <v>317.625</v>
      </c>
      <c r="J303" s="36" t="e">
        <f t="shared" si="51"/>
        <v>#REF!</v>
      </c>
    </row>
    <row r="304" spans="2:10" ht="15.6" x14ac:dyDescent="0.25">
      <c r="B304" s="59"/>
      <c r="C304" s="69" t="s">
        <v>897</v>
      </c>
      <c r="D304" s="61" t="s">
        <v>2</v>
      </c>
      <c r="E304" s="62" t="e">
        <f t="shared" si="52"/>
        <v>#REF!</v>
      </c>
      <c r="F304" s="63">
        <f>'Прайс для расчета'!E302</f>
        <v>498.75</v>
      </c>
      <c r="G304" s="64" t="e">
        <f t="shared" si="50"/>
        <v>#REF!</v>
      </c>
      <c r="I304" s="135">
        <f>'Прайс для расчета (М)'!E302</f>
        <v>249.375</v>
      </c>
      <c r="J304" s="36" t="e">
        <f t="shared" si="51"/>
        <v>#REF!</v>
      </c>
    </row>
    <row r="305" spans="2:10" ht="15.6" x14ac:dyDescent="0.25">
      <c r="B305" s="59"/>
      <c r="C305" s="69" t="s">
        <v>898</v>
      </c>
      <c r="D305" s="61" t="s">
        <v>3</v>
      </c>
      <c r="E305" s="62" t="e">
        <f t="shared" si="52"/>
        <v>#REF!</v>
      </c>
      <c r="F305" s="63">
        <f>'Прайс для расчета'!E303</f>
        <v>183.75</v>
      </c>
      <c r="G305" s="64" t="e">
        <f t="shared" si="50"/>
        <v>#REF!</v>
      </c>
      <c r="I305" s="135">
        <f>'Прайс для расчета (М)'!E303</f>
        <v>91.875</v>
      </c>
      <c r="J305" s="36" t="e">
        <f t="shared" si="51"/>
        <v>#REF!</v>
      </c>
    </row>
    <row r="306" spans="2:10" ht="15.6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50"/>
        <v>#REF!</v>
      </c>
      <c r="I306" s="135">
        <f>'Прайс для расчета (М)'!E304</f>
        <v>590.625</v>
      </c>
      <c r="J306" s="36" t="e">
        <f t="shared" si="51"/>
        <v>#REF!</v>
      </c>
    </row>
    <row r="307" spans="2:10" ht="15.6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50"/>
        <v>#REF!</v>
      </c>
      <c r="I307" s="135">
        <f>'Прайс для расчета (М)'!E305</f>
        <v>527.625</v>
      </c>
      <c r="J307" s="36" t="e">
        <f t="shared" si="51"/>
        <v>#REF!</v>
      </c>
    </row>
    <row r="308" spans="2:10" ht="15.6" x14ac:dyDescent="0.25">
      <c r="B308" s="59"/>
      <c r="C308" s="69" t="s">
        <v>528</v>
      </c>
      <c r="D308" s="61" t="s">
        <v>2</v>
      </c>
      <c r="E308" s="62" t="e">
        <f t="shared" ref="E308:E309" si="54">$A$6</f>
        <v>#REF!</v>
      </c>
      <c r="F308" s="63">
        <f>'Прайс для расчета'!E306</f>
        <v>3990</v>
      </c>
      <c r="G308" s="64" t="e">
        <f t="shared" si="50"/>
        <v>#REF!</v>
      </c>
      <c r="I308" s="135">
        <f>'Прайс для расчета (М)'!E306</f>
        <v>1995</v>
      </c>
      <c r="J308" s="36" t="e">
        <f t="shared" si="51"/>
        <v>#REF!</v>
      </c>
    </row>
    <row r="309" spans="2:10" ht="15.6" x14ac:dyDescent="0.25">
      <c r="B309" s="59"/>
      <c r="C309" s="69" t="s">
        <v>429</v>
      </c>
      <c r="D309" s="61" t="s">
        <v>2</v>
      </c>
      <c r="E309" s="62" t="e">
        <f t="shared" si="54"/>
        <v>#REF!</v>
      </c>
      <c r="F309" s="63">
        <f>'Прайс для расчета'!E307</f>
        <v>472.5</v>
      </c>
      <c r="G309" s="64" t="e">
        <f t="shared" si="50"/>
        <v>#REF!</v>
      </c>
      <c r="I309" s="135">
        <f>'Прайс для расчета (М)'!E307</f>
        <v>236.25</v>
      </c>
      <c r="J309" s="36" t="e">
        <f t="shared" si="51"/>
        <v>#REF!</v>
      </c>
    </row>
    <row r="310" spans="2:10" ht="15.6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50"/>
        <v>#REF!</v>
      </c>
      <c r="I310" s="135">
        <f>'Прайс для расчета (М)'!E308</f>
        <v>393.75</v>
      </c>
      <c r="J310" s="36" t="e">
        <f t="shared" si="51"/>
        <v>#REF!</v>
      </c>
    </row>
    <row r="311" spans="2:10" ht="15.6" x14ac:dyDescent="0.25">
      <c r="B311" s="59"/>
      <c r="C311" s="69" t="s">
        <v>430</v>
      </c>
      <c r="D311" s="61" t="s">
        <v>2</v>
      </c>
      <c r="E311" s="62" t="e">
        <f>$A$6</f>
        <v>#REF!</v>
      </c>
      <c r="F311" s="63">
        <f>'Прайс для расчета'!E309</f>
        <v>420</v>
      </c>
      <c r="G311" s="64" t="e">
        <f t="shared" si="50"/>
        <v>#REF!</v>
      </c>
      <c r="I311" s="135">
        <f>'Прайс для расчета (М)'!E309</f>
        <v>210</v>
      </c>
      <c r="J311" s="36" t="e">
        <f t="shared" si="51"/>
        <v>#REF!</v>
      </c>
    </row>
    <row r="312" spans="2:10" ht="15.6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55">F313*E313</f>
        <v>315</v>
      </c>
      <c r="I313" s="135">
        <f>'Прайс для расчета (М)'!E311</f>
        <v>157.5</v>
      </c>
      <c r="J313" s="36">
        <f t="shared" ref="J313:J319" si="56">I313*E313</f>
        <v>157.5</v>
      </c>
    </row>
    <row r="314" spans="2:10" ht="15.6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55"/>
        <v>367.5</v>
      </c>
      <c r="I314" s="135">
        <f>'Прайс для расчета (М)'!E312</f>
        <v>183.75</v>
      </c>
      <c r="J314" s="36">
        <f t="shared" si="56"/>
        <v>183.75</v>
      </c>
    </row>
    <row r="315" spans="2:10" ht="15.6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55"/>
        <v>194.25</v>
      </c>
      <c r="I315" s="135">
        <f>'Прайс для расчета (М)'!E313</f>
        <v>97.125</v>
      </c>
      <c r="J315" s="36">
        <f t="shared" si="56"/>
        <v>97.125</v>
      </c>
    </row>
    <row r="316" spans="2:10" ht="15.6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55"/>
        <v>735</v>
      </c>
      <c r="I316" s="135">
        <f>'Прайс для расчета (М)'!E314</f>
        <v>367.5</v>
      </c>
      <c r="J316" s="36">
        <f t="shared" si="56"/>
        <v>367.5</v>
      </c>
    </row>
    <row r="317" spans="2:10" ht="15.6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55"/>
        <v>1349.25</v>
      </c>
      <c r="I317" s="135">
        <f>'Прайс для расчета (М)'!E315</f>
        <v>674.625</v>
      </c>
      <c r="J317" s="36">
        <f t="shared" si="56"/>
        <v>674.625</v>
      </c>
    </row>
    <row r="318" spans="2:10" ht="15.6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55"/>
        <v>0</v>
      </c>
      <c r="I318" s="135">
        <f>'Прайс для расчета (М)'!E316</f>
        <v>0</v>
      </c>
      <c r="J318" s="36">
        <f t="shared" si="56"/>
        <v>0</v>
      </c>
    </row>
    <row r="319" spans="2:10" ht="15.6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55"/>
        <v>1464.75</v>
      </c>
      <c r="I319" s="135">
        <f>'Прайс для расчета (М)'!E317</f>
        <v>732.375</v>
      </c>
      <c r="J319" s="36">
        <f t="shared" si="56"/>
        <v>732.375</v>
      </c>
    </row>
    <row r="320" spans="2:10" ht="15.6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x14ac:dyDescent="0.25">
      <c r="B321" s="59"/>
      <c r="C321" s="65" t="s">
        <v>436</v>
      </c>
      <c r="D321" s="61" t="s">
        <v>2</v>
      </c>
      <c r="E321" s="62">
        <f>$A$4</f>
        <v>0</v>
      </c>
      <c r="F321" s="63">
        <f>'Прайс для расчета'!E318</f>
        <v>577.5</v>
      </c>
      <c r="G321" s="64">
        <f t="shared" ref="G321:G333" si="57">F321*E321</f>
        <v>0</v>
      </c>
      <c r="I321" s="135">
        <f>'Прайс для расчета (М)'!E318</f>
        <v>288.75</v>
      </c>
      <c r="J321" s="36">
        <f t="shared" ref="J321:J333" si="58">I321*E321</f>
        <v>0</v>
      </c>
    </row>
    <row r="322" spans="2:10" ht="15.6" x14ac:dyDescent="0.25">
      <c r="B322" s="59"/>
      <c r="C322" s="65" t="s">
        <v>437</v>
      </c>
      <c r="D322" s="61" t="s">
        <v>2</v>
      </c>
      <c r="E322" s="62">
        <f>$A$4</f>
        <v>0</v>
      </c>
      <c r="F322" s="63">
        <f>'Прайс для расчета'!E319</f>
        <v>1396.5</v>
      </c>
      <c r="G322" s="64">
        <f t="shared" si="57"/>
        <v>0</v>
      </c>
      <c r="I322" s="135">
        <f>'Прайс для расчета (М)'!E319</f>
        <v>698.25</v>
      </c>
      <c r="J322" s="36">
        <f t="shared" si="58"/>
        <v>0</v>
      </c>
    </row>
    <row r="323" spans="2:10" ht="15.6" x14ac:dyDescent="0.25">
      <c r="B323" s="59"/>
      <c r="C323" s="65" t="s">
        <v>438</v>
      </c>
      <c r="D323" s="61" t="s">
        <v>2</v>
      </c>
      <c r="E323" s="62">
        <f>$A$4</f>
        <v>0</v>
      </c>
      <c r="F323" s="63">
        <f>'Прайс для расчета'!E320</f>
        <v>1291.5</v>
      </c>
      <c r="G323" s="64">
        <f t="shared" si="57"/>
        <v>0</v>
      </c>
      <c r="I323" s="135">
        <f>'Прайс для расчета (М)'!E320</f>
        <v>645.75</v>
      </c>
      <c r="J323" s="36">
        <f t="shared" si="58"/>
        <v>0</v>
      </c>
    </row>
    <row r="324" spans="2:10" ht="15.6" x14ac:dyDescent="0.25">
      <c r="B324" s="59"/>
      <c r="C324" s="65" t="s">
        <v>439</v>
      </c>
      <c r="D324" s="61" t="s">
        <v>2</v>
      </c>
      <c r="E324" s="62">
        <f>$A$4</f>
        <v>0</v>
      </c>
      <c r="F324" s="63">
        <f>'Прайс для расчета'!E321</f>
        <v>1386</v>
      </c>
      <c r="G324" s="64">
        <f t="shared" si="57"/>
        <v>0</v>
      </c>
      <c r="I324" s="135">
        <f>'Прайс для расчета (М)'!E321</f>
        <v>693</v>
      </c>
      <c r="J324" s="36">
        <f t="shared" si="58"/>
        <v>0</v>
      </c>
    </row>
    <row r="325" spans="2:10" ht="15.6" x14ac:dyDescent="0.25">
      <c r="B325" s="59"/>
      <c r="C325" s="65" t="s">
        <v>440</v>
      </c>
      <c r="D325" s="61" t="s">
        <v>2</v>
      </c>
      <c r="E325" s="62">
        <f>$A$4</f>
        <v>0</v>
      </c>
      <c r="F325" s="63">
        <f>'Прайс для расчета'!E322</f>
        <v>1281</v>
      </c>
      <c r="G325" s="64">
        <f t="shared" si="57"/>
        <v>0</v>
      </c>
      <c r="I325" s="135">
        <f>'Прайс для расчета (М)'!E322</f>
        <v>640.5</v>
      </c>
      <c r="J325" s="36">
        <f t="shared" si="58"/>
        <v>0</v>
      </c>
    </row>
    <row r="326" spans="2:10" ht="15.6" x14ac:dyDescent="0.25">
      <c r="B326" s="59"/>
      <c r="C326" s="65" t="s">
        <v>441</v>
      </c>
      <c r="D326" s="61" t="s">
        <v>645</v>
      </c>
      <c r="E326" s="62">
        <f>$A$2</f>
        <v>0</v>
      </c>
      <c r="F326" s="63">
        <f>'Прайс для расчета'!E323</f>
        <v>330.75</v>
      </c>
      <c r="G326" s="64">
        <f t="shared" si="57"/>
        <v>0</v>
      </c>
      <c r="I326" s="135">
        <f>'Прайс для расчета (М)'!E323</f>
        <v>165.375</v>
      </c>
      <c r="J326" s="36">
        <f t="shared" si="58"/>
        <v>0</v>
      </c>
    </row>
    <row r="327" spans="2:10" ht="15.6" x14ac:dyDescent="0.25">
      <c r="B327" s="59"/>
      <c r="C327" s="65" t="s">
        <v>531</v>
      </c>
      <c r="D327" s="61" t="s">
        <v>645</v>
      </c>
      <c r="E327" s="62">
        <f>$A$2</f>
        <v>0</v>
      </c>
      <c r="F327" s="63">
        <f>'Прайс для расчета'!E324</f>
        <v>866.25</v>
      </c>
      <c r="G327" s="64">
        <f t="shared" si="57"/>
        <v>0</v>
      </c>
      <c r="I327" s="135">
        <f>'Прайс для расчета (М)'!E324</f>
        <v>433.125</v>
      </c>
      <c r="J327" s="36">
        <f t="shared" si="58"/>
        <v>0</v>
      </c>
    </row>
    <row r="328" spans="2:10" ht="15.6" x14ac:dyDescent="0.25">
      <c r="B328" s="59"/>
      <c r="C328" s="65" t="s">
        <v>532</v>
      </c>
      <c r="D328" s="61" t="s">
        <v>645</v>
      </c>
      <c r="E328" s="62">
        <f>$A$2</f>
        <v>0</v>
      </c>
      <c r="F328" s="63">
        <f>'Прайс для расчета'!E325</f>
        <v>1097.376</v>
      </c>
      <c r="G328" s="64">
        <f t="shared" si="57"/>
        <v>0</v>
      </c>
      <c r="I328" s="135">
        <f>'Прайс для расчета (М)'!E325</f>
        <v>548.68799999999999</v>
      </c>
      <c r="J328" s="36">
        <f t="shared" si="58"/>
        <v>0</v>
      </c>
    </row>
    <row r="329" spans="2:10" ht="15.6" x14ac:dyDescent="0.25">
      <c r="B329" s="59"/>
      <c r="C329" s="65" t="s">
        <v>533</v>
      </c>
      <c r="D329" s="61" t="s">
        <v>645</v>
      </c>
      <c r="E329" s="62">
        <f>$A$2</f>
        <v>0</v>
      </c>
      <c r="F329" s="63">
        <f>'Прайс для расчета'!E326</f>
        <v>852.6</v>
      </c>
      <c r="G329" s="64">
        <f t="shared" si="57"/>
        <v>0</v>
      </c>
      <c r="I329" s="135">
        <f>'Прайс для расчета (М)'!E326</f>
        <v>426.3</v>
      </c>
      <c r="J329" s="36">
        <f t="shared" si="58"/>
        <v>0</v>
      </c>
    </row>
    <row r="330" spans="2:10" ht="15.6" x14ac:dyDescent="0.25">
      <c r="B330" s="59"/>
      <c r="C330" s="65" t="s">
        <v>442</v>
      </c>
      <c r="D330" s="61" t="s">
        <v>645</v>
      </c>
      <c r="E330" s="62">
        <f>$A$2</f>
        <v>0</v>
      </c>
      <c r="F330" s="63">
        <f>'Прайс для расчета'!E327</f>
        <v>225.75</v>
      </c>
      <c r="G330" s="64">
        <f t="shared" si="57"/>
        <v>0</v>
      </c>
      <c r="I330" s="135">
        <f>'Прайс для расчета (М)'!E327</f>
        <v>112.875</v>
      </c>
      <c r="J330" s="36">
        <f t="shared" si="58"/>
        <v>0</v>
      </c>
    </row>
    <row r="331" spans="2:10" ht="15.6" x14ac:dyDescent="0.25">
      <c r="B331" s="59"/>
      <c r="C331" s="65" t="s">
        <v>443</v>
      </c>
      <c r="D331" s="61" t="s">
        <v>2</v>
      </c>
      <c r="E331" s="62">
        <f>$A$4</f>
        <v>0</v>
      </c>
      <c r="F331" s="63">
        <f>'Прайс для расчета'!E328</f>
        <v>462</v>
      </c>
      <c r="G331" s="64">
        <f t="shared" si="57"/>
        <v>0</v>
      </c>
      <c r="I331" s="135">
        <f>'Прайс для расчета (М)'!E328</f>
        <v>231</v>
      </c>
      <c r="J331" s="36">
        <f t="shared" si="58"/>
        <v>0</v>
      </c>
    </row>
    <row r="332" spans="2:10" ht="15.6" x14ac:dyDescent="0.25">
      <c r="B332" s="59"/>
      <c r="C332" s="65" t="s">
        <v>534</v>
      </c>
      <c r="D332" s="61" t="s">
        <v>2</v>
      </c>
      <c r="E332" s="62">
        <f>$A$4</f>
        <v>0</v>
      </c>
      <c r="F332" s="63">
        <f>'Прайс для расчета'!E329</f>
        <v>1060.5</v>
      </c>
      <c r="G332" s="64">
        <f t="shared" si="57"/>
        <v>0</v>
      </c>
      <c r="I332" s="135">
        <f>'Прайс для расчета (М)'!E329</f>
        <v>530.25</v>
      </c>
      <c r="J332" s="36">
        <f t="shared" si="58"/>
        <v>0</v>
      </c>
    </row>
    <row r="333" spans="2:10" ht="15.6" x14ac:dyDescent="0.25">
      <c r="B333" s="59"/>
      <c r="C333" s="65" t="s">
        <v>444</v>
      </c>
      <c r="D333" s="61" t="s">
        <v>2</v>
      </c>
      <c r="E333" s="62">
        <f>$A$4</f>
        <v>0</v>
      </c>
      <c r="F333" s="63">
        <f>'Прайс для расчета'!E330</f>
        <v>735</v>
      </c>
      <c r="G333" s="64">
        <f t="shared" si="57"/>
        <v>0</v>
      </c>
      <c r="I333" s="135">
        <f>'Прайс для расчета (М)'!E330</f>
        <v>367.5</v>
      </c>
      <c r="J333" s="36">
        <f t="shared" si="58"/>
        <v>0</v>
      </c>
    </row>
    <row r="334" spans="2:10" ht="15.6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59">F335*E335</f>
        <v>525</v>
      </c>
      <c r="I335" s="135">
        <f>'Прайс для расчета (М)'!E331</f>
        <v>262.5</v>
      </c>
      <c r="J335" s="36">
        <f t="shared" ref="J335:J353" si="60">I335*E335</f>
        <v>262.5</v>
      </c>
    </row>
    <row r="336" spans="2:10" ht="15.6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59"/>
        <v>945</v>
      </c>
      <c r="I336" s="135">
        <f>'Прайс для расчета (М)'!E332</f>
        <v>472.5</v>
      </c>
      <c r="J336" s="36">
        <f t="shared" si="60"/>
        <v>472.5</v>
      </c>
    </row>
    <row r="337" spans="2:10" ht="15.6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59"/>
        <v>1575</v>
      </c>
      <c r="I337" s="135">
        <f>'Прайс для расчета (М)'!E333</f>
        <v>787.5</v>
      </c>
      <c r="J337" s="36">
        <f t="shared" si="60"/>
        <v>787.5</v>
      </c>
    </row>
    <row r="338" spans="2:10" ht="15.6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59"/>
        <v>840</v>
      </c>
      <c r="I338" s="135">
        <f>'Прайс для расчета (М)'!E334</f>
        <v>420</v>
      </c>
      <c r="J338" s="36">
        <f t="shared" si="60"/>
        <v>420</v>
      </c>
    </row>
    <row r="339" spans="2:10" ht="15.6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59"/>
        <v>273</v>
      </c>
      <c r="I339" s="135">
        <f>'Прайс для расчета (М)'!E335</f>
        <v>136.5</v>
      </c>
      <c r="J339" s="36">
        <f t="shared" si="60"/>
        <v>136.5</v>
      </c>
    </row>
    <row r="340" spans="2:10" ht="15.6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59"/>
        <v>1890</v>
      </c>
      <c r="I340" s="135">
        <f>'Прайс для расчета (М)'!E336</f>
        <v>945</v>
      </c>
      <c r="J340" s="36">
        <f t="shared" si="60"/>
        <v>945</v>
      </c>
    </row>
    <row r="341" spans="2:10" ht="15.6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59"/>
        <v>346.5</v>
      </c>
      <c r="I341" s="135">
        <f>'Прайс для расчета (М)'!E337</f>
        <v>173.25</v>
      </c>
      <c r="J341" s="36">
        <f t="shared" si="60"/>
        <v>173.25</v>
      </c>
    </row>
    <row r="342" spans="2:10" ht="15.6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59"/>
        <v>4179</v>
      </c>
      <c r="I342" s="135">
        <f>'Прайс для расчета (М)'!E338</f>
        <v>2089.5</v>
      </c>
      <c r="J342" s="36">
        <f t="shared" si="60"/>
        <v>2089.5</v>
      </c>
    </row>
    <row r="343" spans="2:10" ht="15.6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59"/>
        <v>3255</v>
      </c>
      <c r="I343" s="135">
        <f>'Прайс для расчета (М)'!E339</f>
        <v>1627.5</v>
      </c>
      <c r="J343" s="36">
        <f t="shared" si="60"/>
        <v>1627.5</v>
      </c>
    </row>
    <row r="344" spans="2:10" ht="15.6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59"/>
        <v>1176</v>
      </c>
      <c r="I344" s="135">
        <f>'Прайс для расчета (М)'!E340</f>
        <v>588</v>
      </c>
      <c r="J344" s="36">
        <f t="shared" si="60"/>
        <v>588</v>
      </c>
    </row>
    <row r="345" spans="2:10" ht="15.6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59"/>
        <v>367.5</v>
      </c>
      <c r="I345" s="135">
        <f>'Прайс для расчета (М)'!E341</f>
        <v>183.75</v>
      </c>
      <c r="J345" s="36">
        <f t="shared" si="60"/>
        <v>183.75</v>
      </c>
    </row>
    <row r="346" spans="2:10" ht="15.6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59"/>
        <v>199.5</v>
      </c>
      <c r="I346" s="135">
        <f>'Прайс для расчета (М)'!E342</f>
        <v>99.75</v>
      </c>
      <c r="J346" s="36">
        <f t="shared" si="60"/>
        <v>99.75</v>
      </c>
    </row>
    <row r="347" spans="2:10" ht="15.6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59"/>
        <v>1995</v>
      </c>
      <c r="I347" s="135">
        <f>'Прайс для расчета (М)'!E343</f>
        <v>997.5</v>
      </c>
      <c r="J347" s="36">
        <f t="shared" si="60"/>
        <v>997.5</v>
      </c>
    </row>
    <row r="348" spans="2:10" ht="15.6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59"/>
        <v>840</v>
      </c>
      <c r="I348" s="135">
        <f>'Прайс для расчета (М)'!E344</f>
        <v>420</v>
      </c>
      <c r="J348" s="36">
        <f t="shared" si="60"/>
        <v>420</v>
      </c>
    </row>
    <row r="349" spans="2:10" ht="15.6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59"/>
        <v>3097.5</v>
      </c>
      <c r="I349" s="135">
        <f>'Прайс для расчета (М)'!E345</f>
        <v>1548.75</v>
      </c>
      <c r="J349" s="36">
        <f t="shared" si="60"/>
        <v>1548.75</v>
      </c>
    </row>
    <row r="350" spans="2:10" ht="15.6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59"/>
        <v>1029</v>
      </c>
      <c r="I350" s="135">
        <f>'Прайс для расчета (М)'!E346</f>
        <v>514.5</v>
      </c>
      <c r="J350" s="36">
        <f t="shared" si="60"/>
        <v>514.5</v>
      </c>
    </row>
    <row r="351" spans="2:10" ht="15.6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59"/>
        <v>1627.5</v>
      </c>
      <c r="I351" s="135">
        <f>'Прайс для расчета (М)'!E347</f>
        <v>813.75</v>
      </c>
      <c r="J351" s="36">
        <f t="shared" si="60"/>
        <v>813.75</v>
      </c>
    </row>
    <row r="352" spans="2:10" ht="15.6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59"/>
        <v>1627.5</v>
      </c>
      <c r="I352" s="135">
        <f>'Прайс для расчета (М)'!E348</f>
        <v>813.75</v>
      </c>
      <c r="J352" s="36">
        <f t="shared" si="60"/>
        <v>813.75</v>
      </c>
    </row>
    <row r="353" spans="2:10" ht="15.6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59"/>
        <v>420</v>
      </c>
      <c r="I353" s="135">
        <f>'Прайс для расчета (М)'!E349</f>
        <v>210</v>
      </c>
      <c r="J353" s="36">
        <f t="shared" si="60"/>
        <v>210</v>
      </c>
    </row>
    <row r="354" spans="2:10" ht="15.6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61">F355*E355</f>
        <v>0</v>
      </c>
      <c r="I355" s="135">
        <f>'Прайс для расчета (М)'!E351</f>
        <v>202.125</v>
      </c>
      <c r="J355" s="36">
        <f t="shared" ref="J355:J361" si="62">I355*E355</f>
        <v>0</v>
      </c>
    </row>
    <row r="356" spans="2:10" ht="15.6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61"/>
        <v>3858.7080000000001</v>
      </c>
      <c r="I356" s="135">
        <f>'Прайс для расчета (М)'!E352</f>
        <v>1929.354</v>
      </c>
      <c r="J356" s="36">
        <f t="shared" si="62"/>
        <v>1929.354</v>
      </c>
    </row>
    <row r="357" spans="2:10" ht="15.6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61"/>
        <v>1044.75</v>
      </c>
      <c r="I357" s="135">
        <f>'Прайс для расчета (М)'!E353</f>
        <v>522.375</v>
      </c>
      <c r="J357" s="36">
        <f t="shared" si="62"/>
        <v>522.375</v>
      </c>
    </row>
    <row r="358" spans="2:10" ht="15.6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61"/>
        <v>1522.5</v>
      </c>
      <c r="I358" s="135">
        <f>'Прайс для расчета (М)'!E354</f>
        <v>761.25</v>
      </c>
      <c r="J358" s="36">
        <f t="shared" si="62"/>
        <v>761.25</v>
      </c>
    </row>
    <row r="359" spans="2:10" ht="15.6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61"/>
        <v>1522.5</v>
      </c>
      <c r="I359" s="135">
        <f>'Прайс для расчета (М)'!E355</f>
        <v>761.25</v>
      </c>
      <c r="J359" s="36">
        <f t="shared" si="62"/>
        <v>761.25</v>
      </c>
    </row>
    <row r="360" spans="2:10" ht="15.6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61"/>
        <v>577.5</v>
      </c>
      <c r="I360" s="135">
        <f>'Прайс для расчета (М)'!E356</f>
        <v>288.75</v>
      </c>
      <c r="J360" s="36">
        <f t="shared" si="62"/>
        <v>288.75</v>
      </c>
    </row>
    <row r="361" spans="2:10" ht="15.6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61"/>
        <v>210</v>
      </c>
      <c r="I361" s="135">
        <f>'Прайс для расчета (М)'!E357</f>
        <v>105</v>
      </c>
      <c r="J361" s="36">
        <f t="shared" si="62"/>
        <v>105</v>
      </c>
    </row>
    <row r="362" spans="2:10" ht="15.6" x14ac:dyDescent="0.25">
      <c r="B362" s="110">
        <f>IF(SUM(B250:B361)&gt;0,1,0)</f>
        <v>0</v>
      </c>
      <c r="C362" s="266" t="s">
        <v>540</v>
      </c>
      <c r="D362" s="266"/>
      <c r="E362" s="266"/>
      <c r="F362" s="266"/>
      <c r="G362" s="157">
        <f>SUMIF(B251:B361,1,G251:G361)</f>
        <v>0</v>
      </c>
      <c r="J362" s="36">
        <f>SUMIF(B251:B361,1,J251:J361)</f>
        <v>0</v>
      </c>
    </row>
    <row r="363" spans="2:10" ht="15.6" x14ac:dyDescent="0.25">
      <c r="B363" s="153">
        <f>IF(SUM(B364:B371)&gt;0,1,0)</f>
        <v>0</v>
      </c>
      <c r="C363" s="164" t="s">
        <v>713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/>
      <c r="C364" s="69" t="s">
        <v>1078</v>
      </c>
      <c r="D364" s="61" t="s">
        <v>2</v>
      </c>
      <c r="E364" s="62">
        <f>$A$4</f>
        <v>0</v>
      </c>
      <c r="F364" s="63">
        <f>'Прайс для расчета'!E412</f>
        <v>110.25</v>
      </c>
      <c r="G364" s="64">
        <f t="shared" ref="G364:G371" si="63">F364*E364</f>
        <v>0</v>
      </c>
      <c r="I364" s="135">
        <f>'Прайс для расчета (М)'!E412</f>
        <v>55.125</v>
      </c>
      <c r="J364" s="36">
        <f t="shared" ref="J364:J371" si="64">I364*E364</f>
        <v>0</v>
      </c>
    </row>
    <row r="365" spans="2:10" ht="15.6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63"/>
        <v>1714.65</v>
      </c>
      <c r="I365" s="135">
        <f>'Прайс для расчета (М)'!E413</f>
        <v>857.32500000000005</v>
      </c>
      <c r="J365" s="36">
        <f t="shared" si="64"/>
        <v>857.32500000000005</v>
      </c>
    </row>
    <row r="366" spans="2:10" ht="15.6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63"/>
        <v>2571.9749999999999</v>
      </c>
      <c r="I366" s="135">
        <f>'Прайс для расчета (М)'!E414</f>
        <v>1285.9875</v>
      </c>
      <c r="J366" s="36">
        <f t="shared" si="64"/>
        <v>1285.9875</v>
      </c>
    </row>
    <row r="367" spans="2:10" ht="15.6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63"/>
        <v>857.32500000000005</v>
      </c>
      <c r="I367" s="135">
        <f>'Прайс для расчета (М)'!E415</f>
        <v>428.66250000000002</v>
      </c>
      <c r="J367" s="36">
        <f t="shared" si="64"/>
        <v>428.66250000000002</v>
      </c>
    </row>
    <row r="368" spans="2:10" ht="15.6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63"/>
        <v>1470</v>
      </c>
      <c r="I368" s="135">
        <f>'Прайс для расчета (М)'!E416</f>
        <v>735</v>
      </c>
      <c r="J368" s="36">
        <f t="shared" si="64"/>
        <v>735</v>
      </c>
    </row>
    <row r="369" spans="2:10" ht="15.6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63"/>
        <v>315</v>
      </c>
      <c r="I369" s="135">
        <f>'Прайс для расчета (М)'!E417</f>
        <v>157.5</v>
      </c>
      <c r="J369" s="36">
        <f t="shared" si="64"/>
        <v>157.5</v>
      </c>
    </row>
    <row r="370" spans="2:10" ht="15.6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63"/>
        <v>1575</v>
      </c>
      <c r="I370" s="135">
        <f>'Прайс для расчета (М)'!E418</f>
        <v>787.5</v>
      </c>
      <c r="J370" s="36">
        <f t="shared" si="64"/>
        <v>787.5</v>
      </c>
    </row>
    <row r="371" spans="2:10" ht="15.6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63"/>
        <v>315</v>
      </c>
      <c r="I371" s="135">
        <f>'Прайс для расчета (М)'!E419</f>
        <v>157.5</v>
      </c>
      <c r="J371" s="36">
        <f t="shared" si="64"/>
        <v>157.5</v>
      </c>
    </row>
    <row r="372" spans="2:10" ht="15.6" x14ac:dyDescent="0.25">
      <c r="B372" s="110">
        <f>IF(SUM(B364:B371)&gt;0,1,0)</f>
        <v>0</v>
      </c>
      <c r="C372" s="266" t="s">
        <v>546</v>
      </c>
      <c r="D372" s="266"/>
      <c r="E372" s="266"/>
      <c r="F372" s="266"/>
      <c r="G372" s="157">
        <f>SUMIF(B364:B371,1,G364:G371)</f>
        <v>0</v>
      </c>
      <c r="J372" s="36">
        <f>SUMIF(B364:B371,1,J364:J371)</f>
        <v>0</v>
      </c>
    </row>
    <row r="373" spans="2:10" ht="15.6" x14ac:dyDescent="0.25">
      <c r="B373" s="153">
        <f>IF(SUM(B10:B372)&gt;0,1,0)</f>
        <v>0</v>
      </c>
      <c r="C373" s="265" t="s">
        <v>191</v>
      </c>
      <c r="D373" s="265"/>
      <c r="E373" s="265"/>
      <c r="F373" s="265"/>
      <c r="G373" s="155">
        <f>G137+G248+G362+G372</f>
        <v>0</v>
      </c>
      <c r="J373" s="36">
        <f>J137+J248+J362+J372</f>
        <v>0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1076</v>
      </c>
      <c r="D375" s="265"/>
      <c r="E375" s="265"/>
      <c r="F375" s="265"/>
      <c r="G375" s="155" t="e">
        <f>G373-(G373*G374)</f>
        <v>#REF!</v>
      </c>
      <c r="J375" s="36">
        <f>J373-(J373*J374)</f>
        <v>0</v>
      </c>
    </row>
    <row r="376" spans="2:10" x14ac:dyDescent="0.25">
      <c r="B376"/>
      <c r="C376" s="1"/>
      <c r="E376" s="15"/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  <row r="381" spans="2:10" x14ac:dyDescent="0.25">
      <c r="C381" s="1"/>
      <c r="E381" s="15"/>
    </row>
  </sheetData>
  <autoFilter ref="B9:H375"/>
  <mergeCells count="11">
    <mergeCell ref="C1:C4"/>
    <mergeCell ref="C374:F374"/>
    <mergeCell ref="C375:F375"/>
    <mergeCell ref="C373:F373"/>
    <mergeCell ref="C372:F372"/>
    <mergeCell ref="C5:G5"/>
    <mergeCell ref="C6:C7"/>
    <mergeCell ref="C362:F362"/>
    <mergeCell ref="C248:F248"/>
    <mergeCell ref="C137:F137"/>
    <mergeCell ref="D8:G8"/>
  </mergeCells>
  <phoneticPr fontId="8" type="noConversion"/>
  <conditionalFormatting sqref="B11:G11 B165:G165 B140:B164 B209:G209 B166:B208 B287:G287 B251:B286 G251:G286 B288:B311 B312:G312 B320:G320 B313:E319 G313:G319 B334:G334 B321:E333 G321:G333 B335:E353 G335:G353 B372:G375 B364:B371 G364:G371 G166:G208 G140:G164 B33:G33 B12:E32 G12:G32 B60:G60 B34:E58 B59 D59:E59 G34:G59 B69:G69 B61:E68 G61:G68 B87:G87 B70:E86 G70:G86 B97:G97 B88:E96 G88:G96 B105:G105 B98:E104 G98:G104 B126:G126 B106:E125 G106:G125 B127:E136 G127:G136 B210:E235 G210:G247 B354:G354 B355:B361 G355:G361 G288:G311 B139:G139 B250:G250 B362:G362 B248:G248 B137:G137 B239:E246 B236:B238 D236:E238">
    <cfRule type="expression" dxfId="410" priority="81">
      <formula>$B11=0</formula>
    </cfRule>
  </conditionalFormatting>
  <conditionalFormatting sqref="B10:G10">
    <cfRule type="expression" dxfId="409" priority="70">
      <formula>$B10=0</formula>
    </cfRule>
  </conditionalFormatting>
  <conditionalFormatting sqref="B247:E247">
    <cfRule type="expression" dxfId="408" priority="69">
      <formula>$B247=0</formula>
    </cfRule>
  </conditionalFormatting>
  <conditionalFormatting sqref="C141">
    <cfRule type="expression" dxfId="407" priority="53">
      <formula>$B141=0</formula>
    </cfRule>
  </conditionalFormatting>
  <conditionalFormatting sqref="C144:C148">
    <cfRule type="expression" dxfId="406" priority="52">
      <formula>$B144=0</formula>
    </cfRule>
  </conditionalFormatting>
  <conditionalFormatting sqref="C140:E140 C152:E163 C151:D151 C149:E150 D141:E141 D144:E148 C142:E143">
    <cfRule type="expression" dxfId="405" priority="56">
      <formula>$B140=0</formula>
    </cfRule>
  </conditionalFormatting>
  <conditionalFormatting sqref="C302 C303:D305 E302:E305 C288:E293 C296:E301 E294:E295">
    <cfRule type="expression" dxfId="404" priority="44">
      <formula>$B288=0</formula>
    </cfRule>
  </conditionalFormatting>
  <conditionalFormatting sqref="E151">
    <cfRule type="expression" dxfId="403" priority="54">
      <formula>$B151=0</formula>
    </cfRule>
  </conditionalFormatting>
  <conditionalFormatting sqref="C270:E286 E251:E269">
    <cfRule type="expression" dxfId="402" priority="48">
      <formula>$B251=0</formula>
    </cfRule>
  </conditionalFormatting>
  <conditionalFormatting sqref="C251:C269">
    <cfRule type="expression" dxfId="401" priority="47">
      <formula>$B251=0</formula>
    </cfRule>
  </conditionalFormatting>
  <conditionalFormatting sqref="C166:E166 C172:E175 D167:E171 C187:E208 D176:E186">
    <cfRule type="expression" dxfId="400" priority="50">
      <formula>$B166=0</formula>
    </cfRule>
  </conditionalFormatting>
  <conditionalFormatting sqref="C164:E164">
    <cfRule type="expression" dxfId="399" priority="55">
      <formula>$B164=0</formula>
    </cfRule>
  </conditionalFormatting>
  <conditionalFormatting sqref="D251:D269">
    <cfRule type="expression" dxfId="398" priority="46">
      <formula>$B251=0</formula>
    </cfRule>
  </conditionalFormatting>
  <conditionalFormatting sqref="C306:E311">
    <cfRule type="expression" dxfId="397" priority="45">
      <formula>$B306=0</formula>
    </cfRule>
  </conditionalFormatting>
  <conditionalFormatting sqref="C364:E371">
    <cfRule type="expression" dxfId="396" priority="37">
      <formula>$B364=0</formula>
    </cfRule>
  </conditionalFormatting>
  <conditionalFormatting sqref="F12:F32">
    <cfRule type="expression" dxfId="395" priority="35">
      <formula>$B12=0</formula>
    </cfRule>
  </conditionalFormatting>
  <conditionalFormatting sqref="C59">
    <cfRule type="expression" dxfId="394" priority="32">
      <formula>$B59=0</formula>
    </cfRule>
  </conditionalFormatting>
  <conditionalFormatting sqref="F335:F353">
    <cfRule type="expression" dxfId="393" priority="17">
      <formula>$B335=0</formula>
    </cfRule>
  </conditionalFormatting>
  <conditionalFormatting sqref="F34:F58">
    <cfRule type="expression" dxfId="392" priority="34">
      <formula>$B34=0</formula>
    </cfRule>
  </conditionalFormatting>
  <conditionalFormatting sqref="F59">
    <cfRule type="expression" dxfId="391" priority="33">
      <formula>$B59=0</formula>
    </cfRule>
  </conditionalFormatting>
  <conditionalFormatting sqref="F61:F68">
    <cfRule type="expression" dxfId="390" priority="31">
      <formula>$B61=0</formula>
    </cfRule>
  </conditionalFormatting>
  <conditionalFormatting sqref="F70:F86">
    <cfRule type="expression" dxfId="389" priority="30">
      <formula>$B70=0</formula>
    </cfRule>
  </conditionalFormatting>
  <conditionalFormatting sqref="F88:F96">
    <cfRule type="expression" dxfId="388" priority="29">
      <formula>$B88=0</formula>
    </cfRule>
  </conditionalFormatting>
  <conditionalFormatting sqref="F98:F104">
    <cfRule type="expression" dxfId="387" priority="28">
      <formula>$B98=0</formula>
    </cfRule>
  </conditionalFormatting>
  <conditionalFormatting sqref="F106:F125">
    <cfRule type="expression" dxfId="386" priority="27">
      <formula>$B106=0</formula>
    </cfRule>
  </conditionalFormatting>
  <conditionalFormatting sqref="F127:F136">
    <cfRule type="expression" dxfId="385" priority="26">
      <formula>$B127=0</formula>
    </cfRule>
  </conditionalFormatting>
  <conditionalFormatting sqref="F140:F164">
    <cfRule type="expression" dxfId="384" priority="25">
      <formula>$B140=0</formula>
    </cfRule>
  </conditionalFormatting>
  <conditionalFormatting sqref="F166:F208">
    <cfRule type="expression" dxfId="383" priority="24">
      <formula>$B166=0</formula>
    </cfRule>
  </conditionalFormatting>
  <conditionalFormatting sqref="F210:F247">
    <cfRule type="expression" dxfId="382" priority="23">
      <formula>$B210=0</formula>
    </cfRule>
  </conditionalFormatting>
  <conditionalFormatting sqref="F251:F286">
    <cfRule type="expression" dxfId="381" priority="22">
      <formula>$B251=0</formula>
    </cfRule>
  </conditionalFormatting>
  <conditionalFormatting sqref="F321:F333">
    <cfRule type="expression" dxfId="380" priority="18">
      <formula>$B321=0</formula>
    </cfRule>
  </conditionalFormatting>
  <conditionalFormatting sqref="F313:F319">
    <cfRule type="expression" dxfId="379" priority="20">
      <formula>$B313=0</formula>
    </cfRule>
  </conditionalFormatting>
  <conditionalFormatting sqref="F288:F311">
    <cfRule type="expression" dxfId="378" priority="19">
      <formula>$B288=0</formula>
    </cfRule>
  </conditionalFormatting>
  <conditionalFormatting sqref="C355:F361">
    <cfRule type="expression" dxfId="377" priority="16">
      <formula>$B355=0</formula>
    </cfRule>
  </conditionalFormatting>
  <conditionalFormatting sqref="F364:F371">
    <cfRule type="expression" dxfId="376" priority="15">
      <formula>$B364=0</formula>
    </cfRule>
  </conditionalFormatting>
  <conditionalFormatting sqref="D294:D295">
    <cfRule type="expression" dxfId="375" priority="14">
      <formula>$B294=0</formula>
    </cfRule>
  </conditionalFormatting>
  <conditionalFormatting sqref="C294:C295">
    <cfRule type="expression" dxfId="374" priority="12">
      <formula>$B294=0</formula>
    </cfRule>
  </conditionalFormatting>
  <conditionalFormatting sqref="B138:G138">
    <cfRule type="expression" dxfId="373" priority="11">
      <formula>$B138=0</formula>
    </cfRule>
  </conditionalFormatting>
  <conditionalFormatting sqref="B249:G249">
    <cfRule type="expression" dxfId="372" priority="10">
      <formula>$B249=0</formula>
    </cfRule>
  </conditionalFormatting>
  <conditionalFormatting sqref="B363:G363">
    <cfRule type="expression" dxfId="371" priority="9">
      <formula>$B363=0</formula>
    </cfRule>
  </conditionalFormatting>
  <conditionalFormatting sqref="C183:C184">
    <cfRule type="expression" dxfId="370" priority="8">
      <formula>$B183=0</formula>
    </cfRule>
  </conditionalFormatting>
  <conditionalFormatting sqref="C167:C171">
    <cfRule type="expression" dxfId="369" priority="7">
      <formula>$B167=0</formula>
    </cfRule>
  </conditionalFormatting>
  <conditionalFormatting sqref="C186">
    <cfRule type="expression" dxfId="368" priority="6">
      <formula>$B186=0</formula>
    </cfRule>
  </conditionalFormatting>
  <conditionalFormatting sqref="C185">
    <cfRule type="expression" dxfId="367" priority="5">
      <formula>$B185=0</formula>
    </cfRule>
  </conditionalFormatting>
  <conditionalFormatting sqref="C176:C177 C179:C182">
    <cfRule type="expression" dxfId="366" priority="4">
      <formula>$B176=0</formula>
    </cfRule>
  </conditionalFormatting>
  <conditionalFormatting sqref="C178">
    <cfRule type="expression" dxfId="365" priority="3">
      <formula>$B178=0</formula>
    </cfRule>
  </conditionalFormatting>
  <conditionalFormatting sqref="C236:C237">
    <cfRule type="expression" dxfId="364" priority="2">
      <formula>$B236=0</formula>
    </cfRule>
  </conditionalFormatting>
  <conditionalFormatting sqref="C238">
    <cfRule type="expression" dxfId="363" priority="1">
      <formula>$B238=0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1111112" filterMode="1">
    <tabColor rgb="FF00B050"/>
    <pageSetUpPr fitToPage="1"/>
  </sheetPr>
  <dimension ref="A1:U381"/>
  <sheetViews>
    <sheetView topLeftCell="A192" zoomScaleNormal="100" zoomScalePageLayoutView="145" workbookViewId="0">
      <selection activeCell="C375" sqref="C375:F375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10000</v>
      </c>
      <c r="U1" s="35">
        <f>J137</f>
        <v>167.73750000000001</v>
      </c>
    </row>
    <row r="2" spans="1:21" ht="21.9" customHeight="1" x14ac:dyDescent="0.25">
      <c r="A2" s="19">
        <v>10.32</v>
      </c>
      <c r="C2" s="258"/>
      <c r="T2" s="35" t="e">
        <f>G248</f>
        <v>#REF!</v>
      </c>
      <c r="U2" s="35" t="e">
        <f>J248</f>
        <v>#REF!</v>
      </c>
    </row>
    <row r="3" spans="1:21" ht="21.9" customHeight="1" x14ac:dyDescent="0.25">
      <c r="A3" s="18" t="s">
        <v>183</v>
      </c>
      <c r="C3" s="258"/>
      <c r="T3" s="35">
        <f>G362</f>
        <v>51500.399999999994</v>
      </c>
      <c r="U3" s="35">
        <f>J362</f>
        <v>25287.569999999996</v>
      </c>
    </row>
    <row r="4" spans="1:21" ht="21.9" customHeight="1" thickBot="1" x14ac:dyDescent="0.3">
      <c r="A4" s="19">
        <v>7.76</v>
      </c>
      <c r="C4" s="259"/>
      <c r="D4" s="267" t="s">
        <v>1163</v>
      </c>
      <c r="E4" s="267"/>
      <c r="F4" s="267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855.54</v>
      </c>
      <c r="U6" s="35">
        <f>J372</f>
        <v>427.77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5.6</v>
      </c>
      <c r="I7" s="36" t="e">
        <f>#REF!</f>
        <v>#REF!</v>
      </c>
      <c r="J7" s="36">
        <v>0</v>
      </c>
      <c r="T7" s="35" t="e">
        <f>G373</f>
        <v>#REF!</v>
      </c>
      <c r="U7" s="35" t="e">
        <f>J373</f>
        <v>#REF!</v>
      </c>
    </row>
    <row r="8" spans="1:21" x14ac:dyDescent="0.25">
      <c r="C8" s="70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 t="e">
        <f>J375</f>
        <v>#REF!</v>
      </c>
    </row>
    <row r="9" spans="1:21" ht="15.6" x14ac:dyDescent="0.3">
      <c r="B9" s="110"/>
      <c r="C9" s="137"/>
      <c r="D9" s="112"/>
      <c r="E9" s="112"/>
      <c r="F9" s="112"/>
      <c r="G9" s="112"/>
      <c r="U9" s="36"/>
    </row>
    <row r="10" spans="1:21" ht="15.6" x14ac:dyDescent="0.25">
      <c r="B10" s="153">
        <f>IF(SUM(B11:B136)&gt;0,1,0)</f>
        <v>1</v>
      </c>
      <c r="C10" s="164" t="s">
        <v>1146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hidden="1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hidden="1" x14ac:dyDescent="0.25">
      <c r="B12" s="59"/>
      <c r="C12" s="65" t="s">
        <v>305</v>
      </c>
      <c r="D12" s="61" t="s">
        <v>3</v>
      </c>
      <c r="E12" s="62">
        <f>$A$2</f>
        <v>10.32</v>
      </c>
      <c r="F12" s="63">
        <f>'Прайс для расчета'!E5</f>
        <v>89.25</v>
      </c>
      <c r="G12" s="64">
        <f t="shared" ref="G12:G32" si="0">F12*E12</f>
        <v>921.06000000000006</v>
      </c>
      <c r="I12" s="135">
        <f>'Прайс для расчета (М)'!E5</f>
        <v>44.625</v>
      </c>
      <c r="J12" s="36">
        <f t="shared" ref="J12:J32" si="1">I12*E12</f>
        <v>460.53000000000003</v>
      </c>
    </row>
    <row r="13" spans="1:21" ht="15.6" hidden="1" x14ac:dyDescent="0.25">
      <c r="B13" s="59"/>
      <c r="C13" s="65" t="s">
        <v>306</v>
      </c>
      <c r="D13" s="61" t="s">
        <v>2</v>
      </c>
      <c r="E13" s="62">
        <f t="shared" ref="E13:E28" si="2">$A$4</f>
        <v>7.76</v>
      </c>
      <c r="F13" s="63">
        <f>'Прайс для расчета'!E6</f>
        <v>157.5</v>
      </c>
      <c r="G13" s="64">
        <f t="shared" si="0"/>
        <v>1222.2</v>
      </c>
      <c r="I13" s="135">
        <f>'Прайс для расчета (М)'!E6</f>
        <v>78.75</v>
      </c>
      <c r="J13" s="36">
        <f t="shared" si="1"/>
        <v>611.1</v>
      </c>
    </row>
    <row r="14" spans="1:21" ht="15.6" hidden="1" x14ac:dyDescent="0.25">
      <c r="B14" s="59"/>
      <c r="C14" s="65" t="s">
        <v>307</v>
      </c>
      <c r="D14" s="61" t="s">
        <v>2</v>
      </c>
      <c r="E14" s="62">
        <f t="shared" si="2"/>
        <v>7.76</v>
      </c>
      <c r="F14" s="63">
        <f>'Прайс для расчета'!E7</f>
        <v>292.23599999999999</v>
      </c>
      <c r="G14" s="64">
        <f t="shared" si="0"/>
        <v>2267.7513599999997</v>
      </c>
      <c r="I14" s="135">
        <f>'Прайс для расчета (М)'!E7</f>
        <v>146.11799999999999</v>
      </c>
      <c r="J14" s="36">
        <f t="shared" si="1"/>
        <v>1133.8756799999999</v>
      </c>
    </row>
    <row r="15" spans="1:21" ht="15.6" hidden="1" x14ac:dyDescent="0.25">
      <c r="B15" s="59"/>
      <c r="C15" s="65" t="s">
        <v>308</v>
      </c>
      <c r="D15" s="61" t="s">
        <v>2</v>
      </c>
      <c r="E15" s="62">
        <f t="shared" si="2"/>
        <v>7.76</v>
      </c>
      <c r="F15" s="63">
        <f>'Прайс для расчета'!E8</f>
        <v>367.5</v>
      </c>
      <c r="G15" s="64">
        <f t="shared" si="0"/>
        <v>2851.7999999999997</v>
      </c>
      <c r="I15" s="135">
        <f>'Прайс для расчета (М)'!E8</f>
        <v>183.75</v>
      </c>
      <c r="J15" s="36">
        <f t="shared" si="1"/>
        <v>1425.8999999999999</v>
      </c>
    </row>
    <row r="16" spans="1:21" ht="15.6" hidden="1" x14ac:dyDescent="0.25">
      <c r="B16" s="59"/>
      <c r="C16" s="65" t="s">
        <v>309</v>
      </c>
      <c r="D16" s="61" t="s">
        <v>2</v>
      </c>
      <c r="E16" s="62">
        <f t="shared" si="2"/>
        <v>7.76</v>
      </c>
      <c r="F16" s="63">
        <f>'Прайс для расчета'!E9</f>
        <v>120.771</v>
      </c>
      <c r="G16" s="64">
        <f t="shared" si="0"/>
        <v>937.18295999999998</v>
      </c>
      <c r="I16" s="135">
        <f>'Прайс для расчета (М)'!E9</f>
        <v>60.3855</v>
      </c>
      <c r="J16" s="36">
        <f t="shared" si="1"/>
        <v>468.59147999999999</v>
      </c>
    </row>
    <row r="17" spans="2:10" ht="15.6" hidden="1" x14ac:dyDescent="0.25">
      <c r="B17" s="59"/>
      <c r="C17" s="65" t="s">
        <v>310</v>
      </c>
      <c r="D17" s="61" t="s">
        <v>2</v>
      </c>
      <c r="E17" s="62">
        <f t="shared" si="2"/>
        <v>7.76</v>
      </c>
      <c r="F17" s="63">
        <f>'Прайс для расчета'!E10</f>
        <v>102.87899999999999</v>
      </c>
      <c r="G17" s="64">
        <f t="shared" si="0"/>
        <v>798.34103999999991</v>
      </c>
      <c r="I17" s="135">
        <f>'Прайс для расчета (М)'!E10</f>
        <v>51.439499999999995</v>
      </c>
      <c r="J17" s="36">
        <f t="shared" si="1"/>
        <v>399.17051999999995</v>
      </c>
    </row>
    <row r="18" spans="2:10" ht="15.6" hidden="1" x14ac:dyDescent="0.25">
      <c r="B18" s="59"/>
      <c r="C18" s="65" t="s">
        <v>1002</v>
      </c>
      <c r="D18" s="61" t="s">
        <v>2</v>
      </c>
      <c r="E18" s="62">
        <f t="shared" si="2"/>
        <v>7.76</v>
      </c>
      <c r="F18" s="63">
        <f>'Прайс для расчета'!E11</f>
        <v>1837.5</v>
      </c>
      <c r="G18" s="64">
        <f t="shared" si="0"/>
        <v>14259</v>
      </c>
      <c r="I18" s="135">
        <f>'Прайс для расчета (М)'!E11</f>
        <v>918.75</v>
      </c>
      <c r="J18" s="36">
        <f t="shared" si="1"/>
        <v>7129.5</v>
      </c>
    </row>
    <row r="19" spans="2:10" ht="15.6" hidden="1" x14ac:dyDescent="0.25">
      <c r="B19" s="59"/>
      <c r="C19" s="65" t="s">
        <v>1003</v>
      </c>
      <c r="D19" s="61" t="s">
        <v>2</v>
      </c>
      <c r="E19" s="62">
        <f t="shared" si="2"/>
        <v>7.76</v>
      </c>
      <c r="F19" s="63">
        <f>'Прайс для расчета'!E12</f>
        <v>2677.5</v>
      </c>
      <c r="G19" s="64">
        <f t="shared" si="0"/>
        <v>20777.399999999998</v>
      </c>
      <c r="I19" s="135">
        <f>'Прайс для расчета (М)'!E12</f>
        <v>1338.75</v>
      </c>
      <c r="J19" s="36">
        <f t="shared" si="1"/>
        <v>10388.699999999999</v>
      </c>
    </row>
    <row r="20" spans="2:10" ht="15.6" hidden="1" x14ac:dyDescent="0.25">
      <c r="B20" s="59"/>
      <c r="C20" s="65" t="s">
        <v>59</v>
      </c>
      <c r="D20" s="61" t="s">
        <v>2</v>
      </c>
      <c r="E20" s="62">
        <f t="shared" si="2"/>
        <v>7.76</v>
      </c>
      <c r="F20" s="63">
        <f>'Прайс для расчета'!E13</f>
        <v>367.5</v>
      </c>
      <c r="G20" s="64">
        <f t="shared" si="0"/>
        <v>2851.7999999999997</v>
      </c>
      <c r="I20" s="135">
        <f>'Прайс для расчета (М)'!E13</f>
        <v>183.75</v>
      </c>
      <c r="J20" s="36">
        <f t="shared" si="1"/>
        <v>1425.8999999999999</v>
      </c>
    </row>
    <row r="21" spans="2:10" ht="15.6" hidden="1" x14ac:dyDescent="0.25">
      <c r="B21" s="59"/>
      <c r="C21" s="65" t="s">
        <v>311</v>
      </c>
      <c r="D21" s="61" t="s">
        <v>2</v>
      </c>
      <c r="E21" s="62">
        <f t="shared" si="2"/>
        <v>7.76</v>
      </c>
      <c r="F21" s="63">
        <f>'Прайс для расчета'!E14</f>
        <v>315</v>
      </c>
      <c r="G21" s="64">
        <f t="shared" si="0"/>
        <v>2444.4</v>
      </c>
      <c r="I21" s="135">
        <f>'Прайс для расчета (М)'!E14</f>
        <v>157.5</v>
      </c>
      <c r="J21" s="36">
        <f t="shared" si="1"/>
        <v>1222.2</v>
      </c>
    </row>
    <row r="22" spans="2:10" ht="15.6" hidden="1" x14ac:dyDescent="0.25">
      <c r="B22" s="59"/>
      <c r="C22" s="65" t="s">
        <v>312</v>
      </c>
      <c r="D22" s="61" t="s">
        <v>2</v>
      </c>
      <c r="E22" s="62">
        <f t="shared" si="2"/>
        <v>7.76</v>
      </c>
      <c r="F22" s="63">
        <f>'Прайс для расчета'!E15</f>
        <v>162.75</v>
      </c>
      <c r="G22" s="64">
        <f t="shared" si="0"/>
        <v>1262.94</v>
      </c>
      <c r="I22" s="135">
        <f>'Прайс для расчета (М)'!E15</f>
        <v>81.375</v>
      </c>
      <c r="J22" s="36">
        <f t="shared" si="1"/>
        <v>631.47</v>
      </c>
    </row>
    <row r="23" spans="2:10" ht="15.6" hidden="1" x14ac:dyDescent="0.25">
      <c r="B23" s="59"/>
      <c r="C23" s="65" t="s">
        <v>313</v>
      </c>
      <c r="D23" s="61" t="s">
        <v>2</v>
      </c>
      <c r="E23" s="62">
        <f t="shared" si="2"/>
        <v>7.76</v>
      </c>
      <c r="F23" s="63">
        <f>'Прайс для расчета'!E16</f>
        <v>162.75</v>
      </c>
      <c r="G23" s="64">
        <f t="shared" si="0"/>
        <v>1262.94</v>
      </c>
      <c r="I23" s="135">
        <f>'Прайс для расчета (М)'!E16</f>
        <v>81.375</v>
      </c>
      <c r="J23" s="36">
        <f t="shared" si="1"/>
        <v>631.47</v>
      </c>
    </row>
    <row r="24" spans="2:10" ht="15.6" hidden="1" x14ac:dyDescent="0.25">
      <c r="B24" s="59"/>
      <c r="C24" s="65" t="s">
        <v>314</v>
      </c>
      <c r="D24" s="61" t="s">
        <v>2</v>
      </c>
      <c r="E24" s="62">
        <f t="shared" si="2"/>
        <v>7.76</v>
      </c>
      <c r="F24" s="63">
        <f>'Прайс для расчета'!E17</f>
        <v>335.47500000000002</v>
      </c>
      <c r="G24" s="64">
        <f t="shared" si="0"/>
        <v>2603.2860000000001</v>
      </c>
      <c r="I24" s="135">
        <f>'Прайс для расчета (М)'!E17</f>
        <v>167.73750000000001</v>
      </c>
      <c r="J24" s="36">
        <f t="shared" si="1"/>
        <v>1301.643</v>
      </c>
    </row>
    <row r="25" spans="2:10" ht="15.6" hidden="1" x14ac:dyDescent="0.25">
      <c r="B25" s="59"/>
      <c r="C25" s="65" t="s">
        <v>658</v>
      </c>
      <c r="D25" s="61" t="s">
        <v>2</v>
      </c>
      <c r="E25" s="62">
        <f t="shared" si="2"/>
        <v>7.76</v>
      </c>
      <c r="F25" s="63">
        <f>'Прайс для расчета'!E18</f>
        <v>73.5</v>
      </c>
      <c r="G25" s="64">
        <f t="shared" si="0"/>
        <v>570.36</v>
      </c>
      <c r="I25" s="135">
        <f>'Прайс для расчета (М)'!E18</f>
        <v>36.75</v>
      </c>
      <c r="J25" s="36">
        <f t="shared" si="1"/>
        <v>285.18</v>
      </c>
    </row>
    <row r="26" spans="2:10" ht="15.6" hidden="1" x14ac:dyDescent="0.25">
      <c r="B26" s="59"/>
      <c r="C26" s="65" t="s">
        <v>315</v>
      </c>
      <c r="D26" s="61" t="s">
        <v>2</v>
      </c>
      <c r="E26" s="62">
        <f t="shared" si="2"/>
        <v>7.76</v>
      </c>
      <c r="F26" s="63">
        <f>'Прайс для расчета'!E19</f>
        <v>420.46199999999999</v>
      </c>
      <c r="G26" s="64">
        <f t="shared" si="0"/>
        <v>3262.78512</v>
      </c>
      <c r="I26" s="135">
        <f>'Прайс для расчета (М)'!E19</f>
        <v>210.23099999999999</v>
      </c>
      <c r="J26" s="36">
        <f t="shared" si="1"/>
        <v>1631.39256</v>
      </c>
    </row>
    <row r="27" spans="2:10" ht="15.6" hidden="1" x14ac:dyDescent="0.25">
      <c r="B27" s="59"/>
      <c r="C27" s="65" t="s">
        <v>316</v>
      </c>
      <c r="D27" s="61" t="s">
        <v>2</v>
      </c>
      <c r="E27" s="62">
        <f t="shared" si="2"/>
        <v>7.76</v>
      </c>
      <c r="F27" s="63">
        <f>'Прайс для расчета'!E20</f>
        <v>577.5</v>
      </c>
      <c r="G27" s="64">
        <f t="shared" si="0"/>
        <v>4481.3999999999996</v>
      </c>
      <c r="I27" s="135">
        <f>'Прайс для расчета (М)'!E20</f>
        <v>288.75</v>
      </c>
      <c r="J27" s="36">
        <f t="shared" si="1"/>
        <v>2240.6999999999998</v>
      </c>
    </row>
    <row r="28" spans="2:10" ht="15.6" hidden="1" x14ac:dyDescent="0.25">
      <c r="B28" s="59"/>
      <c r="C28" s="65" t="s">
        <v>317</v>
      </c>
      <c r="D28" s="61" t="s">
        <v>2</v>
      </c>
      <c r="E28" s="62">
        <f t="shared" si="2"/>
        <v>7.76</v>
      </c>
      <c r="F28" s="63">
        <f>'Прайс для расчета'!E21</f>
        <v>262.5</v>
      </c>
      <c r="G28" s="64">
        <f t="shared" si="0"/>
        <v>2037</v>
      </c>
      <c r="I28" s="135">
        <f>'Прайс для расчета (М)'!E21</f>
        <v>131.25</v>
      </c>
      <c r="J28" s="36">
        <f t="shared" si="1"/>
        <v>1018.5</v>
      </c>
    </row>
    <row r="29" spans="2:10" ht="15.6" hidden="1" x14ac:dyDescent="0.25">
      <c r="B29" s="59"/>
      <c r="C29" s="65" t="s">
        <v>318</v>
      </c>
      <c r="D29" s="61" t="s">
        <v>3</v>
      </c>
      <c r="E29" s="62">
        <f>$A$2</f>
        <v>10.32</v>
      </c>
      <c r="F29" s="63">
        <f>'Прайс для расчета'!E22</f>
        <v>644.11199999999997</v>
      </c>
      <c r="G29" s="64">
        <f t="shared" si="0"/>
        <v>6647.2358400000003</v>
      </c>
      <c r="I29" s="135">
        <f>'Прайс для расчета (М)'!E22</f>
        <v>322.05599999999998</v>
      </c>
      <c r="J29" s="36">
        <f t="shared" si="1"/>
        <v>3323.6179200000001</v>
      </c>
    </row>
    <row r="30" spans="2:10" ht="15.6" hidden="1" x14ac:dyDescent="0.25">
      <c r="B30" s="59"/>
      <c r="C30" s="65" t="s">
        <v>319</v>
      </c>
      <c r="D30" s="61" t="s">
        <v>3</v>
      </c>
      <c r="E30" s="62">
        <f>$A$2</f>
        <v>10.32</v>
      </c>
      <c r="F30" s="63">
        <f>'Прайс для расчета'!E23</f>
        <v>111.825</v>
      </c>
      <c r="G30" s="64">
        <f t="shared" si="0"/>
        <v>1154.0340000000001</v>
      </c>
      <c r="I30" s="135">
        <f>'Прайс для расчета (М)'!E23</f>
        <v>55.912500000000001</v>
      </c>
      <c r="J30" s="36">
        <f t="shared" si="1"/>
        <v>577.01700000000005</v>
      </c>
    </row>
    <row r="31" spans="2:10" ht="15.6" hidden="1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hidden="1" x14ac:dyDescent="0.25">
      <c r="B32" s="59"/>
      <c r="C32" s="65" t="s">
        <v>219</v>
      </c>
      <c r="D32" s="61" t="s">
        <v>2</v>
      </c>
      <c r="E32" s="62">
        <f>$A$4</f>
        <v>7.76</v>
      </c>
      <c r="F32" s="63">
        <f>'Прайс для расчета'!E25</f>
        <v>335.47500000000002</v>
      </c>
      <c r="G32" s="64">
        <f t="shared" si="0"/>
        <v>2603.2860000000001</v>
      </c>
      <c r="I32" s="135">
        <f>'Прайс для расчета (М)'!E25</f>
        <v>167.73750000000001</v>
      </c>
      <c r="J32" s="36">
        <f t="shared" si="1"/>
        <v>1301.643</v>
      </c>
    </row>
    <row r="33" spans="2:10" ht="15.6" hidden="1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hidden="1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hidden="1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hidden="1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hidden="1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hidden="1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hidden="1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hidden="1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hidden="1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hidden="1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hidden="1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hidden="1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hidden="1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hidden="1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hidden="1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hidden="1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hidden="1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hidden="1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hidden="1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hidden="1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hidden="1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hidden="1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hidden="1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hidden="1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hidden="1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hidden="1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hidden="1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hidden="1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hidden="1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hidden="1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hidden="1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hidden="1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hidden="1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hidden="1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hidden="1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hidden="1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hidden="1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hidden="1" x14ac:dyDescent="0.25">
      <c r="B70" s="59"/>
      <c r="C70" s="65" t="s">
        <v>334</v>
      </c>
      <c r="D70" s="61" t="s">
        <v>3</v>
      </c>
      <c r="E70" s="62">
        <f>$A$2</f>
        <v>10.32</v>
      </c>
      <c r="F70" s="63">
        <f>'Прайс для расчета'!E62</f>
        <v>110.25</v>
      </c>
      <c r="G70" s="64">
        <f t="shared" ref="G70:G86" si="9">F70*E70</f>
        <v>1137.78</v>
      </c>
      <c r="I70" s="135">
        <f>'Прайс для расчета (М)'!E62</f>
        <v>55.125</v>
      </c>
      <c r="J70" s="36">
        <f t="shared" ref="J70:J86" si="10">I70*E70</f>
        <v>568.89</v>
      </c>
    </row>
    <row r="71" spans="2:10" ht="15.6" hidden="1" x14ac:dyDescent="0.25">
      <c r="B71" s="59"/>
      <c r="C71" s="65" t="s">
        <v>335</v>
      </c>
      <c r="D71" s="61" t="s">
        <v>2</v>
      </c>
      <c r="E71" s="62">
        <f t="shared" ref="E71:E76" si="11">$A$4</f>
        <v>7.76</v>
      </c>
      <c r="F71" s="63">
        <f>'Прайс для расчета'!E63</f>
        <v>248.99699999999999</v>
      </c>
      <c r="G71" s="64">
        <f t="shared" si="9"/>
        <v>1932.2167199999999</v>
      </c>
      <c r="I71" s="135">
        <f>'Прайс для расчета (М)'!E63</f>
        <v>124.49849999999999</v>
      </c>
      <c r="J71" s="36">
        <f t="shared" si="10"/>
        <v>966.10835999999995</v>
      </c>
    </row>
    <row r="72" spans="2:10" ht="15.6" hidden="1" x14ac:dyDescent="0.25">
      <c r="B72" s="59"/>
      <c r="C72" s="65" t="s">
        <v>336</v>
      </c>
      <c r="D72" s="61" t="s">
        <v>2</v>
      </c>
      <c r="E72" s="62">
        <f t="shared" si="11"/>
        <v>7.76</v>
      </c>
      <c r="F72" s="63">
        <f>'Прайс для расчета'!E64</f>
        <v>205.75799999999998</v>
      </c>
      <c r="G72" s="64">
        <f t="shared" si="9"/>
        <v>1596.6820799999998</v>
      </c>
      <c r="I72" s="135">
        <f>'Прайс для расчета (М)'!E64</f>
        <v>102.87899999999999</v>
      </c>
      <c r="J72" s="36">
        <f t="shared" si="10"/>
        <v>798.34103999999991</v>
      </c>
    </row>
    <row r="73" spans="2:10" ht="15.6" hidden="1" x14ac:dyDescent="0.25">
      <c r="B73" s="59"/>
      <c r="C73" s="65" t="s">
        <v>481</v>
      </c>
      <c r="D73" s="61" t="s">
        <v>2</v>
      </c>
      <c r="E73" s="62">
        <f t="shared" si="11"/>
        <v>7.76</v>
      </c>
      <c r="F73" s="63">
        <f>'Прайс для расчета'!E65</f>
        <v>155.06400000000002</v>
      </c>
      <c r="G73" s="64">
        <f t="shared" si="9"/>
        <v>1203.29664</v>
      </c>
      <c r="I73" s="135">
        <f>'Прайс для расчета (М)'!E65</f>
        <v>77.532000000000011</v>
      </c>
      <c r="J73" s="36">
        <f t="shared" si="10"/>
        <v>601.64832000000001</v>
      </c>
    </row>
    <row r="74" spans="2:10" ht="15.6" hidden="1" x14ac:dyDescent="0.25">
      <c r="B74" s="59"/>
      <c r="C74" s="65" t="s">
        <v>482</v>
      </c>
      <c r="D74" s="61" t="s">
        <v>2</v>
      </c>
      <c r="E74" s="62">
        <f t="shared" si="11"/>
        <v>7.76</v>
      </c>
      <c r="F74" s="63">
        <f>'Прайс для расчета'!E66</f>
        <v>137.172</v>
      </c>
      <c r="G74" s="64">
        <f t="shared" si="9"/>
        <v>1064.45472</v>
      </c>
      <c r="I74" s="135">
        <f>'Прайс для расчета (М)'!E66</f>
        <v>68.585999999999999</v>
      </c>
      <c r="J74" s="36">
        <f t="shared" si="10"/>
        <v>532.22735999999998</v>
      </c>
    </row>
    <row r="75" spans="2:10" ht="15.6" hidden="1" x14ac:dyDescent="0.25">
      <c r="B75" s="59"/>
      <c r="C75" s="65" t="s">
        <v>483</v>
      </c>
      <c r="D75" s="61" t="s">
        <v>2</v>
      </c>
      <c r="E75" s="62">
        <f t="shared" si="11"/>
        <v>7.76</v>
      </c>
      <c r="F75" s="63">
        <f>'Прайс для расчета'!E67</f>
        <v>86.478000000000009</v>
      </c>
      <c r="G75" s="64">
        <f t="shared" si="9"/>
        <v>671.06928000000005</v>
      </c>
      <c r="I75" s="135">
        <f>'Прайс для расчета (М)'!E67</f>
        <v>43.239000000000004</v>
      </c>
      <c r="J75" s="36">
        <f t="shared" si="10"/>
        <v>335.53464000000002</v>
      </c>
    </row>
    <row r="76" spans="2:10" ht="15.6" hidden="1" x14ac:dyDescent="0.25">
      <c r="B76" s="59"/>
      <c r="C76" s="65" t="s">
        <v>484</v>
      </c>
      <c r="D76" s="61" t="s">
        <v>2</v>
      </c>
      <c r="E76" s="62">
        <f t="shared" si="11"/>
        <v>7.76</v>
      </c>
      <c r="F76" s="63">
        <f>'Прайс для расчета'!E68</f>
        <v>102.87899999999999</v>
      </c>
      <c r="G76" s="64">
        <f t="shared" si="9"/>
        <v>798.34103999999991</v>
      </c>
      <c r="I76" s="135">
        <f>'Прайс для расчета (М)'!E68</f>
        <v>51.439499999999995</v>
      </c>
      <c r="J76" s="36">
        <f t="shared" si="10"/>
        <v>399.17051999999995</v>
      </c>
    </row>
    <row r="77" spans="2:10" ht="15.6" hidden="1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hidden="1" x14ac:dyDescent="0.25">
      <c r="B78" s="59"/>
      <c r="C78" s="65" t="s">
        <v>661</v>
      </c>
      <c r="D78" s="61" t="s">
        <v>2</v>
      </c>
      <c r="E78" s="62">
        <f>$A$4</f>
        <v>7.76</v>
      </c>
      <c r="F78" s="63">
        <f>'Прайс для расчета'!E70</f>
        <v>377.22300000000001</v>
      </c>
      <c r="G78" s="64">
        <f t="shared" si="9"/>
        <v>2927.2504800000002</v>
      </c>
      <c r="I78" s="135">
        <f>'Прайс для расчета (М)'!E70</f>
        <v>188.61150000000001</v>
      </c>
      <c r="J78" s="36">
        <f t="shared" si="10"/>
        <v>1463.6252400000001</v>
      </c>
    </row>
    <row r="79" spans="2:10" ht="15.6" hidden="1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hidden="1" x14ac:dyDescent="0.25">
      <c r="B80" s="59"/>
      <c r="C80" s="65" t="s">
        <v>138</v>
      </c>
      <c r="D80" s="61" t="s">
        <v>3</v>
      </c>
      <c r="E80" s="62">
        <f t="shared" ref="E80:E86" si="12">$A$4</f>
        <v>7.76</v>
      </c>
      <c r="F80" s="63">
        <f>'Прайс для расчета'!E72</f>
        <v>204.75</v>
      </c>
      <c r="G80" s="64">
        <f t="shared" si="9"/>
        <v>1588.86</v>
      </c>
      <c r="I80" s="135">
        <f>'Прайс для расчета (М)'!E72</f>
        <v>102.375</v>
      </c>
      <c r="J80" s="36">
        <f t="shared" si="10"/>
        <v>794.43</v>
      </c>
    </row>
    <row r="81" spans="2:10" ht="15.6" hidden="1" x14ac:dyDescent="0.25">
      <c r="B81" s="59"/>
      <c r="C81" s="65" t="s">
        <v>339</v>
      </c>
      <c r="D81" s="61" t="s">
        <v>2</v>
      </c>
      <c r="E81" s="62">
        <f t="shared" si="12"/>
        <v>7.76</v>
      </c>
      <c r="F81" s="63">
        <f>'Прайс для расчета'!E73</f>
        <v>274.34399999999999</v>
      </c>
      <c r="G81" s="64">
        <f t="shared" si="9"/>
        <v>2128.9094399999999</v>
      </c>
      <c r="I81" s="135">
        <f>'Прайс для расчета (М)'!E73</f>
        <v>137.172</v>
      </c>
      <c r="J81" s="36">
        <f t="shared" si="10"/>
        <v>1064.45472</v>
      </c>
    </row>
    <row r="82" spans="2:10" ht="15.6" hidden="1" x14ac:dyDescent="0.25">
      <c r="B82" s="59"/>
      <c r="C82" s="65" t="s">
        <v>156</v>
      </c>
      <c r="D82" s="61" t="s">
        <v>2</v>
      </c>
      <c r="E82" s="62">
        <f t="shared" si="12"/>
        <v>7.76</v>
      </c>
      <c r="F82" s="63">
        <f>'Прайс для расчета'!E74</f>
        <v>223.65</v>
      </c>
      <c r="G82" s="64">
        <f t="shared" si="9"/>
        <v>1735.5239999999999</v>
      </c>
      <c r="I82" s="135">
        <f>'Прайс для расчета (М)'!E74</f>
        <v>111.825</v>
      </c>
      <c r="J82" s="36">
        <f t="shared" si="10"/>
        <v>867.76199999999994</v>
      </c>
    </row>
    <row r="83" spans="2:10" ht="15.6" hidden="1" x14ac:dyDescent="0.25">
      <c r="B83" s="59"/>
      <c r="C83" s="65" t="s">
        <v>340</v>
      </c>
      <c r="D83" s="61" t="s">
        <v>2</v>
      </c>
      <c r="E83" s="62">
        <f t="shared" si="12"/>
        <v>7.76</v>
      </c>
      <c r="F83" s="63">
        <f>'Прайс для расчета'!E75</f>
        <v>506.94</v>
      </c>
      <c r="G83" s="64">
        <f t="shared" si="9"/>
        <v>3933.8543999999997</v>
      </c>
      <c r="I83" s="135">
        <f>'Прайс для расчета (М)'!E75</f>
        <v>253.47</v>
      </c>
      <c r="J83" s="36">
        <f t="shared" si="10"/>
        <v>1966.9271999999999</v>
      </c>
    </row>
    <row r="84" spans="2:10" ht="15.6" hidden="1" x14ac:dyDescent="0.25">
      <c r="B84" s="59"/>
      <c r="C84" s="65" t="s">
        <v>54</v>
      </c>
      <c r="D84" s="61" t="s">
        <v>2</v>
      </c>
      <c r="E84" s="62">
        <f t="shared" si="12"/>
        <v>7.76</v>
      </c>
      <c r="F84" s="63">
        <f>'Прайс для расчета'!E76</f>
        <v>591.92700000000002</v>
      </c>
      <c r="G84" s="64">
        <f t="shared" si="9"/>
        <v>4593.3535199999997</v>
      </c>
      <c r="I84" s="135">
        <f>'Прайс для расчета (М)'!E76</f>
        <v>295.96350000000001</v>
      </c>
      <c r="J84" s="36">
        <f t="shared" si="10"/>
        <v>2296.6767599999998</v>
      </c>
    </row>
    <row r="85" spans="2:10" ht="15.6" hidden="1" x14ac:dyDescent="0.25">
      <c r="B85" s="59"/>
      <c r="C85" s="65" t="s">
        <v>221</v>
      </c>
      <c r="D85" s="61" t="s">
        <v>2</v>
      </c>
      <c r="E85" s="62">
        <f t="shared" si="12"/>
        <v>7.76</v>
      </c>
      <c r="F85" s="63">
        <f>'Прайс для расчета'!E77</f>
        <v>210</v>
      </c>
      <c r="G85" s="64">
        <f t="shared" si="9"/>
        <v>1629.6</v>
      </c>
      <c r="I85" s="135">
        <f>'Прайс для расчета (М)'!E77</f>
        <v>105</v>
      </c>
      <c r="J85" s="36">
        <f t="shared" si="10"/>
        <v>814.8</v>
      </c>
    </row>
    <row r="86" spans="2:10" ht="15.6" hidden="1" x14ac:dyDescent="0.25">
      <c r="B86" s="59"/>
      <c r="C86" s="65" t="s">
        <v>157</v>
      </c>
      <c r="D86" s="61" t="s">
        <v>2</v>
      </c>
      <c r="E86" s="62">
        <f t="shared" si="12"/>
        <v>7.76</v>
      </c>
      <c r="F86" s="63">
        <f>'Прайс для расчета'!E78</f>
        <v>240.05099999999999</v>
      </c>
      <c r="G86" s="64">
        <f t="shared" si="9"/>
        <v>1862.7957599999997</v>
      </c>
      <c r="I86" s="135">
        <f>'Прайс для расчета (М)'!E78</f>
        <v>120.02549999999999</v>
      </c>
      <c r="J86" s="36">
        <f t="shared" si="10"/>
        <v>931.39787999999987</v>
      </c>
    </row>
    <row r="87" spans="2:10" ht="15.6" hidden="1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hidden="1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hidden="1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hidden="1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hidden="1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hidden="1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hidden="1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hidden="1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hidden="1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hidden="1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hidden="1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hidden="1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hidden="1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hidden="1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hidden="1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hidden="1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hidden="1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hidden="1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hidden="1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hidden="1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hidden="1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hidden="1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hidden="1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hidden="1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hidden="1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hidden="1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hidden="1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hidden="1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hidden="1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hidden="1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hidden="1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hidden="1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hidden="1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hidden="1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hidden="1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hidden="1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hidden="1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hidden="1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hidden="1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x14ac:dyDescent="0.25">
      <c r="B126" s="59">
        <f>IF(SUM(B127:B136)&gt;0,1,0)</f>
        <v>1</v>
      </c>
      <c r="C126" s="67" t="s">
        <v>883</v>
      </c>
      <c r="D126" s="61"/>
      <c r="E126" s="62"/>
      <c r="F126" s="63"/>
      <c r="G126" s="64"/>
    </row>
    <row r="127" spans="2:10" ht="15.6" hidden="1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hidden="1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x14ac:dyDescent="0.25">
      <c r="B129" s="59">
        <v>1</v>
      </c>
      <c r="C129" s="65" t="s">
        <v>1173</v>
      </c>
      <c r="D129" s="61" t="s">
        <v>0</v>
      </c>
      <c r="E129" s="62">
        <v>1</v>
      </c>
      <c r="F129" s="63">
        <v>10000</v>
      </c>
      <c r="G129" s="64">
        <f t="shared" si="19"/>
        <v>10000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hidden="1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hidden="1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hidden="1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hidden="1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hidden="1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hidden="1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hidden="1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x14ac:dyDescent="0.25">
      <c r="B137" s="110">
        <f>IF(SUM(B10:B136)&gt;0,1,0)</f>
        <v>1</v>
      </c>
      <c r="C137" s="266" t="s">
        <v>497</v>
      </c>
      <c r="D137" s="266"/>
      <c r="E137" s="266"/>
      <c r="F137" s="266"/>
      <c r="G137" s="157">
        <f>SUMIF(B12:B136,1,G12:G136)</f>
        <v>10000</v>
      </c>
      <c r="J137" s="36">
        <f>SUMIF(B12:B136,1,J12:J136)</f>
        <v>167.73750000000001</v>
      </c>
    </row>
    <row r="138" spans="2:10" ht="15.6" x14ac:dyDescent="0.25">
      <c r="B138" s="153">
        <f>IF(SUM(B139:B247)&gt;0,1,0)</f>
        <v>1</v>
      </c>
      <c r="C138" s="164" t="s">
        <v>1147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1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>
        <v>1</v>
      </c>
      <c r="C140" s="78" t="s">
        <v>1018</v>
      </c>
      <c r="D140" s="74" t="s">
        <v>2</v>
      </c>
      <c r="E140" s="75">
        <f t="shared" ref="E140:E164" si="21">$A$4</f>
        <v>7.76</v>
      </c>
      <c r="F140" s="63">
        <f>'Прайс для расчета'!E125</f>
        <v>94.5</v>
      </c>
      <c r="G140" s="64">
        <f t="shared" ref="G140:G164" si="22">F140*E140</f>
        <v>733.31999999999994</v>
      </c>
      <c r="I140" s="135">
        <f>'Прайс для расчета (М)'!E125</f>
        <v>47.25</v>
      </c>
      <c r="J140" s="36">
        <f t="shared" ref="J140:J164" si="23">I140*E140</f>
        <v>366.65999999999997</v>
      </c>
    </row>
    <row r="141" spans="2:10" ht="15.6" hidden="1" x14ac:dyDescent="0.3">
      <c r="B141" s="59"/>
      <c r="C141" s="69" t="s">
        <v>1128</v>
      </c>
      <c r="D141" s="74" t="s">
        <v>2</v>
      </c>
      <c r="E141" s="75">
        <f t="shared" si="21"/>
        <v>7.76</v>
      </c>
      <c r="F141" s="63">
        <f>'Прайс для расчета'!E126</f>
        <v>157.5</v>
      </c>
      <c r="G141" s="64">
        <f t="shared" si="22"/>
        <v>1222.2</v>
      </c>
      <c r="I141" s="135">
        <f>'Прайс для расчета (М)'!E126</f>
        <v>78.75</v>
      </c>
      <c r="J141" s="36">
        <f t="shared" si="23"/>
        <v>611.1</v>
      </c>
    </row>
    <row r="142" spans="2:10" ht="15.6" hidden="1" x14ac:dyDescent="0.3">
      <c r="B142" s="59"/>
      <c r="C142" s="78" t="s">
        <v>1019</v>
      </c>
      <c r="D142" s="74" t="s">
        <v>2</v>
      </c>
      <c r="E142" s="75">
        <f t="shared" si="21"/>
        <v>7.76</v>
      </c>
      <c r="F142" s="63">
        <f>'Прайс для расчета'!E127</f>
        <v>114.45</v>
      </c>
      <c r="G142" s="64">
        <f t="shared" si="22"/>
        <v>888.13199999999995</v>
      </c>
      <c r="I142" s="135">
        <f>'Прайс для расчета (М)'!E127</f>
        <v>57.225000000000001</v>
      </c>
      <c r="J142" s="36">
        <f t="shared" si="23"/>
        <v>444.06599999999997</v>
      </c>
    </row>
    <row r="143" spans="2:10" ht="15.6" hidden="1" x14ac:dyDescent="0.3">
      <c r="B143" s="59"/>
      <c r="C143" s="78" t="s">
        <v>1034</v>
      </c>
      <c r="D143" s="74" t="s">
        <v>2</v>
      </c>
      <c r="E143" s="75">
        <f t="shared" si="21"/>
        <v>7.76</v>
      </c>
      <c r="F143" s="63">
        <f>'Прайс для расчета'!E128</f>
        <v>0</v>
      </c>
      <c r="G143" s="64">
        <f t="shared" si="22"/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59">
        <v>1</v>
      </c>
      <c r="C144" s="69" t="s">
        <v>930</v>
      </c>
      <c r="D144" s="74" t="s">
        <v>2</v>
      </c>
      <c r="E144" s="75">
        <f t="shared" si="21"/>
        <v>7.76</v>
      </c>
      <c r="F144" s="63">
        <f>'Прайс для расчета'!E129</f>
        <v>576.45000000000005</v>
      </c>
      <c r="G144" s="64">
        <f t="shared" si="22"/>
        <v>4473.2520000000004</v>
      </c>
      <c r="I144" s="135">
        <f>'Прайс для расчета (М)'!E129</f>
        <v>288.22500000000002</v>
      </c>
      <c r="J144" s="36">
        <f t="shared" si="23"/>
        <v>2236.6260000000002</v>
      </c>
    </row>
    <row r="145" spans="2:10" ht="15.6" hidden="1" x14ac:dyDescent="0.3">
      <c r="B145" s="59"/>
      <c r="C145" s="69" t="s">
        <v>931</v>
      </c>
      <c r="D145" s="74" t="s">
        <v>2</v>
      </c>
      <c r="E145" s="75">
        <f t="shared" si="21"/>
        <v>7.76</v>
      </c>
      <c r="F145" s="63">
        <f>'Прайс для расчета'!E130</f>
        <v>681.45</v>
      </c>
      <c r="G145" s="64">
        <f t="shared" si="22"/>
        <v>5288.0520000000006</v>
      </c>
      <c r="I145" s="135">
        <f>'Прайс для расчета (М)'!E130</f>
        <v>340.72500000000002</v>
      </c>
      <c r="J145" s="36">
        <f t="shared" si="23"/>
        <v>2644.0260000000003</v>
      </c>
    </row>
    <row r="146" spans="2:10" ht="15.6" hidden="1" x14ac:dyDescent="0.3">
      <c r="B146" s="59"/>
      <c r="C146" s="69" t="s">
        <v>932</v>
      </c>
      <c r="D146" s="74" t="s">
        <v>2</v>
      </c>
      <c r="E146" s="75">
        <f t="shared" si="21"/>
        <v>7.76</v>
      </c>
      <c r="F146" s="63">
        <f>'Прайс для расчета'!E131</f>
        <v>891.45</v>
      </c>
      <c r="G146" s="64">
        <f t="shared" si="22"/>
        <v>6917.652</v>
      </c>
      <c r="I146" s="135">
        <f>'Прайс для расчета (М)'!E131</f>
        <v>445.72500000000002</v>
      </c>
      <c r="J146" s="36">
        <f t="shared" si="23"/>
        <v>3458.826</v>
      </c>
    </row>
    <row r="147" spans="2:10" ht="15.6" x14ac:dyDescent="0.3">
      <c r="B147" s="59">
        <v>1</v>
      </c>
      <c r="C147" s="69" t="s">
        <v>357</v>
      </c>
      <c r="D147" s="74" t="s">
        <v>2</v>
      </c>
      <c r="E147" s="75">
        <f t="shared" si="21"/>
        <v>7.76</v>
      </c>
      <c r="F147" s="63">
        <f>'Прайс для расчета'!E132</f>
        <v>996.45</v>
      </c>
      <c r="G147" s="64">
        <f t="shared" si="22"/>
        <v>7732.4520000000002</v>
      </c>
      <c r="I147" s="135">
        <f>'Прайс для расчета (М)'!E132</f>
        <v>498.22500000000002</v>
      </c>
      <c r="J147" s="36">
        <f t="shared" si="23"/>
        <v>3866.2260000000001</v>
      </c>
    </row>
    <row r="148" spans="2:10" ht="15.6" hidden="1" x14ac:dyDescent="0.3">
      <c r="B148" s="59"/>
      <c r="C148" s="69" t="s">
        <v>1127</v>
      </c>
      <c r="D148" s="74" t="s">
        <v>2</v>
      </c>
      <c r="E148" s="75">
        <f t="shared" si="21"/>
        <v>7.76</v>
      </c>
      <c r="F148" s="63">
        <f>'Прайс для расчета'!E133</f>
        <v>1101.45</v>
      </c>
      <c r="G148" s="64">
        <f t="shared" si="22"/>
        <v>8547.2520000000004</v>
      </c>
      <c r="I148" s="135">
        <f>'Прайс для расчета (М)'!E133</f>
        <v>550.72500000000002</v>
      </c>
      <c r="J148" s="36">
        <f t="shared" si="23"/>
        <v>4273.6260000000002</v>
      </c>
    </row>
    <row r="149" spans="2:10" ht="15.6" hidden="1" x14ac:dyDescent="0.3">
      <c r="B149" s="59"/>
      <c r="C149" s="78" t="s">
        <v>151</v>
      </c>
      <c r="D149" s="74" t="s">
        <v>2</v>
      </c>
      <c r="E149" s="75">
        <f t="shared" si="21"/>
        <v>7.76</v>
      </c>
      <c r="F149" s="63">
        <f>'Прайс для расчета'!E134</f>
        <v>271.95</v>
      </c>
      <c r="G149" s="64">
        <f t="shared" si="22"/>
        <v>2110.3319999999999</v>
      </c>
      <c r="I149" s="135">
        <f>'Прайс для расчета (М)'!E134</f>
        <v>135.97499999999999</v>
      </c>
      <c r="J149" s="36">
        <f t="shared" si="23"/>
        <v>1055.1659999999999</v>
      </c>
    </row>
    <row r="150" spans="2:10" ht="15.6" x14ac:dyDescent="0.3">
      <c r="B150" s="59">
        <v>1</v>
      </c>
      <c r="C150" s="78" t="s">
        <v>499</v>
      </c>
      <c r="D150" s="74" t="s">
        <v>2</v>
      </c>
      <c r="E150" s="75">
        <f t="shared" si="21"/>
        <v>7.76</v>
      </c>
      <c r="F150" s="63">
        <f>'Прайс для расчета'!E135</f>
        <v>262.5</v>
      </c>
      <c r="G150" s="64">
        <f t="shared" si="22"/>
        <v>2037</v>
      </c>
      <c r="I150" s="135">
        <f>'Прайс для расчета (М)'!E135</f>
        <v>131.25</v>
      </c>
      <c r="J150" s="36">
        <f t="shared" si="23"/>
        <v>1018.5</v>
      </c>
    </row>
    <row r="151" spans="2:10" ht="15.6" x14ac:dyDescent="0.3">
      <c r="B151" s="59">
        <v>1</v>
      </c>
      <c r="C151" s="78" t="s">
        <v>500</v>
      </c>
      <c r="D151" s="74" t="s">
        <v>3</v>
      </c>
      <c r="E151" s="62">
        <f>$A$2</f>
        <v>10.32</v>
      </c>
      <c r="F151" s="63">
        <f>'Прайс для расчета'!E136</f>
        <v>250.95000000000002</v>
      </c>
      <c r="G151" s="64">
        <f t="shared" si="22"/>
        <v>2589.8040000000001</v>
      </c>
      <c r="I151" s="135">
        <f>'Прайс для расчета (М)'!E136</f>
        <v>125.47500000000001</v>
      </c>
      <c r="J151" s="36">
        <f t="shared" si="23"/>
        <v>1294.902</v>
      </c>
    </row>
    <row r="152" spans="2:10" ht="15.6" hidden="1" x14ac:dyDescent="0.3">
      <c r="B152" s="59"/>
      <c r="C152" s="78" t="s">
        <v>1024</v>
      </c>
      <c r="D152" s="74" t="s">
        <v>2</v>
      </c>
      <c r="E152" s="75">
        <f t="shared" si="21"/>
        <v>7.76</v>
      </c>
      <c r="F152" s="63">
        <f>'Прайс для расчета'!E137</f>
        <v>204.75</v>
      </c>
      <c r="G152" s="64">
        <f t="shared" si="22"/>
        <v>1588.86</v>
      </c>
      <c r="I152" s="135">
        <f>'Прайс для расчета (М)'!E137</f>
        <v>102.375</v>
      </c>
      <c r="J152" s="36">
        <f t="shared" si="23"/>
        <v>794.43</v>
      </c>
    </row>
    <row r="153" spans="2:10" ht="15.6" hidden="1" x14ac:dyDescent="0.3">
      <c r="B153" s="59"/>
      <c r="C153" s="78" t="s">
        <v>359</v>
      </c>
      <c r="D153" s="74" t="s">
        <v>2</v>
      </c>
      <c r="E153" s="75">
        <f t="shared" si="21"/>
        <v>7.76</v>
      </c>
      <c r="F153" s="63">
        <f>'Прайс для расчета'!E138</f>
        <v>299.25</v>
      </c>
      <c r="G153" s="64">
        <f t="shared" si="22"/>
        <v>2322.1799999999998</v>
      </c>
      <c r="I153" s="135">
        <f>'Прайс для расчета (М)'!E138</f>
        <v>149.625</v>
      </c>
      <c r="J153" s="36">
        <f t="shared" si="23"/>
        <v>1161.0899999999999</v>
      </c>
    </row>
    <row r="154" spans="2:10" ht="15.6" hidden="1" x14ac:dyDescent="0.3">
      <c r="B154" s="59"/>
      <c r="C154" s="78" t="s">
        <v>360</v>
      </c>
      <c r="D154" s="74" t="s">
        <v>2</v>
      </c>
      <c r="E154" s="75">
        <f t="shared" si="21"/>
        <v>7.76</v>
      </c>
      <c r="F154" s="63">
        <f>'Прайс для расчета'!E139</f>
        <v>104.36999999999999</v>
      </c>
      <c r="G154" s="64">
        <f t="shared" si="22"/>
        <v>809.91119999999989</v>
      </c>
      <c r="I154" s="135">
        <f>'Прайс для расчета (М)'!E139</f>
        <v>52.184999999999995</v>
      </c>
      <c r="J154" s="36">
        <f t="shared" si="23"/>
        <v>404.95559999999995</v>
      </c>
    </row>
    <row r="155" spans="2:10" ht="15.6" hidden="1" x14ac:dyDescent="0.3">
      <c r="B155" s="59"/>
      <c r="C155" s="78" t="s">
        <v>361</v>
      </c>
      <c r="D155" s="74" t="s">
        <v>2</v>
      </c>
      <c r="E155" s="75">
        <f t="shared" si="21"/>
        <v>7.76</v>
      </c>
      <c r="F155" s="63">
        <f>'Прайс для расчета'!E140</f>
        <v>498.75</v>
      </c>
      <c r="G155" s="64">
        <f t="shared" si="22"/>
        <v>3870.2999999999997</v>
      </c>
      <c r="I155" s="135">
        <f>'Прайс для расчета (М)'!E140</f>
        <v>249.375</v>
      </c>
      <c r="J155" s="36">
        <f t="shared" si="23"/>
        <v>1935.1499999999999</v>
      </c>
    </row>
    <row r="156" spans="2:10" ht="15.6" hidden="1" x14ac:dyDescent="0.3">
      <c r="B156" s="59"/>
      <c r="C156" s="78" t="s">
        <v>501</v>
      </c>
      <c r="D156" s="74" t="s">
        <v>2</v>
      </c>
      <c r="E156" s="75">
        <f t="shared" si="21"/>
        <v>7.76</v>
      </c>
      <c r="F156" s="63">
        <f>'Прайс для расчета'!E141</f>
        <v>460.95000000000005</v>
      </c>
      <c r="G156" s="64">
        <f t="shared" si="22"/>
        <v>3576.9720000000002</v>
      </c>
      <c r="I156" s="135">
        <f>'Прайс для расчета (М)'!E141</f>
        <v>230.47500000000002</v>
      </c>
      <c r="J156" s="36">
        <f t="shared" si="23"/>
        <v>1788.4860000000001</v>
      </c>
    </row>
    <row r="157" spans="2:10" ht="15.6" hidden="1" x14ac:dyDescent="0.3">
      <c r="B157" s="59"/>
      <c r="C157" s="78" t="s">
        <v>362</v>
      </c>
      <c r="D157" s="74" t="s">
        <v>2</v>
      </c>
      <c r="E157" s="75">
        <f t="shared" si="21"/>
        <v>7.76</v>
      </c>
      <c r="F157" s="63">
        <f>'Прайс для расчета'!E142</f>
        <v>1942.5</v>
      </c>
      <c r="G157" s="64">
        <f t="shared" si="22"/>
        <v>15073.8</v>
      </c>
      <c r="I157" s="135">
        <f>'Прайс для расчета (М)'!E142</f>
        <v>971.25</v>
      </c>
      <c r="J157" s="36">
        <f t="shared" si="23"/>
        <v>7536.9</v>
      </c>
    </row>
    <row r="158" spans="2:10" ht="15.6" hidden="1" x14ac:dyDescent="0.3">
      <c r="B158" s="59"/>
      <c r="C158" s="78" t="s">
        <v>227</v>
      </c>
      <c r="D158" s="74" t="s">
        <v>2</v>
      </c>
      <c r="E158" s="75">
        <f t="shared" si="21"/>
        <v>7.76</v>
      </c>
      <c r="F158" s="63">
        <f>'Прайс для расчета'!E143</f>
        <v>362.25</v>
      </c>
      <c r="G158" s="64">
        <f t="shared" si="22"/>
        <v>2811.06</v>
      </c>
      <c r="I158" s="135">
        <f>'Прайс для расчета (М)'!E143</f>
        <v>181.125</v>
      </c>
      <c r="J158" s="36">
        <f t="shared" si="23"/>
        <v>1405.53</v>
      </c>
    </row>
    <row r="159" spans="2:10" ht="15.6" hidden="1" x14ac:dyDescent="0.3">
      <c r="B159" s="59"/>
      <c r="C159" s="78" t="s">
        <v>224</v>
      </c>
      <c r="D159" s="74" t="s">
        <v>2</v>
      </c>
      <c r="E159" s="75">
        <f t="shared" si="21"/>
        <v>7.76</v>
      </c>
      <c r="F159" s="63">
        <f>'Прайс для расчета'!E144</f>
        <v>271.95</v>
      </c>
      <c r="G159" s="64">
        <f t="shared" si="22"/>
        <v>2110.3319999999999</v>
      </c>
      <c r="I159" s="135">
        <f>'Прайс для расчета (М)'!E144</f>
        <v>135.97499999999999</v>
      </c>
      <c r="J159" s="36">
        <f t="shared" si="23"/>
        <v>1055.1659999999999</v>
      </c>
    </row>
    <row r="160" spans="2:10" ht="15.6" x14ac:dyDescent="0.3">
      <c r="B160" s="59">
        <v>1</v>
      </c>
      <c r="C160" s="78" t="s">
        <v>1025</v>
      </c>
      <c r="D160" s="74" t="s">
        <v>2</v>
      </c>
      <c r="E160" s="75">
        <f t="shared" si="21"/>
        <v>7.76</v>
      </c>
      <c r="F160" s="63">
        <f>'Прайс для расчета'!E145</f>
        <v>509.25</v>
      </c>
      <c r="G160" s="64">
        <f t="shared" si="22"/>
        <v>3951.7799999999997</v>
      </c>
      <c r="I160" s="135">
        <f>'Прайс для расчета (М)'!E145</f>
        <v>254.625</v>
      </c>
      <c r="J160" s="36">
        <f t="shared" si="23"/>
        <v>1975.8899999999999</v>
      </c>
    </row>
    <row r="161" spans="2:10" ht="15.6" hidden="1" x14ac:dyDescent="0.3">
      <c r="B161" s="59"/>
      <c r="C161" s="78" t="s">
        <v>363</v>
      </c>
      <c r="D161" s="74" t="s">
        <v>3</v>
      </c>
      <c r="E161" s="75">
        <f t="shared" si="21"/>
        <v>7.76</v>
      </c>
      <c r="F161" s="63">
        <f>'Прайс для расчета'!E146</f>
        <v>472.5</v>
      </c>
      <c r="G161" s="64">
        <f t="shared" si="22"/>
        <v>3666.6</v>
      </c>
      <c r="I161" s="135">
        <f>'Прайс для расчета (М)'!E146</f>
        <v>236.25</v>
      </c>
      <c r="J161" s="36">
        <f t="shared" si="23"/>
        <v>1833.3</v>
      </c>
    </row>
    <row r="162" spans="2:10" ht="15.6" hidden="1" x14ac:dyDescent="0.3">
      <c r="B162" s="59"/>
      <c r="C162" s="78" t="s">
        <v>364</v>
      </c>
      <c r="D162" s="74" t="s">
        <v>2</v>
      </c>
      <c r="E162" s="75">
        <f t="shared" si="21"/>
        <v>7.76</v>
      </c>
      <c r="F162" s="63">
        <f>'Прайс для расчета'!E147</f>
        <v>404.06100000000004</v>
      </c>
      <c r="G162" s="64">
        <f t="shared" si="22"/>
        <v>3135.5133600000004</v>
      </c>
      <c r="I162" s="135">
        <f>'Прайс для расчета (М)'!E147</f>
        <v>202.03050000000002</v>
      </c>
      <c r="J162" s="36">
        <f t="shared" si="23"/>
        <v>1567.7566800000002</v>
      </c>
    </row>
    <row r="163" spans="2:10" ht="15.6" hidden="1" x14ac:dyDescent="0.3">
      <c r="B163" s="59"/>
      <c r="C163" s="78" t="s">
        <v>365</v>
      </c>
      <c r="D163" s="74" t="s">
        <v>2</v>
      </c>
      <c r="E163" s="75">
        <f t="shared" si="21"/>
        <v>7.76</v>
      </c>
      <c r="F163" s="63">
        <f>'Прайс для расчета'!E148</f>
        <v>304.5</v>
      </c>
      <c r="G163" s="64">
        <f t="shared" si="22"/>
        <v>2362.92</v>
      </c>
      <c r="I163" s="135">
        <f>'Прайс для расчета (М)'!E148</f>
        <v>152.25</v>
      </c>
      <c r="J163" s="36">
        <f t="shared" si="23"/>
        <v>1181.46</v>
      </c>
    </row>
    <row r="164" spans="2:10" ht="15.6" hidden="1" x14ac:dyDescent="0.3">
      <c r="B164" s="59"/>
      <c r="C164" s="78" t="s">
        <v>366</v>
      </c>
      <c r="D164" s="74" t="s">
        <v>2</v>
      </c>
      <c r="E164" s="75">
        <f t="shared" si="21"/>
        <v>7.76</v>
      </c>
      <c r="F164" s="63">
        <f>'Прайс для расчета'!E149</f>
        <v>472.5</v>
      </c>
      <c r="G164" s="64">
        <f t="shared" si="22"/>
        <v>3666.6</v>
      </c>
      <c r="I164" s="135">
        <f>'Прайс для расчета (М)'!E149</f>
        <v>236.25</v>
      </c>
      <c r="J164" s="36">
        <f t="shared" si="23"/>
        <v>1833.3</v>
      </c>
    </row>
    <row r="165" spans="2:10" ht="15.6" x14ac:dyDescent="0.25">
      <c r="B165" s="59">
        <f>IF(SUM(B166:B208)&gt;0,1,0)</f>
        <v>1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>
        <v>1</v>
      </c>
      <c r="C166" s="78" t="s">
        <v>1020</v>
      </c>
      <c r="D166" s="74" t="s">
        <v>2</v>
      </c>
      <c r="E166" s="75">
        <v>12.2</v>
      </c>
      <c r="F166" s="63">
        <f>'Прайс для расчета'!E150</f>
        <v>124.95</v>
      </c>
      <c r="G166" s="64">
        <f t="shared" ref="G166:G208" si="24">F166*E166</f>
        <v>1524.3899999999999</v>
      </c>
      <c r="I166" s="135">
        <f>'Прайс для расчета (М)'!E150</f>
        <v>62.475000000000001</v>
      </c>
      <c r="J166" s="36">
        <f t="shared" ref="J166:J208" si="25">I166*E166</f>
        <v>762.19499999999994</v>
      </c>
    </row>
    <row r="167" spans="2:10" ht="15.6" hidden="1" x14ac:dyDescent="0.3">
      <c r="B167" s="59"/>
      <c r="C167" s="69" t="s">
        <v>1107</v>
      </c>
      <c r="D167" s="74" t="s">
        <v>2</v>
      </c>
      <c r="E167" s="75" t="e">
        <f t="shared" ref="E167:E178" si="26">$A$6</f>
        <v>#REF!</v>
      </c>
      <c r="F167" s="63">
        <f>'Прайс для расчета'!E151</f>
        <v>892.5</v>
      </c>
      <c r="G167" s="64" t="e">
        <f t="shared" si="24"/>
        <v>#REF!</v>
      </c>
      <c r="I167" s="135">
        <f>'Прайс для расчета (М)'!E151</f>
        <v>446.25</v>
      </c>
      <c r="J167" s="36" t="e">
        <f t="shared" si="25"/>
        <v>#REF!</v>
      </c>
    </row>
    <row r="168" spans="2:10" ht="15.6" hidden="1" x14ac:dyDescent="0.3">
      <c r="B168" s="59"/>
      <c r="C168" s="69" t="s">
        <v>1108</v>
      </c>
      <c r="D168" s="74" t="s">
        <v>2</v>
      </c>
      <c r="E168" s="75" t="e">
        <f t="shared" si="26"/>
        <v>#REF!</v>
      </c>
      <c r="F168" s="63">
        <f>'Прайс для расчета'!E152</f>
        <v>1207.5</v>
      </c>
      <c r="G168" s="64" t="e">
        <f t="shared" si="24"/>
        <v>#REF!</v>
      </c>
      <c r="I168" s="135">
        <f>'Прайс для расчета (М)'!E152</f>
        <v>603.75</v>
      </c>
      <c r="J168" s="36" t="e">
        <f t="shared" si="25"/>
        <v>#REF!</v>
      </c>
    </row>
    <row r="169" spans="2:10" ht="15.6" x14ac:dyDescent="0.3">
      <c r="B169" s="59">
        <v>1</v>
      </c>
      <c r="C169" s="69" t="s">
        <v>1109</v>
      </c>
      <c r="D169" s="74" t="s">
        <v>2</v>
      </c>
      <c r="E169" s="75" t="e">
        <f t="shared" si="26"/>
        <v>#REF!</v>
      </c>
      <c r="F169" s="63">
        <f>'Прайс для расчета'!E153</f>
        <v>624.75</v>
      </c>
      <c r="G169" s="64" t="e">
        <f t="shared" si="24"/>
        <v>#REF!</v>
      </c>
      <c r="I169" s="135">
        <f>'Прайс для расчета (М)'!E153</f>
        <v>312.375</v>
      </c>
      <c r="J169" s="36" t="e">
        <f t="shared" si="25"/>
        <v>#REF!</v>
      </c>
    </row>
    <row r="170" spans="2:10" ht="15.6" hidden="1" x14ac:dyDescent="0.3">
      <c r="B170" s="59"/>
      <c r="C170" s="69" t="s">
        <v>1110</v>
      </c>
      <c r="D170" s="74" t="s">
        <v>2</v>
      </c>
      <c r="E170" s="75" t="e">
        <f t="shared" si="26"/>
        <v>#REF!</v>
      </c>
      <c r="F170" s="63">
        <f>'Прайс для расчета'!E154</f>
        <v>729.75</v>
      </c>
      <c r="G170" s="64" t="e">
        <f t="shared" si="24"/>
        <v>#REF!</v>
      </c>
      <c r="I170" s="135">
        <f>'Прайс для расчета (М)'!E154</f>
        <v>364.875</v>
      </c>
      <c r="J170" s="36" t="e">
        <f t="shared" si="25"/>
        <v>#REF!</v>
      </c>
    </row>
    <row r="171" spans="2:10" ht="15.6" hidden="1" x14ac:dyDescent="0.3">
      <c r="B171" s="59"/>
      <c r="C171" s="69" t="s">
        <v>1115</v>
      </c>
      <c r="D171" s="74" t="s">
        <v>2</v>
      </c>
      <c r="E171" s="75" t="e">
        <f t="shared" si="26"/>
        <v>#REF!</v>
      </c>
      <c r="F171" s="63">
        <f>'Прайс для расчета'!E155</f>
        <v>943.95</v>
      </c>
      <c r="G171" s="64" t="e">
        <f t="shared" si="24"/>
        <v>#REF!</v>
      </c>
      <c r="I171" s="135">
        <f>'Прайс для расчета (М)'!E155</f>
        <v>471.97500000000002</v>
      </c>
      <c r="J171" s="36" t="e">
        <f t="shared" si="25"/>
        <v>#REF!</v>
      </c>
    </row>
    <row r="172" spans="2:10" ht="15.6" hidden="1" x14ac:dyDescent="0.3">
      <c r="B172" s="59"/>
      <c r="C172" s="78" t="s">
        <v>1028</v>
      </c>
      <c r="D172" s="74" t="s">
        <v>2</v>
      </c>
      <c r="E172" s="75" t="e">
        <f t="shared" si="26"/>
        <v>#REF!</v>
      </c>
      <c r="F172" s="63">
        <f>'Прайс для расчета'!E156</f>
        <v>787.5</v>
      </c>
      <c r="G172" s="64" t="e">
        <f t="shared" si="24"/>
        <v>#REF!</v>
      </c>
      <c r="I172" s="135">
        <f>'Прайс для расчета (М)'!E156</f>
        <v>393.75</v>
      </c>
      <c r="J172" s="36" t="e">
        <f t="shared" si="25"/>
        <v>#REF!</v>
      </c>
    </row>
    <row r="173" spans="2:10" ht="15.6" hidden="1" x14ac:dyDescent="0.3">
      <c r="B173" s="59"/>
      <c r="C173" s="78" t="s">
        <v>1029</v>
      </c>
      <c r="D173" s="74" t="s">
        <v>3</v>
      </c>
      <c r="E173" s="75" t="e">
        <f t="shared" si="26"/>
        <v>#REF!</v>
      </c>
      <c r="F173" s="63">
        <f>'Прайс для расчета'!E157</f>
        <v>651</v>
      </c>
      <c r="G173" s="64" t="e">
        <f t="shared" si="24"/>
        <v>#REF!</v>
      </c>
      <c r="I173" s="135">
        <f>'Прайс для расчета (М)'!E157</f>
        <v>325.5</v>
      </c>
      <c r="J173" s="36" t="e">
        <f t="shared" si="25"/>
        <v>#REF!</v>
      </c>
    </row>
    <row r="174" spans="2:10" ht="15.6" hidden="1" x14ac:dyDescent="0.3">
      <c r="B174" s="59"/>
      <c r="C174" s="78" t="s">
        <v>674</v>
      </c>
      <c r="D174" s="74" t="s">
        <v>2</v>
      </c>
      <c r="E174" s="75">
        <v>16.715</v>
      </c>
      <c r="F174" s="63">
        <f>'Прайс для расчета'!E158</f>
        <v>267.75</v>
      </c>
      <c r="G174" s="64">
        <f t="shared" si="24"/>
        <v>4475.4412499999999</v>
      </c>
      <c r="I174" s="135">
        <f>'Прайс для расчета (М)'!E158</f>
        <v>133.875</v>
      </c>
      <c r="J174" s="36">
        <f t="shared" si="25"/>
        <v>2237.7206249999999</v>
      </c>
    </row>
    <row r="175" spans="2:10" ht="15.6" hidden="1" x14ac:dyDescent="0.3">
      <c r="B175" s="59"/>
      <c r="C175" s="200" t="s">
        <v>1007</v>
      </c>
      <c r="D175" s="74" t="s">
        <v>2</v>
      </c>
      <c r="E175" s="75" t="e">
        <f t="shared" si="26"/>
        <v>#REF!</v>
      </c>
      <c r="F175" s="63">
        <f>'Прайс для расчета'!E159</f>
        <v>2992.5</v>
      </c>
      <c r="G175" s="64" t="e">
        <f t="shared" si="24"/>
        <v>#REF!</v>
      </c>
      <c r="I175" s="135">
        <f>'Прайс для расчета (М)'!E159</f>
        <v>1496.25</v>
      </c>
      <c r="J175" s="36" t="e">
        <f t="shared" si="25"/>
        <v>#REF!</v>
      </c>
    </row>
    <row r="176" spans="2:10" ht="15.6" hidden="1" x14ac:dyDescent="0.3">
      <c r="B176" s="59"/>
      <c r="C176" s="69" t="s">
        <v>1021</v>
      </c>
      <c r="D176" s="74" t="s">
        <v>2</v>
      </c>
      <c r="E176" s="75" t="e">
        <f t="shared" si="26"/>
        <v>#REF!</v>
      </c>
      <c r="F176" s="63">
        <f>'Прайс для расчета'!E160</f>
        <v>94.5</v>
      </c>
      <c r="G176" s="64" t="e">
        <f t="shared" si="24"/>
        <v>#REF!</v>
      </c>
      <c r="I176" s="135">
        <f>'Прайс для расчета (М)'!E160</f>
        <v>47.25</v>
      </c>
      <c r="J176" s="36" t="e">
        <f t="shared" si="25"/>
        <v>#REF!</v>
      </c>
    </row>
    <row r="177" spans="2:10" ht="15.6" x14ac:dyDescent="0.3">
      <c r="B177" s="59">
        <v>1</v>
      </c>
      <c r="C177" s="69" t="s">
        <v>1125</v>
      </c>
      <c r="D177" s="74" t="s">
        <v>2</v>
      </c>
      <c r="E177" s="75">
        <v>16.715</v>
      </c>
      <c r="F177" s="63">
        <f>'Прайс для расчета'!E161</f>
        <v>157.5</v>
      </c>
      <c r="G177" s="64">
        <f t="shared" si="24"/>
        <v>2632.6125000000002</v>
      </c>
      <c r="I177" s="135">
        <f>'Прайс для расчета (М)'!E161</f>
        <v>78.75</v>
      </c>
      <c r="J177" s="36">
        <f t="shared" si="25"/>
        <v>1316.3062500000001</v>
      </c>
    </row>
    <row r="178" spans="2:10" ht="15.6" hidden="1" x14ac:dyDescent="0.3">
      <c r="B178" s="59"/>
      <c r="C178" s="69" t="s">
        <v>1126</v>
      </c>
      <c r="D178" s="74" t="s">
        <v>2</v>
      </c>
      <c r="E178" s="75" t="e">
        <f t="shared" si="26"/>
        <v>#REF!</v>
      </c>
      <c r="F178" s="63">
        <f>'Прайс для расчета'!E162</f>
        <v>519.75</v>
      </c>
      <c r="G178" s="64" t="e">
        <f t="shared" si="24"/>
        <v>#REF!</v>
      </c>
      <c r="I178" s="135">
        <f>'Прайс для расчета (М)'!E162</f>
        <v>259.875</v>
      </c>
      <c r="J178" s="36" t="e">
        <f t="shared" si="25"/>
        <v>#REF!</v>
      </c>
    </row>
    <row r="179" spans="2:10" ht="15.6" x14ac:dyDescent="0.3">
      <c r="B179" s="59">
        <v>1</v>
      </c>
      <c r="C179" s="69" t="s">
        <v>1119</v>
      </c>
      <c r="D179" s="74" t="s">
        <v>2</v>
      </c>
      <c r="E179" s="75">
        <v>16.72</v>
      </c>
      <c r="F179" s="63">
        <f>'Прайс для расчета'!E163</f>
        <v>687.75</v>
      </c>
      <c r="G179" s="64">
        <f t="shared" si="24"/>
        <v>11499.179999999998</v>
      </c>
      <c r="I179" s="135">
        <f>'Прайс для расчета (М)'!E163</f>
        <v>343.875</v>
      </c>
      <c r="J179" s="36">
        <f t="shared" si="25"/>
        <v>5749.5899999999992</v>
      </c>
    </row>
    <row r="180" spans="2:10" ht="15.6" hidden="1" x14ac:dyDescent="0.3">
      <c r="B180" s="59"/>
      <c r="C180" s="69" t="s">
        <v>1121</v>
      </c>
      <c r="D180" s="74" t="s">
        <v>2</v>
      </c>
      <c r="E180" s="75">
        <v>16.715</v>
      </c>
      <c r="F180" s="63">
        <f>'Прайс для расчета'!E164</f>
        <v>420</v>
      </c>
      <c r="G180" s="64">
        <f t="shared" si="24"/>
        <v>7020.3</v>
      </c>
      <c r="I180" s="135">
        <f>'Прайс для расчета (М)'!E164</f>
        <v>210</v>
      </c>
      <c r="J180" s="36">
        <f t="shared" si="25"/>
        <v>3510.15</v>
      </c>
    </row>
    <row r="181" spans="2:10" ht="15.6" hidden="1" x14ac:dyDescent="0.3">
      <c r="B181" s="59"/>
      <c r="C181" s="69" t="s">
        <v>1122</v>
      </c>
      <c r="D181" s="74" t="s">
        <v>2</v>
      </c>
      <c r="E181" s="75">
        <v>16.715</v>
      </c>
      <c r="F181" s="63">
        <f>'Прайс для расчета'!E165</f>
        <v>829.5</v>
      </c>
      <c r="G181" s="64">
        <f t="shared" si="24"/>
        <v>13865.092500000001</v>
      </c>
      <c r="I181" s="135">
        <f>'Прайс для расчета (М)'!E165</f>
        <v>414.75</v>
      </c>
      <c r="J181" s="36">
        <f t="shared" si="25"/>
        <v>6932.5462500000003</v>
      </c>
    </row>
    <row r="182" spans="2:10" ht="15.6" x14ac:dyDescent="0.3">
      <c r="B182" s="59">
        <v>1</v>
      </c>
      <c r="C182" s="69" t="s">
        <v>1120</v>
      </c>
      <c r="D182" s="74" t="s">
        <v>2</v>
      </c>
      <c r="E182" s="75">
        <v>16.715</v>
      </c>
      <c r="F182" s="63">
        <f>'Прайс для расчета'!E166</f>
        <v>204.75</v>
      </c>
      <c r="G182" s="64">
        <f t="shared" si="24"/>
        <v>3422.3962499999998</v>
      </c>
      <c r="I182" s="135">
        <f>'Прайс для расчета (М)'!E166</f>
        <v>102.375</v>
      </c>
      <c r="J182" s="36">
        <f t="shared" si="25"/>
        <v>1711.1981249999999</v>
      </c>
    </row>
    <row r="183" spans="2:10" ht="15.6" x14ac:dyDescent="0.3">
      <c r="B183" s="59">
        <v>1</v>
      </c>
      <c r="C183" s="69" t="s">
        <v>1105</v>
      </c>
      <c r="D183" s="74" t="s">
        <v>3</v>
      </c>
      <c r="E183" s="75">
        <v>23.2</v>
      </c>
      <c r="F183" s="63">
        <f>'Прайс для расчета'!E167</f>
        <v>157.5</v>
      </c>
      <c r="G183" s="64">
        <f t="shared" si="24"/>
        <v>3654</v>
      </c>
      <c r="I183" s="135">
        <f>'Прайс для расчета (М)'!E167</f>
        <v>78.75</v>
      </c>
      <c r="J183" s="36">
        <f t="shared" si="25"/>
        <v>1827</v>
      </c>
    </row>
    <row r="184" spans="2:10" ht="15.6" x14ac:dyDescent="0.3">
      <c r="B184" s="59">
        <v>1</v>
      </c>
      <c r="C184" s="69" t="s">
        <v>1106</v>
      </c>
      <c r="D184" s="74" t="s">
        <v>3</v>
      </c>
      <c r="E184" s="75">
        <v>23.2</v>
      </c>
      <c r="F184" s="63">
        <f>'Прайс для расчета'!E168</f>
        <v>157.5</v>
      </c>
      <c r="G184" s="64">
        <f t="shared" si="24"/>
        <v>3654</v>
      </c>
      <c r="I184" s="135">
        <f>'Прайс для расчета (М)'!E168</f>
        <v>78.75</v>
      </c>
      <c r="J184" s="36">
        <f t="shared" si="25"/>
        <v>1827</v>
      </c>
    </row>
    <row r="185" spans="2:10" ht="15.6" x14ac:dyDescent="0.3">
      <c r="B185" s="59">
        <v>1</v>
      </c>
      <c r="C185" s="69" t="s">
        <v>1172</v>
      </c>
      <c r="D185" s="74" t="s">
        <v>2</v>
      </c>
      <c r="E185" s="75">
        <v>15</v>
      </c>
      <c r="F185" s="63">
        <v>350</v>
      </c>
      <c r="G185" s="64">
        <f t="shared" si="24"/>
        <v>5250</v>
      </c>
      <c r="I185" s="135">
        <f>'Прайс для расчета (М)'!E169</f>
        <v>102.375</v>
      </c>
      <c r="J185" s="36">
        <f t="shared" si="25"/>
        <v>1535.625</v>
      </c>
    </row>
    <row r="186" spans="2:10" ht="15.6" x14ac:dyDescent="0.3">
      <c r="B186" s="59">
        <v>1</v>
      </c>
      <c r="C186" s="69" t="s">
        <v>1116</v>
      </c>
      <c r="D186" s="74" t="s">
        <v>2</v>
      </c>
      <c r="E186" s="75">
        <v>12.2</v>
      </c>
      <c r="F186" s="63">
        <f>'Прайс для расчета'!E170</f>
        <v>204.75</v>
      </c>
      <c r="G186" s="64">
        <f t="shared" si="24"/>
        <v>2497.9499999999998</v>
      </c>
      <c r="I186" s="135">
        <f>'Прайс для расчета (М)'!E170</f>
        <v>102.375</v>
      </c>
      <c r="J186" s="36">
        <f t="shared" si="25"/>
        <v>1248.9749999999999</v>
      </c>
    </row>
    <row r="187" spans="2:10" ht="15.6" hidden="1" x14ac:dyDescent="0.3">
      <c r="B187" s="59"/>
      <c r="C187" s="78" t="s">
        <v>376</v>
      </c>
      <c r="D187" s="74" t="s">
        <v>2</v>
      </c>
      <c r="E187" s="75" t="e">
        <f t="shared" ref="E187:E191" si="27">$A$6</f>
        <v>#REF!</v>
      </c>
      <c r="F187" s="63">
        <f>'Прайс для расчета'!E171</f>
        <v>1559.586</v>
      </c>
      <c r="G187" s="64" t="e">
        <f t="shared" si="24"/>
        <v>#REF!</v>
      </c>
      <c r="I187" s="135">
        <f>'Прайс для расчета (М)'!E171</f>
        <v>779.79300000000001</v>
      </c>
      <c r="J187" s="36" t="e">
        <f t="shared" si="25"/>
        <v>#REF!</v>
      </c>
    </row>
    <row r="188" spans="2:10" ht="15.6" hidden="1" x14ac:dyDescent="0.3">
      <c r="B188" s="59"/>
      <c r="C188" s="78" t="s">
        <v>377</v>
      </c>
      <c r="D188" s="74" t="s">
        <v>2</v>
      </c>
      <c r="E188" s="75" t="e">
        <f t="shared" si="27"/>
        <v>#REF!</v>
      </c>
      <c r="F188" s="63">
        <f>'Прайс для расчета'!E172</f>
        <v>1616.2440000000001</v>
      </c>
      <c r="G188" s="64" t="e">
        <f t="shared" si="24"/>
        <v>#REF!</v>
      </c>
      <c r="I188" s="135">
        <f>'Прайс для расчета (М)'!E172</f>
        <v>808.12200000000007</v>
      </c>
      <c r="J188" s="36" t="e">
        <f t="shared" si="25"/>
        <v>#REF!</v>
      </c>
    </row>
    <row r="189" spans="2:10" ht="15.6" x14ac:dyDescent="0.3">
      <c r="B189" s="59">
        <v>1</v>
      </c>
      <c r="C189" s="78" t="s">
        <v>1168</v>
      </c>
      <c r="D189" s="74" t="s">
        <v>2</v>
      </c>
      <c r="E189" s="75">
        <v>75.849999999999994</v>
      </c>
      <c r="F189" s="63">
        <f>'Прайс для расчета'!E173</f>
        <v>1131.6690000000001</v>
      </c>
      <c r="G189" s="64">
        <f t="shared" si="24"/>
        <v>85837.093649999995</v>
      </c>
      <c r="I189" s="135">
        <f>'Прайс для расчета (М)'!E173</f>
        <v>565.83450000000005</v>
      </c>
      <c r="J189" s="36">
        <f t="shared" si="25"/>
        <v>42918.546824999998</v>
      </c>
    </row>
    <row r="190" spans="2:10" ht="15.6" hidden="1" x14ac:dyDescent="0.3">
      <c r="B190" s="59"/>
      <c r="C190" s="78" t="s">
        <v>379</v>
      </c>
      <c r="D190" s="74" t="s">
        <v>2</v>
      </c>
      <c r="E190" s="75" t="e">
        <f t="shared" si="27"/>
        <v>#REF!</v>
      </c>
      <c r="F190" s="63">
        <f>'Прайс для расчета'!E174</f>
        <v>1191.309</v>
      </c>
      <c r="G190" s="64" t="e">
        <f t="shared" si="24"/>
        <v>#REF!</v>
      </c>
      <c r="I190" s="135">
        <f>'Прайс для расчета (М)'!E174</f>
        <v>595.65449999999998</v>
      </c>
      <c r="J190" s="36" t="e">
        <f t="shared" si="25"/>
        <v>#REF!</v>
      </c>
    </row>
    <row r="191" spans="2:10" ht="15.6" hidden="1" x14ac:dyDescent="0.3">
      <c r="B191" s="59"/>
      <c r="C191" s="78" t="s">
        <v>380</v>
      </c>
      <c r="D191" s="74" t="s">
        <v>2</v>
      </c>
      <c r="E191" s="75" t="e">
        <f t="shared" si="27"/>
        <v>#REF!</v>
      </c>
      <c r="F191" s="63">
        <f>'Прайс для расчета'!E175</f>
        <v>1265.8589999999999</v>
      </c>
      <c r="G191" s="64" t="e">
        <f t="shared" si="24"/>
        <v>#REF!</v>
      </c>
      <c r="I191" s="135">
        <f>'Прайс для расчета (М)'!E175</f>
        <v>632.92949999999996</v>
      </c>
      <c r="J191" s="36" t="e">
        <f t="shared" si="25"/>
        <v>#REF!</v>
      </c>
    </row>
    <row r="192" spans="2:10" ht="15.6" x14ac:dyDescent="0.3">
      <c r="B192" s="59">
        <v>1</v>
      </c>
      <c r="C192" s="78" t="s">
        <v>1169</v>
      </c>
      <c r="D192" s="74" t="s">
        <v>0</v>
      </c>
      <c r="E192" s="75">
        <v>7</v>
      </c>
      <c r="F192" s="63">
        <f>'Прайс для расчета'!E176</f>
        <v>1417.5</v>
      </c>
      <c r="G192" s="64">
        <f t="shared" si="24"/>
        <v>9922.5</v>
      </c>
      <c r="I192" s="135">
        <f>'Прайс для расчета (М)'!E176</f>
        <v>708.75</v>
      </c>
      <c r="J192" s="36">
        <f t="shared" si="25"/>
        <v>4961.25</v>
      </c>
    </row>
    <row r="193" spans="2:10" ht="15.6" x14ac:dyDescent="0.3">
      <c r="B193" s="59">
        <v>1</v>
      </c>
      <c r="C193" s="78" t="s">
        <v>1170</v>
      </c>
      <c r="D193" s="74" t="s">
        <v>0</v>
      </c>
      <c r="E193" s="75">
        <v>7</v>
      </c>
      <c r="F193" s="63">
        <f>'Прайс для расчета'!E177</f>
        <v>1837.5</v>
      </c>
      <c r="G193" s="64">
        <f t="shared" si="24"/>
        <v>12862.5</v>
      </c>
      <c r="I193" s="135">
        <f>'Прайс для расчета (М)'!E177</f>
        <v>918.75</v>
      </c>
      <c r="J193" s="36">
        <f t="shared" si="25"/>
        <v>6431.25</v>
      </c>
    </row>
    <row r="194" spans="2:10" ht="15.6" hidden="1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4"/>
        <v>183.75</v>
      </c>
      <c r="I194" s="135">
        <f>'Прайс для расчета (М)'!E178</f>
        <v>91.875</v>
      </c>
      <c r="J194" s="36">
        <f t="shared" si="25"/>
        <v>91.875</v>
      </c>
    </row>
    <row r="195" spans="2:10" ht="15.6" hidden="1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4"/>
        <v>367.5</v>
      </c>
      <c r="I195" s="135">
        <f>'Прайс для расчета (М)'!E179</f>
        <v>183.75</v>
      </c>
      <c r="J195" s="36">
        <f t="shared" si="25"/>
        <v>183.75</v>
      </c>
    </row>
    <row r="196" spans="2:10" ht="15.6" hidden="1" x14ac:dyDescent="0.3">
      <c r="B196" s="59"/>
      <c r="C196" s="78" t="s">
        <v>508</v>
      </c>
      <c r="D196" s="74" t="s">
        <v>2</v>
      </c>
      <c r="E196" s="75" t="e">
        <f t="shared" ref="E196:E201" si="28">$A$6</f>
        <v>#REF!</v>
      </c>
      <c r="F196" s="63">
        <f>'Прайс для расчета'!E180</f>
        <v>481.95000000000005</v>
      </c>
      <c r="G196" s="64" t="e">
        <f t="shared" si="24"/>
        <v>#REF!</v>
      </c>
      <c r="I196" s="135">
        <f>'Прайс для расчета (М)'!E180</f>
        <v>240.97500000000002</v>
      </c>
      <c r="J196" s="36" t="e">
        <f t="shared" si="25"/>
        <v>#REF!</v>
      </c>
    </row>
    <row r="197" spans="2:10" ht="15.6" hidden="1" x14ac:dyDescent="0.3">
      <c r="B197" s="59"/>
      <c r="C197" s="78" t="s">
        <v>383</v>
      </c>
      <c r="D197" s="74" t="s">
        <v>2</v>
      </c>
      <c r="E197" s="75" t="e">
        <f t="shared" si="28"/>
        <v>#REF!</v>
      </c>
      <c r="F197" s="63">
        <f>'Прайс для расчета'!E181</f>
        <v>1506.75</v>
      </c>
      <c r="G197" s="64" t="e">
        <f t="shared" si="24"/>
        <v>#REF!</v>
      </c>
      <c r="I197" s="135">
        <f>'Прайс для расчета (М)'!E181</f>
        <v>753.375</v>
      </c>
      <c r="J197" s="36" t="e">
        <f t="shared" si="25"/>
        <v>#REF!</v>
      </c>
    </row>
    <row r="198" spans="2:10" ht="15.6" hidden="1" x14ac:dyDescent="0.3">
      <c r="B198" s="59"/>
      <c r="C198" s="78" t="s">
        <v>384</v>
      </c>
      <c r="D198" s="74" t="s">
        <v>2</v>
      </c>
      <c r="E198" s="75" t="e">
        <f t="shared" si="28"/>
        <v>#REF!</v>
      </c>
      <c r="F198" s="63">
        <f>'Прайс для расчета'!E182</f>
        <v>1821.75</v>
      </c>
      <c r="G198" s="64" t="e">
        <f t="shared" si="24"/>
        <v>#REF!</v>
      </c>
      <c r="I198" s="135">
        <f>'Прайс для расчета (М)'!E182</f>
        <v>910.875</v>
      </c>
      <c r="J198" s="36" t="e">
        <f t="shared" si="25"/>
        <v>#REF!</v>
      </c>
    </row>
    <row r="199" spans="2:10" ht="15.6" hidden="1" x14ac:dyDescent="0.3">
      <c r="B199" s="59"/>
      <c r="C199" s="78" t="s">
        <v>385</v>
      </c>
      <c r="D199" s="74" t="s">
        <v>2</v>
      </c>
      <c r="E199" s="75" t="e">
        <f t="shared" si="28"/>
        <v>#REF!</v>
      </c>
      <c r="F199" s="63">
        <f>'Прайс для расчета'!E183</f>
        <v>1149.75</v>
      </c>
      <c r="G199" s="64" t="e">
        <f t="shared" si="24"/>
        <v>#REF!</v>
      </c>
      <c r="I199" s="135">
        <f>'Прайс для расчета (М)'!E183</f>
        <v>574.875</v>
      </c>
      <c r="J199" s="36" t="e">
        <f t="shared" si="25"/>
        <v>#REF!</v>
      </c>
    </row>
    <row r="200" spans="2:10" ht="15.6" hidden="1" x14ac:dyDescent="0.3">
      <c r="B200" s="59"/>
      <c r="C200" s="78" t="s">
        <v>509</v>
      </c>
      <c r="D200" s="74" t="s">
        <v>2</v>
      </c>
      <c r="E200" s="75" t="e">
        <f t="shared" si="28"/>
        <v>#REF!</v>
      </c>
      <c r="F200" s="63">
        <f>'Прайс для расчета'!E184</f>
        <v>1527.75</v>
      </c>
      <c r="G200" s="64" t="e">
        <f t="shared" si="24"/>
        <v>#REF!</v>
      </c>
      <c r="I200" s="135">
        <f>'Прайс для расчета (М)'!E184</f>
        <v>763.875</v>
      </c>
      <c r="J200" s="36" t="e">
        <f t="shared" si="25"/>
        <v>#REF!</v>
      </c>
    </row>
    <row r="201" spans="2:10" ht="15.6" hidden="1" x14ac:dyDescent="0.3">
      <c r="B201" s="59"/>
      <c r="C201" s="78" t="s">
        <v>510</v>
      </c>
      <c r="D201" s="74" t="s">
        <v>2</v>
      </c>
      <c r="E201" s="75" t="e">
        <f t="shared" si="28"/>
        <v>#REF!</v>
      </c>
      <c r="F201" s="63">
        <f>'Прайс для расчета'!E185</f>
        <v>1737.75</v>
      </c>
      <c r="G201" s="64" t="e">
        <f t="shared" si="24"/>
        <v>#REF!</v>
      </c>
      <c r="I201" s="135">
        <f>'Прайс для расчета (М)'!E185</f>
        <v>868.875</v>
      </c>
      <c r="J201" s="36" t="e">
        <f t="shared" si="25"/>
        <v>#REF!</v>
      </c>
    </row>
    <row r="202" spans="2:10" ht="15.6" hidden="1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4"/>
        <v>#REF!</v>
      </c>
      <c r="I202" s="135">
        <f>'Прайс для расчета (М)'!E186</f>
        <v>97.125</v>
      </c>
      <c r="J202" s="36" t="e">
        <f t="shared" si="25"/>
        <v>#REF!</v>
      </c>
    </row>
    <row r="203" spans="2:10" ht="15.6" hidden="1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4"/>
        <v>2089.5</v>
      </c>
      <c r="I203" s="135">
        <f>'Прайс для расчета (М)'!E187</f>
        <v>1044.75</v>
      </c>
      <c r="J203" s="36">
        <f t="shared" si="25"/>
        <v>1044.75</v>
      </c>
    </row>
    <row r="204" spans="2:10" ht="15.6" hidden="1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4"/>
        <v>3097.5</v>
      </c>
      <c r="I204" s="135">
        <f>'Прайс для расчета (М)'!E188</f>
        <v>1548.75</v>
      </c>
      <c r="J204" s="36">
        <f t="shared" si="25"/>
        <v>1548.75</v>
      </c>
    </row>
    <row r="205" spans="2:10" ht="15.6" hidden="1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4"/>
        <v>2992.5</v>
      </c>
      <c r="I205" s="135">
        <f>'Прайс для расчета (М)'!E189</f>
        <v>1496.25</v>
      </c>
      <c r="J205" s="36">
        <f t="shared" si="25"/>
        <v>1496.25</v>
      </c>
    </row>
    <row r="206" spans="2:10" ht="15.6" hidden="1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4"/>
        <v>#REF!</v>
      </c>
      <c r="I206" s="135">
        <f>'Прайс для расчета (М)'!E190</f>
        <v>202.03050000000002</v>
      </c>
      <c r="J206" s="36" t="e">
        <f t="shared" si="25"/>
        <v>#REF!</v>
      </c>
    </row>
    <row r="207" spans="2:10" ht="15.6" hidden="1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4"/>
        <v>#REF!</v>
      </c>
      <c r="I207" s="135">
        <f>'Прайс для расчета (М)'!E191</f>
        <v>141.22499999999999</v>
      </c>
      <c r="J207" s="36" t="e">
        <f t="shared" si="25"/>
        <v>#REF!</v>
      </c>
    </row>
    <row r="208" spans="2:10" ht="15.6" hidden="1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4"/>
        <v>#REF!</v>
      </c>
      <c r="I208" s="135">
        <f>'Прайс для расчета (М)'!E192</f>
        <v>307.125</v>
      </c>
      <c r="J208" s="36" t="e">
        <f t="shared" si="25"/>
        <v>#REF!</v>
      </c>
    </row>
    <row r="209" spans="2:10" ht="15.6" hidden="1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hidden="1" x14ac:dyDescent="0.25">
      <c r="B210" s="59"/>
      <c r="C210" s="65" t="s">
        <v>389</v>
      </c>
      <c r="D210" s="61" t="s">
        <v>3</v>
      </c>
      <c r="E210" s="62">
        <v>5</v>
      </c>
      <c r="F210" s="63">
        <f>'Прайс для расчета'!E193</f>
        <v>84</v>
      </c>
      <c r="G210" s="64">
        <f t="shared" ref="G210:G218" si="29">F210*E210</f>
        <v>420</v>
      </c>
      <c r="I210" s="135">
        <f>'Прайс для расчета (М)'!E193</f>
        <v>42</v>
      </c>
      <c r="J210" s="36">
        <f t="shared" ref="J210:J218" si="30">I210*E210</f>
        <v>210</v>
      </c>
    </row>
    <row r="211" spans="2:10" ht="15.6" hidden="1" x14ac:dyDescent="0.25">
      <c r="B211" s="59"/>
      <c r="C211" s="65" t="s">
        <v>390</v>
      </c>
      <c r="D211" s="61" t="s">
        <v>3</v>
      </c>
      <c r="E211" s="62">
        <f>E210</f>
        <v>5</v>
      </c>
      <c r="F211" s="63">
        <f>'Прайс для расчета'!E194</f>
        <v>787.5</v>
      </c>
      <c r="G211" s="64">
        <f t="shared" si="29"/>
        <v>3937.5</v>
      </c>
      <c r="I211" s="135">
        <f>'Прайс для расчета (М)'!E194</f>
        <v>393.75</v>
      </c>
      <c r="J211" s="36">
        <f t="shared" si="30"/>
        <v>1968.75</v>
      </c>
    </row>
    <row r="212" spans="2:10" ht="15.6" hidden="1" x14ac:dyDescent="0.25">
      <c r="B212" s="59"/>
      <c r="C212" s="65" t="s">
        <v>391</v>
      </c>
      <c r="D212" s="61" t="s">
        <v>3</v>
      </c>
      <c r="E212" s="62">
        <f>E210</f>
        <v>5</v>
      </c>
      <c r="F212" s="63">
        <f>'Прайс для расчета'!E195</f>
        <v>892.5</v>
      </c>
      <c r="G212" s="64">
        <f t="shared" si="29"/>
        <v>4462.5</v>
      </c>
      <c r="I212" s="135">
        <f>'Прайс для расчета (М)'!E195</f>
        <v>446.25</v>
      </c>
      <c r="J212" s="36">
        <f t="shared" si="30"/>
        <v>2231.25</v>
      </c>
    </row>
    <row r="213" spans="2:10" ht="15.6" hidden="1" x14ac:dyDescent="0.25">
      <c r="B213" s="59"/>
      <c r="C213" s="65" t="s">
        <v>392</v>
      </c>
      <c r="D213" s="61" t="s">
        <v>3</v>
      </c>
      <c r="E213" s="62">
        <f>E210</f>
        <v>5</v>
      </c>
      <c r="F213" s="63">
        <f>'Прайс для расчета'!E196</f>
        <v>997.5</v>
      </c>
      <c r="G213" s="64">
        <f t="shared" si="29"/>
        <v>4987.5</v>
      </c>
      <c r="I213" s="135">
        <f>'Прайс для расчета (М)'!E196</f>
        <v>498.75</v>
      </c>
      <c r="J213" s="36">
        <f t="shared" si="30"/>
        <v>2493.75</v>
      </c>
    </row>
    <row r="214" spans="2:10" ht="15.6" hidden="1" x14ac:dyDescent="0.25">
      <c r="B214" s="59"/>
      <c r="C214" s="65" t="s">
        <v>393</v>
      </c>
      <c r="D214" s="61" t="s">
        <v>3</v>
      </c>
      <c r="E214" s="62">
        <f>E210</f>
        <v>5</v>
      </c>
      <c r="F214" s="63">
        <f>'Прайс для расчета'!E197</f>
        <v>787.5</v>
      </c>
      <c r="G214" s="64">
        <f t="shared" si="29"/>
        <v>3937.5</v>
      </c>
      <c r="I214" s="135">
        <f>'Прайс для расчета (М)'!E197</f>
        <v>393.75</v>
      </c>
      <c r="J214" s="36">
        <f t="shared" si="30"/>
        <v>1968.75</v>
      </c>
    </row>
    <row r="215" spans="2:10" ht="15.6" hidden="1" x14ac:dyDescent="0.25">
      <c r="B215" s="59"/>
      <c r="C215" s="65" t="s">
        <v>52</v>
      </c>
      <c r="D215" s="61" t="s">
        <v>3</v>
      </c>
      <c r="E215" s="62">
        <f>E210</f>
        <v>5</v>
      </c>
      <c r="F215" s="63">
        <f>'Прайс для расчета'!E198</f>
        <v>204.75</v>
      </c>
      <c r="G215" s="64">
        <f t="shared" si="29"/>
        <v>1023.75</v>
      </c>
      <c r="I215" s="135">
        <f>'Прайс для расчета (М)'!E198</f>
        <v>102.375</v>
      </c>
      <c r="J215" s="36">
        <f t="shared" si="30"/>
        <v>511.875</v>
      </c>
    </row>
    <row r="216" spans="2:10" ht="15.6" hidden="1" x14ac:dyDescent="0.25">
      <c r="B216" s="59"/>
      <c r="C216" s="65" t="s">
        <v>53</v>
      </c>
      <c r="D216" s="61" t="s">
        <v>3</v>
      </c>
      <c r="E216" s="62">
        <f>E210</f>
        <v>5</v>
      </c>
      <c r="F216" s="63">
        <f>'Прайс для расчета'!E199</f>
        <v>194.25</v>
      </c>
      <c r="G216" s="64">
        <f t="shared" si="29"/>
        <v>971.25</v>
      </c>
      <c r="I216" s="135">
        <f>'Прайс для расчета (М)'!E199</f>
        <v>97.125</v>
      </c>
      <c r="J216" s="36">
        <f t="shared" si="30"/>
        <v>485.625</v>
      </c>
    </row>
    <row r="217" spans="2:10" ht="15.6" hidden="1" x14ac:dyDescent="0.25">
      <c r="B217" s="59"/>
      <c r="C217" s="65" t="s">
        <v>394</v>
      </c>
      <c r="D217" s="61" t="s">
        <v>3</v>
      </c>
      <c r="E217" s="62">
        <f>E210</f>
        <v>5</v>
      </c>
      <c r="F217" s="63">
        <f>'Прайс для расчета'!E200</f>
        <v>866.25</v>
      </c>
      <c r="G217" s="64">
        <f t="shared" si="29"/>
        <v>4331.25</v>
      </c>
      <c r="I217" s="135">
        <f>'Прайс для расчета (М)'!E200</f>
        <v>433.125</v>
      </c>
      <c r="J217" s="36">
        <f t="shared" si="30"/>
        <v>2165.625</v>
      </c>
    </row>
    <row r="218" spans="2:10" ht="15.6" hidden="1" x14ac:dyDescent="0.25">
      <c r="B218" s="59"/>
      <c r="C218" s="65" t="s">
        <v>395</v>
      </c>
      <c r="D218" s="61" t="s">
        <v>3</v>
      </c>
      <c r="E218" s="62">
        <f>E210</f>
        <v>5</v>
      </c>
      <c r="F218" s="63">
        <f>'Прайс для расчета'!E201</f>
        <v>262.5</v>
      </c>
      <c r="G218" s="64">
        <f t="shared" si="29"/>
        <v>1312.5</v>
      </c>
      <c r="I218" s="135">
        <f>'Прайс для расчета (М)'!E201</f>
        <v>131.25</v>
      </c>
      <c r="J218" s="36">
        <f t="shared" si="30"/>
        <v>656.25</v>
      </c>
    </row>
    <row r="219" spans="2:10" ht="15.6" hidden="1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hidden="1" x14ac:dyDescent="0.25">
      <c r="B220" s="59"/>
      <c r="C220" s="65" t="s">
        <v>1022</v>
      </c>
      <c r="D220" s="61" t="s">
        <v>2</v>
      </c>
      <c r="E220" s="62">
        <f t="shared" ref="E220:E226" si="31">$A$4</f>
        <v>7.76</v>
      </c>
      <c r="F220" s="63">
        <f>'Прайс для расчета'!E202</f>
        <v>135.45000000000002</v>
      </c>
      <c r="G220" s="64">
        <f t="shared" ref="G220:G247" si="32">F220*E220</f>
        <v>1051.0920000000001</v>
      </c>
      <c r="I220" s="135">
        <f>'Прайс для расчета (М)'!E202</f>
        <v>67.725000000000009</v>
      </c>
      <c r="J220" s="36">
        <f t="shared" ref="J220:J247" si="33">I220*E220</f>
        <v>525.54600000000005</v>
      </c>
    </row>
    <row r="221" spans="2:10" ht="15.6" hidden="1" x14ac:dyDescent="0.25">
      <c r="B221" s="59"/>
      <c r="C221" s="65" t="s">
        <v>1105</v>
      </c>
      <c r="D221" s="61" t="s">
        <v>3</v>
      </c>
      <c r="E221" s="62">
        <f t="shared" si="31"/>
        <v>7.76</v>
      </c>
      <c r="F221" s="63">
        <f>'Прайс для расчета'!E203</f>
        <v>210</v>
      </c>
      <c r="G221" s="64">
        <f t="shared" si="32"/>
        <v>1629.6</v>
      </c>
      <c r="I221" s="135">
        <f>'Прайс для расчета (М)'!E203</f>
        <v>105</v>
      </c>
      <c r="J221" s="36">
        <f t="shared" si="33"/>
        <v>814.8</v>
      </c>
    </row>
    <row r="222" spans="2:10" ht="15.6" hidden="1" x14ac:dyDescent="0.25">
      <c r="B222" s="59"/>
      <c r="C222" s="65" t="s">
        <v>1032</v>
      </c>
      <c r="D222" s="61" t="s">
        <v>2</v>
      </c>
      <c r="E222" s="62">
        <f t="shared" si="31"/>
        <v>7.76</v>
      </c>
      <c r="F222" s="63">
        <f>'Прайс для расчета'!E204</f>
        <v>892.5</v>
      </c>
      <c r="G222" s="64">
        <f t="shared" si="32"/>
        <v>6925.8</v>
      </c>
      <c r="I222" s="135">
        <f>'Прайс для расчета (М)'!E204</f>
        <v>446.25</v>
      </c>
      <c r="J222" s="36">
        <f t="shared" si="33"/>
        <v>3462.9</v>
      </c>
    </row>
    <row r="223" spans="2:10" ht="15.6" hidden="1" x14ac:dyDescent="0.25">
      <c r="B223" s="59"/>
      <c r="C223" s="65" t="s">
        <v>1030</v>
      </c>
      <c r="D223" s="61" t="s">
        <v>2</v>
      </c>
      <c r="E223" s="62">
        <f t="shared" si="31"/>
        <v>7.76</v>
      </c>
      <c r="F223" s="63">
        <f>'Прайс для расчета'!E205</f>
        <v>1102.5</v>
      </c>
      <c r="G223" s="64">
        <f t="shared" si="32"/>
        <v>8555.4</v>
      </c>
      <c r="I223" s="135">
        <f>'Прайс для расчета (М)'!E205</f>
        <v>551.25</v>
      </c>
      <c r="J223" s="36">
        <f t="shared" si="33"/>
        <v>4277.7</v>
      </c>
    </row>
    <row r="224" spans="2:10" ht="15.6" hidden="1" x14ac:dyDescent="0.25">
      <c r="B224" s="59"/>
      <c r="C224" s="65" t="s">
        <v>1031</v>
      </c>
      <c r="D224" s="61" t="s">
        <v>2</v>
      </c>
      <c r="E224" s="62">
        <f t="shared" si="31"/>
        <v>7.76</v>
      </c>
      <c r="F224" s="63">
        <f>'Прайс для расчета'!E206</f>
        <v>892.5</v>
      </c>
      <c r="G224" s="64">
        <f t="shared" si="32"/>
        <v>6925.8</v>
      </c>
      <c r="I224" s="135">
        <f>'Прайс для расчета (М)'!E206</f>
        <v>446.25</v>
      </c>
      <c r="J224" s="36">
        <f t="shared" si="33"/>
        <v>3462.9</v>
      </c>
    </row>
    <row r="225" spans="2:10" ht="15.6" hidden="1" x14ac:dyDescent="0.25">
      <c r="B225" s="59"/>
      <c r="C225" s="65" t="s">
        <v>1106</v>
      </c>
      <c r="D225" s="61" t="s">
        <v>3</v>
      </c>
      <c r="E225" s="62">
        <f t="shared" si="31"/>
        <v>7.76</v>
      </c>
      <c r="F225" s="63">
        <f>'Прайс для расчета'!E207</f>
        <v>210</v>
      </c>
      <c r="G225" s="64">
        <f t="shared" si="32"/>
        <v>1629.6</v>
      </c>
      <c r="I225" s="135">
        <f>'Прайс для расчета (М)'!E207</f>
        <v>105</v>
      </c>
      <c r="J225" s="36">
        <f t="shared" si="33"/>
        <v>814.8</v>
      </c>
    </row>
    <row r="226" spans="2:10" ht="15.6" hidden="1" x14ac:dyDescent="0.25">
      <c r="B226" s="59"/>
      <c r="C226" s="202" t="s">
        <v>1009</v>
      </c>
      <c r="D226" s="61" t="s">
        <v>2</v>
      </c>
      <c r="E226" s="62">
        <f t="shared" si="31"/>
        <v>7.76</v>
      </c>
      <c r="F226" s="63">
        <f>'Прайс для расчета'!E208</f>
        <v>3097.5</v>
      </c>
      <c r="G226" s="64">
        <f t="shared" si="32"/>
        <v>24036.6</v>
      </c>
      <c r="I226" s="135">
        <f>'Прайс для расчета (М)'!E208</f>
        <v>1548.75</v>
      </c>
      <c r="J226" s="36">
        <f t="shared" si="33"/>
        <v>12018.3</v>
      </c>
    </row>
    <row r="227" spans="2:10" ht="15.6" hidden="1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2"/>
        <v>240.05099999999999</v>
      </c>
      <c r="I227" s="135">
        <f>'Прайс для расчета (М)'!E209</f>
        <v>120.02549999999999</v>
      </c>
      <c r="J227" s="36">
        <f t="shared" si="33"/>
        <v>120.02549999999999</v>
      </c>
    </row>
    <row r="228" spans="2:10" ht="15.6" hidden="1" x14ac:dyDescent="0.25">
      <c r="B228" s="59"/>
      <c r="C228" s="65" t="s">
        <v>401</v>
      </c>
      <c r="D228" s="61" t="s">
        <v>3</v>
      </c>
      <c r="E228" s="62">
        <f>ROUND($A$4*1.25,0)</f>
        <v>10</v>
      </c>
      <c r="F228" s="63">
        <f>'Прайс для расчета'!E210</f>
        <v>164.01</v>
      </c>
      <c r="G228" s="64">
        <f t="shared" si="32"/>
        <v>1640.1</v>
      </c>
      <c r="I228" s="135">
        <f>'Прайс для расчета (М)'!E210</f>
        <v>82.004999999999995</v>
      </c>
      <c r="J228" s="36">
        <f t="shared" si="33"/>
        <v>820.05</v>
      </c>
    </row>
    <row r="229" spans="2:10" ht="15.6" hidden="1" x14ac:dyDescent="0.25">
      <c r="B229" s="59"/>
      <c r="C229" s="65" t="s">
        <v>675</v>
      </c>
      <c r="D229" s="61" t="s">
        <v>2</v>
      </c>
      <c r="E229" s="62">
        <f t="shared" ref="E229:E238" si="34">$A$4</f>
        <v>7.76</v>
      </c>
      <c r="F229" s="63">
        <f>'Прайс для расчета'!E211</f>
        <v>477.12</v>
      </c>
      <c r="G229" s="64">
        <f t="shared" si="32"/>
        <v>3702.4512</v>
      </c>
      <c r="I229" s="135">
        <f>'Прайс для расчета (М)'!E211</f>
        <v>238.56</v>
      </c>
      <c r="J229" s="36">
        <f t="shared" si="33"/>
        <v>1851.2256</v>
      </c>
    </row>
    <row r="230" spans="2:10" ht="15.6" hidden="1" x14ac:dyDescent="0.25">
      <c r="B230" s="59"/>
      <c r="C230" s="65" t="s">
        <v>1023</v>
      </c>
      <c r="D230" s="61" t="s">
        <v>2</v>
      </c>
      <c r="E230" s="62">
        <f t="shared" si="34"/>
        <v>7.76</v>
      </c>
      <c r="F230" s="63">
        <f>'Прайс для расчета'!E212</f>
        <v>124.95</v>
      </c>
      <c r="G230" s="64">
        <f t="shared" si="32"/>
        <v>969.61199999999997</v>
      </c>
      <c r="I230" s="135">
        <f>'Прайс для расчета (М)'!E212</f>
        <v>62.475000000000001</v>
      </c>
      <c r="J230" s="36">
        <f t="shared" si="33"/>
        <v>484.80599999999998</v>
      </c>
    </row>
    <row r="231" spans="2:10" ht="15.6" hidden="1" x14ac:dyDescent="0.25">
      <c r="B231" s="59"/>
      <c r="C231" s="65" t="s">
        <v>1132</v>
      </c>
      <c r="D231" s="61" t="s">
        <v>2</v>
      </c>
      <c r="E231" s="62">
        <f t="shared" si="34"/>
        <v>7.76</v>
      </c>
      <c r="F231" s="63">
        <f>'Прайс для расчета'!E213</f>
        <v>199.5</v>
      </c>
      <c r="G231" s="64">
        <f t="shared" si="32"/>
        <v>1548.12</v>
      </c>
      <c r="I231" s="135">
        <f>'Прайс для расчета (М)'!E213</f>
        <v>99.75</v>
      </c>
      <c r="J231" s="36">
        <f t="shared" si="33"/>
        <v>774.06</v>
      </c>
    </row>
    <row r="232" spans="2:10" ht="15.6" hidden="1" x14ac:dyDescent="0.25">
      <c r="B232" s="59"/>
      <c r="C232" s="65" t="s">
        <v>676</v>
      </c>
      <c r="D232" s="61" t="s">
        <v>2</v>
      </c>
      <c r="E232" s="62">
        <f t="shared" si="34"/>
        <v>7.76</v>
      </c>
      <c r="F232" s="63">
        <f>'Прайс для расчета'!E214</f>
        <v>299.25</v>
      </c>
      <c r="G232" s="64">
        <f t="shared" si="32"/>
        <v>2322.1799999999998</v>
      </c>
      <c r="I232" s="135">
        <f>'Прайс для расчета (М)'!E214</f>
        <v>149.625</v>
      </c>
      <c r="J232" s="36">
        <f t="shared" si="33"/>
        <v>1161.0899999999999</v>
      </c>
    </row>
    <row r="233" spans="2:10" ht="15.6" hidden="1" x14ac:dyDescent="0.25">
      <c r="B233" s="59"/>
      <c r="C233" s="65" t="s">
        <v>403</v>
      </c>
      <c r="D233" s="61" t="s">
        <v>647</v>
      </c>
      <c r="E233" s="62">
        <f t="shared" si="34"/>
        <v>7.76</v>
      </c>
      <c r="F233" s="63">
        <f>'Прайс для расчета'!E215</f>
        <v>236.25</v>
      </c>
      <c r="G233" s="64">
        <f t="shared" si="32"/>
        <v>1833.3</v>
      </c>
      <c r="I233" s="135">
        <f>'Прайс для расчета (М)'!E215</f>
        <v>118.125</v>
      </c>
      <c r="J233" s="36">
        <f t="shared" si="33"/>
        <v>916.65</v>
      </c>
    </row>
    <row r="234" spans="2:10" ht="15.6" hidden="1" x14ac:dyDescent="0.25">
      <c r="B234" s="59"/>
      <c r="C234" s="65" t="s">
        <v>1035</v>
      </c>
      <c r="D234" s="61" t="s">
        <v>2</v>
      </c>
      <c r="E234" s="62">
        <f t="shared" si="34"/>
        <v>7.76</v>
      </c>
      <c r="F234" s="63">
        <f>'Прайс для расчета'!E216</f>
        <v>624.75</v>
      </c>
      <c r="G234" s="64">
        <f t="shared" si="32"/>
        <v>4848.0599999999995</v>
      </c>
      <c r="I234" s="135">
        <f>'Прайс для расчета (М)'!E216</f>
        <v>312.375</v>
      </c>
      <c r="J234" s="36">
        <f t="shared" si="33"/>
        <v>2424.0299999999997</v>
      </c>
    </row>
    <row r="235" spans="2:10" ht="15.6" hidden="1" x14ac:dyDescent="0.25">
      <c r="B235" s="59"/>
      <c r="C235" s="65" t="s">
        <v>1041</v>
      </c>
      <c r="D235" s="61" t="s">
        <v>2</v>
      </c>
      <c r="E235" s="62">
        <f t="shared" si="34"/>
        <v>7.76</v>
      </c>
      <c r="F235" s="63">
        <f>'Прайс для расчета'!E217</f>
        <v>787.5</v>
      </c>
      <c r="G235" s="64">
        <f t="shared" si="32"/>
        <v>6111</v>
      </c>
      <c r="I235" s="135">
        <f>'Прайс для расчета (М)'!E217</f>
        <v>393.75</v>
      </c>
      <c r="J235" s="36">
        <f t="shared" si="33"/>
        <v>3055.5</v>
      </c>
    </row>
    <row r="236" spans="2:10" ht="15.6" hidden="1" x14ac:dyDescent="0.25">
      <c r="B236" s="59"/>
      <c r="C236" s="69" t="s">
        <v>1137</v>
      </c>
      <c r="D236" s="61" t="s">
        <v>2</v>
      </c>
      <c r="E236" s="62">
        <f t="shared" si="34"/>
        <v>7.76</v>
      </c>
      <c r="F236" s="63">
        <f>'Прайс для расчета'!E218</f>
        <v>1207.5</v>
      </c>
      <c r="G236" s="64">
        <f t="shared" si="32"/>
        <v>9370.1999999999989</v>
      </c>
      <c r="I236" s="135">
        <f>'Прайс для расчета (М)'!E218</f>
        <v>603.75</v>
      </c>
      <c r="J236" s="36">
        <f t="shared" si="33"/>
        <v>4685.0999999999995</v>
      </c>
    </row>
    <row r="237" spans="2:10" ht="15.6" hidden="1" x14ac:dyDescent="0.25">
      <c r="B237" s="59"/>
      <c r="C237" s="69" t="s">
        <v>1139</v>
      </c>
      <c r="D237" s="61" t="s">
        <v>2</v>
      </c>
      <c r="E237" s="62">
        <f t="shared" si="34"/>
        <v>7.76</v>
      </c>
      <c r="F237" s="63">
        <f>'Прайс для расчета'!E219</f>
        <v>262.5</v>
      </c>
      <c r="G237" s="64">
        <f t="shared" si="32"/>
        <v>2037</v>
      </c>
      <c r="I237" s="135">
        <f>'Прайс для расчета (М)'!E219</f>
        <v>131.25</v>
      </c>
      <c r="J237" s="36">
        <f t="shared" si="33"/>
        <v>1018.5</v>
      </c>
    </row>
    <row r="238" spans="2:10" ht="15.6" hidden="1" x14ac:dyDescent="0.25">
      <c r="B238" s="59"/>
      <c r="C238" s="69" t="s">
        <v>1142</v>
      </c>
      <c r="D238" s="61" t="s">
        <v>2</v>
      </c>
      <c r="E238" s="62">
        <f t="shared" si="34"/>
        <v>7.76</v>
      </c>
      <c r="F238" s="63">
        <f>'Прайс для расчета'!E220</f>
        <v>997.5</v>
      </c>
      <c r="G238" s="64">
        <f t="shared" si="32"/>
        <v>7740.5999999999995</v>
      </c>
      <c r="I238" s="135">
        <f>'Прайс для расчета (М)'!E220</f>
        <v>498.75</v>
      </c>
      <c r="J238" s="36">
        <f t="shared" si="33"/>
        <v>3870.2999999999997</v>
      </c>
    </row>
    <row r="239" spans="2:10" ht="15.6" hidden="1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2"/>
        <v>735</v>
      </c>
      <c r="I239" s="135">
        <f>'Прайс для расчета (М)'!E221</f>
        <v>367.5</v>
      </c>
      <c r="J239" s="36">
        <f t="shared" si="33"/>
        <v>367.5</v>
      </c>
    </row>
    <row r="240" spans="2:10" ht="15.6" hidden="1" x14ac:dyDescent="0.25">
      <c r="B240" s="59"/>
      <c r="C240" s="65" t="s">
        <v>1000</v>
      </c>
      <c r="D240" s="61" t="s">
        <v>2</v>
      </c>
      <c r="E240" s="62">
        <f>$A$4</f>
        <v>7.76</v>
      </c>
      <c r="F240" s="63">
        <f>'Прайс для расчета'!E222</f>
        <v>105</v>
      </c>
      <c r="G240" s="64">
        <f t="shared" si="32"/>
        <v>814.8</v>
      </c>
      <c r="I240" s="135">
        <f>'Прайс для расчета (М)'!E222</f>
        <v>52.5</v>
      </c>
      <c r="J240" s="36">
        <f t="shared" si="33"/>
        <v>407.4</v>
      </c>
    </row>
    <row r="241" spans="2:10" ht="15.6" hidden="1" x14ac:dyDescent="0.25">
      <c r="B241" s="59"/>
      <c r="C241" s="65" t="s">
        <v>153</v>
      </c>
      <c r="D241" s="61" t="s">
        <v>2</v>
      </c>
      <c r="E241" s="62">
        <f>$A$4</f>
        <v>7.76</v>
      </c>
      <c r="F241" s="63">
        <f>'Прайс для расчета'!E223</f>
        <v>292.95</v>
      </c>
      <c r="G241" s="64">
        <f t="shared" si="32"/>
        <v>2273.2919999999999</v>
      </c>
      <c r="I241" s="135">
        <f>'Прайс для расчета (М)'!E223</f>
        <v>146.47499999999999</v>
      </c>
      <c r="J241" s="36">
        <f t="shared" si="33"/>
        <v>1136.646</v>
      </c>
    </row>
    <row r="242" spans="2:10" ht="15.6" hidden="1" x14ac:dyDescent="0.25">
      <c r="B242" s="59"/>
      <c r="C242" s="65" t="s">
        <v>1027</v>
      </c>
      <c r="D242" s="61" t="s">
        <v>2</v>
      </c>
      <c r="E242" s="62">
        <f>$A$4</f>
        <v>7.76</v>
      </c>
      <c r="F242" s="63">
        <f>'Прайс для расчета'!E224</f>
        <v>719.25</v>
      </c>
      <c r="G242" s="64">
        <f t="shared" si="32"/>
        <v>5581.38</v>
      </c>
      <c r="I242" s="135">
        <f>'Прайс для расчета (М)'!E224</f>
        <v>359.625</v>
      </c>
      <c r="J242" s="36">
        <f t="shared" si="33"/>
        <v>2790.69</v>
      </c>
    </row>
    <row r="243" spans="2:10" ht="15.6" hidden="1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2"/>
        <v>2299.5</v>
      </c>
      <c r="I243" s="135">
        <f>'Прайс для расчета (М)'!E225</f>
        <v>1149.75</v>
      </c>
      <c r="J243" s="36">
        <f t="shared" si="33"/>
        <v>1149.75</v>
      </c>
    </row>
    <row r="244" spans="2:10" ht="15.6" hidden="1" x14ac:dyDescent="0.25">
      <c r="B244" s="59"/>
      <c r="C244" s="65" t="s">
        <v>1050</v>
      </c>
      <c r="D244" s="61" t="s">
        <v>2</v>
      </c>
      <c r="E244" s="62">
        <f>$A$4</f>
        <v>7.76</v>
      </c>
      <c r="F244" s="63">
        <f>'Прайс для расчета'!E226</f>
        <v>1942.5</v>
      </c>
      <c r="G244" s="64">
        <f t="shared" si="32"/>
        <v>15073.8</v>
      </c>
      <c r="I244" s="135">
        <f>'Прайс для расчета (М)'!E226</f>
        <v>971.25</v>
      </c>
      <c r="J244" s="36">
        <f t="shared" si="33"/>
        <v>7536.9</v>
      </c>
    </row>
    <row r="245" spans="2:10" ht="15.6" hidden="1" x14ac:dyDescent="0.25">
      <c r="B245" s="59"/>
      <c r="C245" s="65" t="s">
        <v>1049</v>
      </c>
      <c r="D245" s="61" t="s">
        <v>2</v>
      </c>
      <c r="E245" s="62">
        <f>$A$4</f>
        <v>7.76</v>
      </c>
      <c r="F245" s="63">
        <f>'Прайс для расчета'!E227</f>
        <v>2047.5</v>
      </c>
      <c r="G245" s="64">
        <f t="shared" si="32"/>
        <v>15888.6</v>
      </c>
      <c r="I245" s="135">
        <f>'Прайс для расчета (М)'!E227</f>
        <v>1023.75</v>
      </c>
      <c r="J245" s="36">
        <f t="shared" si="33"/>
        <v>7944.3</v>
      </c>
    </row>
    <row r="246" spans="2:10" ht="15.6" hidden="1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2"/>
        <v>2467.5</v>
      </c>
      <c r="I246" s="135">
        <f>'Прайс для расчета (М)'!E228</f>
        <v>1233.75</v>
      </c>
      <c r="J246" s="36">
        <f t="shared" si="33"/>
        <v>1233.75</v>
      </c>
    </row>
    <row r="247" spans="2:10" ht="15.6" hidden="1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2"/>
        <v>2677.5</v>
      </c>
      <c r="I247" s="135">
        <f>'Прайс для расчета (М)'!E229</f>
        <v>1338.75</v>
      </c>
      <c r="J247" s="36">
        <f t="shared" si="33"/>
        <v>1338.75</v>
      </c>
    </row>
    <row r="248" spans="2:10" ht="15.6" x14ac:dyDescent="0.25">
      <c r="B248" s="110">
        <f>IF(SUM(B139:B247)&gt;0,1,0)</f>
        <v>1</v>
      </c>
      <c r="C248" s="266" t="s">
        <v>514</v>
      </c>
      <c r="D248" s="266"/>
      <c r="E248" s="266"/>
      <c r="F248" s="266"/>
      <c r="G248" s="157" t="e">
        <f>SUMIF(B140:B247,1,G140:G247)</f>
        <v>#REF!</v>
      </c>
      <c r="J248" s="36" t="e">
        <f>SUMIF(B140:B247,1,J140:J247)</f>
        <v>#REF!</v>
      </c>
    </row>
    <row r="249" spans="2:10" ht="15.6" x14ac:dyDescent="0.25">
      <c r="B249" s="153">
        <f>IF(SUM(B250:B361)&gt;0,1,0)</f>
        <v>1</v>
      </c>
      <c r="C249" s="164" t="s">
        <v>1148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1</v>
      </c>
      <c r="C250" s="67" t="s">
        <v>877</v>
      </c>
      <c r="D250" s="61"/>
      <c r="E250" s="62"/>
      <c r="F250" s="63"/>
      <c r="G250" s="64"/>
    </row>
    <row r="251" spans="2:10" ht="15.6" hidden="1" x14ac:dyDescent="0.3">
      <c r="B251" s="59"/>
      <c r="C251" s="78" t="s">
        <v>933</v>
      </c>
      <c r="D251" s="74" t="s">
        <v>2</v>
      </c>
      <c r="E251" s="62">
        <f>$A$4</f>
        <v>7.76</v>
      </c>
      <c r="F251" s="63">
        <f>'Прайс для расчета'!E230</f>
        <v>2518.9500000000003</v>
      </c>
      <c r="G251" s="64">
        <f t="shared" ref="G251:G286" si="35">F251*E251</f>
        <v>19547.052000000003</v>
      </c>
      <c r="I251" s="135">
        <f>'Прайс для расчета (М)'!E230</f>
        <v>1259.4750000000001</v>
      </c>
      <c r="J251" s="36">
        <f t="shared" ref="J251:J286" si="36">I251*E251</f>
        <v>9773.5260000000017</v>
      </c>
    </row>
    <row r="252" spans="2:10" ht="15.6" hidden="1" x14ac:dyDescent="0.3">
      <c r="B252" s="59"/>
      <c r="C252" s="78" t="s">
        <v>233</v>
      </c>
      <c r="D252" s="74" t="s">
        <v>3</v>
      </c>
      <c r="E252" s="62">
        <f t="shared" ref="E252:E267" si="37">$A$4</f>
        <v>7.76</v>
      </c>
      <c r="F252" s="63">
        <f>'Прайс для расчета'!E231</f>
        <v>509.25</v>
      </c>
      <c r="G252" s="64">
        <f t="shared" si="35"/>
        <v>3951.7799999999997</v>
      </c>
      <c r="I252" s="135">
        <f>'Прайс для расчета (М)'!E231</f>
        <v>254.625</v>
      </c>
      <c r="J252" s="36">
        <f t="shared" si="36"/>
        <v>1975.8899999999999</v>
      </c>
    </row>
    <row r="253" spans="2:10" ht="15.6" hidden="1" x14ac:dyDescent="0.3">
      <c r="B253" s="59"/>
      <c r="C253" s="78" t="s">
        <v>409</v>
      </c>
      <c r="D253" s="74" t="s">
        <v>2</v>
      </c>
      <c r="E253" s="62">
        <f t="shared" si="37"/>
        <v>7.76</v>
      </c>
      <c r="F253" s="63">
        <f>'Прайс для расчета'!E232</f>
        <v>2718.4500000000003</v>
      </c>
      <c r="G253" s="64">
        <f t="shared" si="35"/>
        <v>21095.172000000002</v>
      </c>
      <c r="I253" s="135">
        <f>'Прайс для расчета (М)'!E232</f>
        <v>1359.2250000000001</v>
      </c>
      <c r="J253" s="36">
        <f t="shared" si="36"/>
        <v>10547.586000000001</v>
      </c>
    </row>
    <row r="254" spans="2:10" ht="15.6" hidden="1" x14ac:dyDescent="0.3">
      <c r="B254" s="59"/>
      <c r="C254" s="78" t="s">
        <v>1059</v>
      </c>
      <c r="D254" s="74" t="s">
        <v>2</v>
      </c>
      <c r="E254" s="62">
        <f t="shared" si="37"/>
        <v>7.76</v>
      </c>
      <c r="F254" s="63">
        <f>'Прайс для расчета'!E233</f>
        <v>1260</v>
      </c>
      <c r="G254" s="64">
        <f t="shared" si="35"/>
        <v>9777.6</v>
      </c>
      <c r="I254" s="135">
        <f>'Прайс для расчета (М)'!E233</f>
        <v>630</v>
      </c>
      <c r="J254" s="36">
        <f t="shared" si="36"/>
        <v>4888.8</v>
      </c>
    </row>
    <row r="255" spans="2:10" ht="15.6" hidden="1" x14ac:dyDescent="0.3">
      <c r="B255" s="59"/>
      <c r="C255" s="78" t="s">
        <v>411</v>
      </c>
      <c r="D255" s="74" t="s">
        <v>2</v>
      </c>
      <c r="E255" s="62">
        <f t="shared" si="37"/>
        <v>7.76</v>
      </c>
      <c r="F255" s="63">
        <f>'Прайс для расчета'!E234</f>
        <v>3033.4500000000003</v>
      </c>
      <c r="G255" s="64">
        <f t="shared" si="35"/>
        <v>23539.572</v>
      </c>
      <c r="I255" s="135">
        <f>'Прайс для расчета (М)'!E234</f>
        <v>1516.7250000000001</v>
      </c>
      <c r="J255" s="36">
        <f t="shared" si="36"/>
        <v>11769.786</v>
      </c>
    </row>
    <row r="256" spans="2:10" ht="15.6" hidden="1" x14ac:dyDescent="0.3">
      <c r="B256" s="59"/>
      <c r="C256" s="78" t="s">
        <v>1062</v>
      </c>
      <c r="D256" s="74" t="s">
        <v>3</v>
      </c>
      <c r="E256" s="62">
        <f t="shared" si="37"/>
        <v>7.76</v>
      </c>
      <c r="F256" s="63">
        <f>'Прайс для расчета'!E235</f>
        <v>971.25</v>
      </c>
      <c r="G256" s="64">
        <f t="shared" si="35"/>
        <v>7536.9</v>
      </c>
      <c r="I256" s="135">
        <f>'Прайс для расчета (М)'!E235</f>
        <v>485.625</v>
      </c>
      <c r="J256" s="36">
        <f t="shared" si="36"/>
        <v>3768.45</v>
      </c>
    </row>
    <row r="257" spans="2:10" ht="15.6" hidden="1" x14ac:dyDescent="0.3">
      <c r="B257" s="59"/>
      <c r="C257" s="78" t="s">
        <v>923</v>
      </c>
      <c r="D257" s="74" t="s">
        <v>2</v>
      </c>
      <c r="E257" s="62">
        <f t="shared" si="37"/>
        <v>7.76</v>
      </c>
      <c r="F257" s="63">
        <f>'Прайс для расчета'!E236</f>
        <v>3412.5</v>
      </c>
      <c r="G257" s="64">
        <f t="shared" si="35"/>
        <v>26481</v>
      </c>
      <c r="I257" s="135">
        <f>'Прайс для расчета (М)'!E236</f>
        <v>1706.25</v>
      </c>
      <c r="J257" s="36">
        <f t="shared" si="36"/>
        <v>13240.5</v>
      </c>
    </row>
    <row r="258" spans="2:10" ht="15.6" hidden="1" x14ac:dyDescent="0.3">
      <c r="B258" s="59"/>
      <c r="C258" s="78" t="s">
        <v>988</v>
      </c>
      <c r="D258" s="74" t="s">
        <v>2</v>
      </c>
      <c r="E258" s="62">
        <f t="shared" si="37"/>
        <v>7.76</v>
      </c>
      <c r="F258" s="63">
        <f>'Прайс для расчета'!E237</f>
        <v>2938.9500000000003</v>
      </c>
      <c r="G258" s="64">
        <f t="shared" si="35"/>
        <v>22806.252</v>
      </c>
      <c r="I258" s="135">
        <f>'Прайс для расчета (М)'!E237</f>
        <v>1469.4750000000001</v>
      </c>
      <c r="J258" s="36">
        <f t="shared" si="36"/>
        <v>11403.126</v>
      </c>
    </row>
    <row r="259" spans="2:10" ht="15.6" hidden="1" x14ac:dyDescent="0.3">
      <c r="B259" s="59"/>
      <c r="C259" s="78" t="s">
        <v>922</v>
      </c>
      <c r="D259" s="74" t="s">
        <v>2</v>
      </c>
      <c r="E259" s="62">
        <f t="shared" si="37"/>
        <v>7.76</v>
      </c>
      <c r="F259" s="63">
        <f>'Прайс для расчета'!E238</f>
        <v>3097.5</v>
      </c>
      <c r="G259" s="64">
        <f t="shared" si="35"/>
        <v>24036.6</v>
      </c>
      <c r="I259" s="135">
        <f>'Прайс для расчета (М)'!E238</f>
        <v>1548.75</v>
      </c>
      <c r="J259" s="36">
        <f t="shared" si="36"/>
        <v>12018.3</v>
      </c>
    </row>
    <row r="260" spans="2:10" ht="15.6" x14ac:dyDescent="0.3">
      <c r="B260" s="59">
        <v>1</v>
      </c>
      <c r="C260" s="78" t="s">
        <v>989</v>
      </c>
      <c r="D260" s="74" t="s">
        <v>2</v>
      </c>
      <c r="E260" s="62">
        <f t="shared" si="37"/>
        <v>7.76</v>
      </c>
      <c r="F260" s="63">
        <f>'Прайс для расчета'!E239</f>
        <v>3717</v>
      </c>
      <c r="G260" s="64">
        <f t="shared" si="35"/>
        <v>28843.919999999998</v>
      </c>
      <c r="I260" s="135">
        <f>'Прайс для расчета (М)'!E239</f>
        <v>1858.5</v>
      </c>
      <c r="J260" s="36">
        <f t="shared" si="36"/>
        <v>14421.96</v>
      </c>
    </row>
    <row r="261" spans="2:10" ht="15.6" hidden="1" x14ac:dyDescent="0.3">
      <c r="B261" s="59"/>
      <c r="C261" s="78" t="s">
        <v>936</v>
      </c>
      <c r="D261" s="74" t="s">
        <v>2</v>
      </c>
      <c r="E261" s="62">
        <f t="shared" si="37"/>
        <v>7.76</v>
      </c>
      <c r="F261" s="63">
        <f>'Прайс для расчета'!E240</f>
        <v>6237</v>
      </c>
      <c r="G261" s="64">
        <f t="shared" si="35"/>
        <v>48399.119999999995</v>
      </c>
      <c r="I261" s="135">
        <f>'Прайс для расчета (М)'!E240</f>
        <v>3118.5</v>
      </c>
      <c r="J261" s="36">
        <f t="shared" si="36"/>
        <v>24199.559999999998</v>
      </c>
    </row>
    <row r="262" spans="2:10" ht="15.6" hidden="1" x14ac:dyDescent="0.3">
      <c r="B262" s="59"/>
      <c r="C262" s="78" t="s">
        <v>1065</v>
      </c>
      <c r="D262" s="74" t="s">
        <v>2</v>
      </c>
      <c r="E262" s="62">
        <f t="shared" si="37"/>
        <v>7.76</v>
      </c>
      <c r="F262" s="63">
        <f>'Прайс для расчета'!E241</f>
        <v>3622.5</v>
      </c>
      <c r="G262" s="64">
        <f t="shared" si="35"/>
        <v>28110.6</v>
      </c>
      <c r="I262" s="135">
        <f>'Прайс для расчета (М)'!E241</f>
        <v>1811.25</v>
      </c>
      <c r="J262" s="36">
        <f t="shared" si="36"/>
        <v>14055.3</v>
      </c>
    </row>
    <row r="263" spans="2:10" ht="15.6" hidden="1" x14ac:dyDescent="0.3">
      <c r="B263" s="59"/>
      <c r="C263" s="78" t="s">
        <v>1066</v>
      </c>
      <c r="D263" s="74" t="s">
        <v>2</v>
      </c>
      <c r="E263" s="62">
        <f t="shared" si="37"/>
        <v>7.76</v>
      </c>
      <c r="F263" s="63">
        <f>'Прайс для расчета'!E242</f>
        <v>5197.5</v>
      </c>
      <c r="G263" s="64">
        <f t="shared" si="35"/>
        <v>40332.6</v>
      </c>
      <c r="I263" s="135">
        <f>'Прайс для расчета (М)'!E242</f>
        <v>2598.75</v>
      </c>
      <c r="J263" s="36">
        <f t="shared" si="36"/>
        <v>20166.3</v>
      </c>
    </row>
    <row r="264" spans="2:10" ht="15.6" hidden="1" x14ac:dyDescent="0.3">
      <c r="B264" s="59"/>
      <c r="C264" s="78" t="s">
        <v>1067</v>
      </c>
      <c r="D264" s="74" t="s">
        <v>2</v>
      </c>
      <c r="E264" s="62">
        <f t="shared" si="37"/>
        <v>7.76</v>
      </c>
      <c r="F264" s="63">
        <f>'Прайс для расчета'!E243</f>
        <v>3097.5</v>
      </c>
      <c r="G264" s="64">
        <f t="shared" si="35"/>
        <v>24036.6</v>
      </c>
      <c r="I264" s="135">
        <f>'Прайс для расчета (М)'!E243</f>
        <v>1548.75</v>
      </c>
      <c r="J264" s="36">
        <f t="shared" si="36"/>
        <v>12018.3</v>
      </c>
    </row>
    <row r="265" spans="2:10" ht="15.6" x14ac:dyDescent="0.3">
      <c r="B265" s="59">
        <v>1</v>
      </c>
      <c r="C265" s="78" t="s">
        <v>412</v>
      </c>
      <c r="D265" s="74" t="s">
        <v>2</v>
      </c>
      <c r="E265" s="62">
        <f t="shared" si="37"/>
        <v>7.76</v>
      </c>
      <c r="F265" s="63">
        <f>'Прайс для расчета'!E244</f>
        <v>404.25</v>
      </c>
      <c r="G265" s="64">
        <f t="shared" si="35"/>
        <v>3136.98</v>
      </c>
      <c r="I265" s="135">
        <f>'Прайс для расчета (М)'!E244</f>
        <v>202.125</v>
      </c>
      <c r="J265" s="36">
        <f t="shared" si="36"/>
        <v>1568.49</v>
      </c>
    </row>
    <row r="266" spans="2:10" ht="15.6" hidden="1" x14ac:dyDescent="0.3">
      <c r="B266" s="59"/>
      <c r="C266" s="78" t="s">
        <v>937</v>
      </c>
      <c r="D266" s="74" t="s">
        <v>2</v>
      </c>
      <c r="E266" s="62">
        <f t="shared" si="37"/>
        <v>7.76</v>
      </c>
      <c r="F266" s="63">
        <f>'Прайс для расчета'!E245</f>
        <v>1244.25</v>
      </c>
      <c r="G266" s="64">
        <f t="shared" si="35"/>
        <v>9655.3799999999992</v>
      </c>
      <c r="I266" s="135">
        <f>'Прайс для расчета (М)'!E245</f>
        <v>622.125</v>
      </c>
      <c r="J266" s="36">
        <f t="shared" si="36"/>
        <v>4827.6899999999996</v>
      </c>
    </row>
    <row r="267" spans="2:10" ht="15.6" hidden="1" x14ac:dyDescent="0.3">
      <c r="B267" s="59"/>
      <c r="C267" s="78" t="s">
        <v>938</v>
      </c>
      <c r="D267" s="74" t="s">
        <v>2</v>
      </c>
      <c r="E267" s="62">
        <f t="shared" si="37"/>
        <v>7.76</v>
      </c>
      <c r="F267" s="63">
        <f>'Прайс для расчета'!E246</f>
        <v>929.25</v>
      </c>
      <c r="G267" s="64">
        <f t="shared" si="35"/>
        <v>7210.98</v>
      </c>
      <c r="I267" s="135">
        <f>'Прайс для расчета (М)'!E246</f>
        <v>464.625</v>
      </c>
      <c r="J267" s="36">
        <f t="shared" si="36"/>
        <v>3605.49</v>
      </c>
    </row>
    <row r="268" spans="2:10" ht="15.6" x14ac:dyDescent="0.3">
      <c r="B268" s="59">
        <v>1</v>
      </c>
      <c r="C268" s="78" t="s">
        <v>677</v>
      </c>
      <c r="D268" s="74" t="s">
        <v>646</v>
      </c>
      <c r="E268" s="62">
        <f>ROUND(E262/2,0)</f>
        <v>4</v>
      </c>
      <c r="F268" s="63">
        <f>'Прайс для расчета'!E247</f>
        <v>572.25</v>
      </c>
      <c r="G268" s="64">
        <f t="shared" si="35"/>
        <v>2289</v>
      </c>
      <c r="I268" s="135">
        <f>'Прайс для расчета (М)'!E247</f>
        <v>286.125</v>
      </c>
      <c r="J268" s="36">
        <f t="shared" si="36"/>
        <v>1144.5</v>
      </c>
    </row>
    <row r="269" spans="2:10" ht="15.6" hidden="1" x14ac:dyDescent="0.3">
      <c r="B269" s="59"/>
      <c r="C269" s="78" t="s">
        <v>413</v>
      </c>
      <c r="D269" s="74" t="s">
        <v>646</v>
      </c>
      <c r="E269" s="62">
        <f>$A$2</f>
        <v>10.32</v>
      </c>
      <c r="F269" s="63">
        <f>'Прайс для расчета'!E248</f>
        <v>1023.75</v>
      </c>
      <c r="G269" s="64">
        <f t="shared" si="35"/>
        <v>10565.1</v>
      </c>
      <c r="I269" s="135">
        <f>'Прайс для расчета (М)'!E248</f>
        <v>511.875</v>
      </c>
      <c r="J269" s="36">
        <f t="shared" si="36"/>
        <v>5282.55</v>
      </c>
    </row>
    <row r="270" spans="2:10" ht="15.6" hidden="1" x14ac:dyDescent="0.25">
      <c r="B270" s="59"/>
      <c r="C270" s="69" t="s">
        <v>414</v>
      </c>
      <c r="D270" s="61" t="s">
        <v>2</v>
      </c>
      <c r="E270" s="62">
        <f t="shared" ref="E270:E280" si="38">$A$4</f>
        <v>7.76</v>
      </c>
      <c r="F270" s="63">
        <f>'Прайс для расчета'!E249</f>
        <v>715.68</v>
      </c>
      <c r="G270" s="64">
        <f t="shared" si="35"/>
        <v>5553.6767999999993</v>
      </c>
      <c r="I270" s="135">
        <f>'Прайс для расчета (М)'!E249</f>
        <v>357.84</v>
      </c>
      <c r="J270" s="36">
        <f t="shared" si="36"/>
        <v>2776.8383999999996</v>
      </c>
    </row>
    <row r="271" spans="2:10" ht="15.6" hidden="1" x14ac:dyDescent="0.25">
      <c r="B271" s="59"/>
      <c r="C271" s="69" t="s">
        <v>145</v>
      </c>
      <c r="D271" s="61" t="s">
        <v>2</v>
      </c>
      <c r="E271" s="62">
        <f t="shared" si="38"/>
        <v>7.76</v>
      </c>
      <c r="F271" s="63">
        <f>'Прайс для расчета'!E250</f>
        <v>819</v>
      </c>
      <c r="G271" s="64">
        <f t="shared" si="35"/>
        <v>6355.44</v>
      </c>
      <c r="I271" s="135">
        <f>'Прайс для расчета (М)'!E250</f>
        <v>409.5</v>
      </c>
      <c r="J271" s="36">
        <f t="shared" si="36"/>
        <v>3177.72</v>
      </c>
    </row>
    <row r="272" spans="2:10" ht="15.6" hidden="1" x14ac:dyDescent="0.25">
      <c r="B272" s="59"/>
      <c r="C272" s="69" t="s">
        <v>1072</v>
      </c>
      <c r="D272" s="61" t="s">
        <v>2</v>
      </c>
      <c r="E272" s="62">
        <f t="shared" si="38"/>
        <v>7.76</v>
      </c>
      <c r="F272" s="63">
        <f>'Прайс для расчета'!E251</f>
        <v>876.75</v>
      </c>
      <c r="G272" s="64">
        <f t="shared" si="35"/>
        <v>6803.58</v>
      </c>
      <c r="I272" s="135">
        <f>'Прайс для расчета (М)'!E251</f>
        <v>438.375</v>
      </c>
      <c r="J272" s="36">
        <f t="shared" si="36"/>
        <v>3401.79</v>
      </c>
    </row>
    <row r="273" spans="2:10" ht="15.6" hidden="1" x14ac:dyDescent="0.25">
      <c r="B273" s="59"/>
      <c r="C273" s="69" t="s">
        <v>1073</v>
      </c>
      <c r="D273" s="61" t="s">
        <v>2</v>
      </c>
      <c r="E273" s="62">
        <f t="shared" si="38"/>
        <v>7.76</v>
      </c>
      <c r="F273" s="63">
        <f>'Прайс для расчета'!E252</f>
        <v>1097.25</v>
      </c>
      <c r="G273" s="64">
        <f t="shared" si="35"/>
        <v>8514.66</v>
      </c>
      <c r="I273" s="135">
        <f>'Прайс для расчета (М)'!E252</f>
        <v>548.625</v>
      </c>
      <c r="J273" s="36">
        <f t="shared" si="36"/>
        <v>4257.33</v>
      </c>
    </row>
    <row r="274" spans="2:10" ht="15.6" hidden="1" x14ac:dyDescent="0.25">
      <c r="B274" s="59"/>
      <c r="C274" s="69" t="s">
        <v>893</v>
      </c>
      <c r="D274" s="61" t="s">
        <v>2</v>
      </c>
      <c r="E274" s="62">
        <f t="shared" si="38"/>
        <v>7.76</v>
      </c>
      <c r="F274" s="63">
        <f>'Прайс для расчета'!E253</f>
        <v>299.25</v>
      </c>
      <c r="G274" s="64">
        <f t="shared" si="35"/>
        <v>2322.1799999999998</v>
      </c>
      <c r="I274" s="135">
        <f>'Прайс для расчета (М)'!E253</f>
        <v>149.625</v>
      </c>
      <c r="J274" s="36">
        <f t="shared" si="36"/>
        <v>1161.0899999999999</v>
      </c>
    </row>
    <row r="275" spans="2:10" ht="15.6" hidden="1" x14ac:dyDescent="0.25">
      <c r="B275" s="59"/>
      <c r="C275" s="69" t="s">
        <v>415</v>
      </c>
      <c r="D275" s="61" t="s">
        <v>2</v>
      </c>
      <c r="E275" s="62">
        <f t="shared" si="38"/>
        <v>7.76</v>
      </c>
      <c r="F275" s="63">
        <f>'Прайс для расчета'!E254</f>
        <v>1044.75</v>
      </c>
      <c r="G275" s="64">
        <f t="shared" si="35"/>
        <v>8107.26</v>
      </c>
      <c r="I275" s="135">
        <f>'Прайс для расчета (М)'!E254</f>
        <v>522.375</v>
      </c>
      <c r="J275" s="36">
        <f t="shared" si="36"/>
        <v>4053.63</v>
      </c>
    </row>
    <row r="276" spans="2:10" ht="15.6" hidden="1" x14ac:dyDescent="0.25">
      <c r="B276" s="59"/>
      <c r="C276" s="69" t="s">
        <v>519</v>
      </c>
      <c r="D276" s="61" t="s">
        <v>2</v>
      </c>
      <c r="E276" s="62">
        <f t="shared" si="38"/>
        <v>7.76</v>
      </c>
      <c r="F276" s="63">
        <f>'Прайс для расчета'!E255</f>
        <v>1401.75</v>
      </c>
      <c r="G276" s="64">
        <f t="shared" si="35"/>
        <v>10877.58</v>
      </c>
      <c r="I276" s="135">
        <f>'Прайс для расчета (М)'!E255</f>
        <v>700.875</v>
      </c>
      <c r="J276" s="36">
        <f t="shared" si="36"/>
        <v>5438.79</v>
      </c>
    </row>
    <row r="277" spans="2:10" ht="15.6" hidden="1" x14ac:dyDescent="0.25">
      <c r="B277" s="59"/>
      <c r="C277" s="69" t="s">
        <v>891</v>
      </c>
      <c r="D277" s="61" t="s">
        <v>2</v>
      </c>
      <c r="E277" s="62">
        <f t="shared" si="38"/>
        <v>7.76</v>
      </c>
      <c r="F277" s="63">
        <f>'Прайс для расчета'!E256</f>
        <v>2982</v>
      </c>
      <c r="G277" s="64">
        <f t="shared" si="35"/>
        <v>23140.32</v>
      </c>
      <c r="I277" s="135">
        <f>'Прайс для расчета (М)'!E256</f>
        <v>1491</v>
      </c>
      <c r="J277" s="36">
        <f t="shared" si="36"/>
        <v>11570.16</v>
      </c>
    </row>
    <row r="278" spans="2:10" ht="15.6" hidden="1" x14ac:dyDescent="0.25">
      <c r="B278" s="59"/>
      <c r="C278" s="69" t="s">
        <v>416</v>
      </c>
      <c r="D278" s="61" t="s">
        <v>2</v>
      </c>
      <c r="E278" s="62">
        <f t="shared" si="38"/>
        <v>7.76</v>
      </c>
      <c r="F278" s="63">
        <f>'Прайс для расчета'!E257</f>
        <v>1155</v>
      </c>
      <c r="G278" s="64">
        <f t="shared" si="35"/>
        <v>8962.7999999999993</v>
      </c>
      <c r="I278" s="135">
        <f>'Прайс для расчета (М)'!E257</f>
        <v>577.5</v>
      </c>
      <c r="J278" s="36">
        <f t="shared" si="36"/>
        <v>4481.3999999999996</v>
      </c>
    </row>
    <row r="279" spans="2:10" ht="15.6" hidden="1" x14ac:dyDescent="0.25">
      <c r="B279" s="59"/>
      <c r="C279" s="69" t="s">
        <v>149</v>
      </c>
      <c r="D279" s="61" t="s">
        <v>2</v>
      </c>
      <c r="E279" s="62">
        <f t="shared" si="38"/>
        <v>7.76</v>
      </c>
      <c r="F279" s="63">
        <f>'Прайс для расчета'!E258</f>
        <v>441</v>
      </c>
      <c r="G279" s="64">
        <f t="shared" si="35"/>
        <v>3422.16</v>
      </c>
      <c r="I279" s="135">
        <f>'Прайс для расчета (М)'!E258</f>
        <v>220.5</v>
      </c>
      <c r="J279" s="36">
        <f t="shared" si="36"/>
        <v>1711.08</v>
      </c>
    </row>
    <row r="280" spans="2:10" ht="15.6" hidden="1" x14ac:dyDescent="0.25">
      <c r="B280" s="59"/>
      <c r="C280" s="69" t="s">
        <v>150</v>
      </c>
      <c r="D280" s="61" t="s">
        <v>2</v>
      </c>
      <c r="E280" s="62">
        <f t="shared" si="38"/>
        <v>7.76</v>
      </c>
      <c r="F280" s="63">
        <f>'Прайс для расчета'!E259</f>
        <v>514.5</v>
      </c>
      <c r="G280" s="64">
        <f t="shared" si="35"/>
        <v>3992.52</v>
      </c>
      <c r="I280" s="135">
        <f>'Прайс для расчета (М)'!E259</f>
        <v>257.25</v>
      </c>
      <c r="J280" s="36">
        <f t="shared" si="36"/>
        <v>1996.26</v>
      </c>
    </row>
    <row r="281" spans="2:10" ht="15.6" x14ac:dyDescent="0.25">
      <c r="B281" s="59">
        <v>1</v>
      </c>
      <c r="C281" s="69" t="s">
        <v>1167</v>
      </c>
      <c r="D281" s="61" t="s">
        <v>3</v>
      </c>
      <c r="E281" s="62">
        <v>4.2</v>
      </c>
      <c r="F281" s="63">
        <v>445</v>
      </c>
      <c r="G281" s="64">
        <f t="shared" si="35"/>
        <v>1869</v>
      </c>
      <c r="I281" s="135">
        <f>'Прайс для расчета (М)'!E260</f>
        <v>112.35000000000001</v>
      </c>
      <c r="J281" s="36">
        <f t="shared" si="36"/>
        <v>471.87000000000006</v>
      </c>
    </row>
    <row r="282" spans="2:10" ht="15.6" hidden="1" x14ac:dyDescent="0.25">
      <c r="B282" s="59"/>
      <c r="C282" s="69" t="s">
        <v>250</v>
      </c>
      <c r="D282" s="61" t="s">
        <v>3</v>
      </c>
      <c r="E282" s="62">
        <f>$A$2</f>
        <v>10.32</v>
      </c>
      <c r="F282" s="63">
        <f>'Прайс для расчета'!E261</f>
        <v>651</v>
      </c>
      <c r="G282" s="64">
        <f t="shared" si="35"/>
        <v>6718.3200000000006</v>
      </c>
      <c r="I282" s="135">
        <f>'Прайс для расчета (М)'!E261</f>
        <v>325.5</v>
      </c>
      <c r="J282" s="36">
        <f t="shared" si="36"/>
        <v>3359.1600000000003</v>
      </c>
    </row>
    <row r="283" spans="2:10" ht="15.6" hidden="1" x14ac:dyDescent="0.25">
      <c r="B283" s="59"/>
      <c r="C283" s="69" t="s">
        <v>890</v>
      </c>
      <c r="D283" s="61" t="s">
        <v>3</v>
      </c>
      <c r="E283" s="62">
        <f t="shared" ref="E283:E285" si="39">$A$2</f>
        <v>10.32</v>
      </c>
      <c r="F283" s="63">
        <f>'Прайс для расчета'!E262</f>
        <v>834.75</v>
      </c>
      <c r="G283" s="64">
        <f t="shared" si="35"/>
        <v>8614.6200000000008</v>
      </c>
      <c r="I283" s="135">
        <f>'Прайс для расчета (М)'!E262</f>
        <v>417.375</v>
      </c>
      <c r="J283" s="36">
        <f t="shared" si="36"/>
        <v>4307.3100000000004</v>
      </c>
    </row>
    <row r="284" spans="2:10" ht="15.6" hidden="1" x14ac:dyDescent="0.25">
      <c r="B284" s="59"/>
      <c r="C284" s="69" t="s">
        <v>418</v>
      </c>
      <c r="D284" s="61" t="s">
        <v>0</v>
      </c>
      <c r="E284" s="62">
        <f t="shared" si="39"/>
        <v>10.32</v>
      </c>
      <c r="F284" s="63">
        <f>'Прайс для расчета'!E263</f>
        <v>787.5</v>
      </c>
      <c r="G284" s="64">
        <f t="shared" si="35"/>
        <v>8127</v>
      </c>
      <c r="I284" s="135">
        <f>'Прайс для расчета (М)'!E263</f>
        <v>393.75</v>
      </c>
      <c r="J284" s="36">
        <f t="shared" si="36"/>
        <v>4063.5</v>
      </c>
    </row>
    <row r="285" spans="2:10" ht="15.6" hidden="1" x14ac:dyDescent="0.25">
      <c r="B285" s="59"/>
      <c r="C285" s="69" t="s">
        <v>137</v>
      </c>
      <c r="D285" s="61" t="s">
        <v>0</v>
      </c>
      <c r="E285" s="62">
        <f t="shared" si="39"/>
        <v>10.32</v>
      </c>
      <c r="F285" s="63">
        <f>'Прайс для расчета'!E264</f>
        <v>2551.5</v>
      </c>
      <c r="G285" s="64">
        <f t="shared" si="35"/>
        <v>26331.48</v>
      </c>
      <c r="I285" s="135">
        <f>'Прайс для расчета (М)'!E264</f>
        <v>1275.75</v>
      </c>
      <c r="J285" s="36">
        <f t="shared" si="36"/>
        <v>13165.74</v>
      </c>
    </row>
    <row r="286" spans="2:10" ht="15.6" hidden="1" x14ac:dyDescent="0.25">
      <c r="B286" s="59"/>
      <c r="C286" s="69" t="s">
        <v>520</v>
      </c>
      <c r="D286" s="61" t="s">
        <v>3</v>
      </c>
      <c r="E286" s="62">
        <f>$A$2</f>
        <v>10.32</v>
      </c>
      <c r="F286" s="63">
        <f>'Прайс для расчета'!E265</f>
        <v>152.25</v>
      </c>
      <c r="G286" s="64">
        <f t="shared" si="35"/>
        <v>1571.22</v>
      </c>
      <c r="I286" s="135">
        <f>'Прайс для расчета (М)'!E265</f>
        <v>76.125</v>
      </c>
      <c r="J286" s="36">
        <f t="shared" si="36"/>
        <v>785.61</v>
      </c>
    </row>
    <row r="287" spans="2:10" ht="15.6" x14ac:dyDescent="0.25">
      <c r="B287" s="59">
        <f>IF(SUM(B288:B311)&gt;0,1,0)</f>
        <v>1</v>
      </c>
      <c r="C287" s="67" t="s">
        <v>878</v>
      </c>
      <c r="D287" s="61"/>
      <c r="E287" s="62"/>
      <c r="F287" s="63"/>
      <c r="G287" s="64"/>
    </row>
    <row r="288" spans="2:10" ht="15.6" hidden="1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0">F288*E288</f>
        <v>#REF!</v>
      </c>
      <c r="I288" s="135">
        <f>'Прайс для расчета (М)'!E276</f>
        <v>2192.4</v>
      </c>
      <c r="J288" s="36" t="e">
        <f t="shared" ref="J288:J311" si="41">I288*E288</f>
        <v>#REF!</v>
      </c>
    </row>
    <row r="289" spans="2:10" ht="15.6" hidden="1" x14ac:dyDescent="0.25">
      <c r="B289" s="59"/>
      <c r="C289" s="69" t="s">
        <v>270</v>
      </c>
      <c r="D289" s="61" t="s">
        <v>2</v>
      </c>
      <c r="E289" s="62" t="e">
        <f t="shared" ref="E289:E305" si="42">$A$6</f>
        <v>#REF!</v>
      </c>
      <c r="F289" s="63">
        <f>'Прайс для расчета'!E287</f>
        <v>2220.75</v>
      </c>
      <c r="G289" s="64" t="e">
        <f t="shared" si="40"/>
        <v>#REF!</v>
      </c>
      <c r="I289" s="135">
        <f>'Прайс для расчета (М)'!E287</f>
        <v>1110.375</v>
      </c>
      <c r="J289" s="36" t="e">
        <f t="shared" si="41"/>
        <v>#REF!</v>
      </c>
    </row>
    <row r="290" spans="2:10" ht="15.6" hidden="1" x14ac:dyDescent="0.25">
      <c r="B290" s="59"/>
      <c r="C290" s="69" t="s">
        <v>524</v>
      </c>
      <c r="D290" s="61" t="s">
        <v>2</v>
      </c>
      <c r="E290" s="62" t="e">
        <f t="shared" si="42"/>
        <v>#REF!</v>
      </c>
      <c r="F290" s="63">
        <f>'Прайс для расчета'!E288</f>
        <v>2577.75</v>
      </c>
      <c r="G290" s="64" t="e">
        <f t="shared" si="40"/>
        <v>#REF!</v>
      </c>
      <c r="I290" s="135">
        <f>'Прайс для расчета (М)'!E288</f>
        <v>1288.875</v>
      </c>
      <c r="J290" s="36" t="e">
        <f t="shared" si="41"/>
        <v>#REF!</v>
      </c>
    </row>
    <row r="291" spans="2:10" ht="15.6" hidden="1" x14ac:dyDescent="0.25">
      <c r="B291" s="59"/>
      <c r="C291" s="69" t="s">
        <v>525</v>
      </c>
      <c r="D291" s="61" t="s">
        <v>2</v>
      </c>
      <c r="E291" s="62" t="e">
        <f t="shared" si="42"/>
        <v>#REF!</v>
      </c>
      <c r="F291" s="63">
        <f>'Прайс для расчета'!E289</f>
        <v>1291.5</v>
      </c>
      <c r="G291" s="64" t="e">
        <f t="shared" si="40"/>
        <v>#REF!</v>
      </c>
      <c r="I291" s="135">
        <f>'Прайс для расчета (М)'!E289</f>
        <v>645.75</v>
      </c>
      <c r="J291" s="36" t="e">
        <f t="shared" si="41"/>
        <v>#REF!</v>
      </c>
    </row>
    <row r="292" spans="2:10" ht="15.6" hidden="1" x14ac:dyDescent="0.25">
      <c r="B292" s="59"/>
      <c r="C292" s="69" t="s">
        <v>526</v>
      </c>
      <c r="D292" s="61" t="s">
        <v>2</v>
      </c>
      <c r="E292" s="62" t="e">
        <f t="shared" si="42"/>
        <v>#REF!</v>
      </c>
      <c r="F292" s="63">
        <f>'Прайс для расчета'!E290</f>
        <v>1186.5</v>
      </c>
      <c r="G292" s="64" t="e">
        <f t="shared" si="40"/>
        <v>#REF!</v>
      </c>
      <c r="I292" s="135">
        <f>'Прайс для расчета (М)'!E290</f>
        <v>593.25</v>
      </c>
      <c r="J292" s="36" t="e">
        <f t="shared" si="41"/>
        <v>#REF!</v>
      </c>
    </row>
    <row r="293" spans="2:10" ht="15.6" hidden="1" x14ac:dyDescent="0.25">
      <c r="B293" s="59"/>
      <c r="C293" s="69" t="s">
        <v>271</v>
      </c>
      <c r="D293" s="61" t="s">
        <v>3</v>
      </c>
      <c r="E293" s="62" t="e">
        <f t="shared" si="42"/>
        <v>#REF!</v>
      </c>
      <c r="F293" s="63">
        <f>'Прайс для расчета'!E291</f>
        <v>761.25</v>
      </c>
      <c r="G293" s="64" t="e">
        <f t="shared" si="40"/>
        <v>#REF!</v>
      </c>
      <c r="I293" s="135">
        <f>'Прайс для расчета (М)'!E291</f>
        <v>380.625</v>
      </c>
      <c r="J293" s="36" t="e">
        <f t="shared" si="41"/>
        <v>#REF!</v>
      </c>
    </row>
    <row r="294" spans="2:10" ht="15.6" hidden="1" x14ac:dyDescent="0.25">
      <c r="B294" s="59"/>
      <c r="C294" s="69" t="s">
        <v>962</v>
      </c>
      <c r="D294" s="61" t="s">
        <v>3</v>
      </c>
      <c r="E294" s="62" t="e">
        <f t="shared" si="42"/>
        <v>#REF!</v>
      </c>
      <c r="F294" s="63">
        <f>'Прайс для расчета'!E292</f>
        <v>519.75</v>
      </c>
      <c r="G294" s="64" t="e">
        <f t="shared" si="40"/>
        <v>#REF!</v>
      </c>
      <c r="I294" s="135">
        <f>'Прайс для расчета (М)'!E292</f>
        <v>259.875</v>
      </c>
      <c r="J294" s="36" t="e">
        <f t="shared" si="41"/>
        <v>#REF!</v>
      </c>
    </row>
    <row r="295" spans="2:10" ht="15.6" hidden="1" x14ac:dyDescent="0.25">
      <c r="B295" s="59"/>
      <c r="C295" s="69" t="s">
        <v>963</v>
      </c>
      <c r="D295" s="61" t="s">
        <v>3</v>
      </c>
      <c r="E295" s="62" t="e">
        <f t="shared" si="42"/>
        <v>#REF!</v>
      </c>
      <c r="F295" s="63">
        <f>'Прайс для расчета'!E293</f>
        <v>824.25</v>
      </c>
      <c r="G295" s="64" t="e">
        <f t="shared" si="40"/>
        <v>#REF!</v>
      </c>
      <c r="I295" s="135">
        <f>'Прайс для расчета (М)'!E293</f>
        <v>412.125</v>
      </c>
      <c r="J295" s="36" t="e">
        <f t="shared" si="41"/>
        <v>#REF!</v>
      </c>
    </row>
    <row r="296" spans="2:10" ht="15.6" hidden="1" x14ac:dyDescent="0.25">
      <c r="B296" s="59"/>
      <c r="C296" s="69" t="s">
        <v>527</v>
      </c>
      <c r="D296" s="61" t="s">
        <v>2</v>
      </c>
      <c r="E296" s="62" t="e">
        <f t="shared" si="42"/>
        <v>#REF!</v>
      </c>
      <c r="F296" s="63">
        <f>'Прайс для расчета'!E294</f>
        <v>1732.5</v>
      </c>
      <c r="G296" s="64" t="e">
        <f t="shared" si="40"/>
        <v>#REF!</v>
      </c>
      <c r="I296" s="135">
        <f>'Прайс для расчета (М)'!E294</f>
        <v>866.25</v>
      </c>
      <c r="J296" s="36" t="e">
        <f t="shared" si="41"/>
        <v>#REF!</v>
      </c>
    </row>
    <row r="297" spans="2:10" ht="15.6" hidden="1" x14ac:dyDescent="0.25">
      <c r="B297" s="59"/>
      <c r="C297" s="69" t="s">
        <v>678</v>
      </c>
      <c r="D297" s="61" t="s">
        <v>2</v>
      </c>
      <c r="E297" s="62" t="e">
        <f t="shared" si="42"/>
        <v>#REF!</v>
      </c>
      <c r="F297" s="63">
        <f>'Прайс для расчета'!E296</f>
        <v>3097.5</v>
      </c>
      <c r="G297" s="64" t="e">
        <f t="shared" si="40"/>
        <v>#REF!</v>
      </c>
      <c r="I297" s="135">
        <f>'Прайс для расчета (М)'!E296</f>
        <v>1548.75</v>
      </c>
      <c r="J297" s="36" t="e">
        <f t="shared" si="41"/>
        <v>#REF!</v>
      </c>
    </row>
    <row r="298" spans="2:10" ht="15.6" hidden="1" x14ac:dyDescent="0.25">
      <c r="B298" s="59"/>
      <c r="C298" s="69" t="s">
        <v>680</v>
      </c>
      <c r="D298" s="61" t="s">
        <v>2</v>
      </c>
      <c r="E298" s="62" t="e">
        <f t="shared" si="42"/>
        <v>#REF!</v>
      </c>
      <c r="F298" s="63">
        <f>'Прайс для расчета'!E310</f>
        <v>5040</v>
      </c>
      <c r="G298" s="64" t="e">
        <f t="shared" si="40"/>
        <v>#REF!</v>
      </c>
      <c r="I298" s="135">
        <f>'Прайс для расчета (М)'!E310</f>
        <v>2520</v>
      </c>
      <c r="J298" s="36" t="e">
        <f t="shared" si="41"/>
        <v>#REF!</v>
      </c>
    </row>
    <row r="299" spans="2:10" ht="15.6" hidden="1" x14ac:dyDescent="0.25">
      <c r="B299" s="59"/>
      <c r="C299" s="69" t="s">
        <v>679</v>
      </c>
      <c r="D299" s="61" t="s">
        <v>2</v>
      </c>
      <c r="E299" s="62" t="e">
        <f t="shared" si="42"/>
        <v>#REF!</v>
      </c>
      <c r="F299" s="63">
        <f>'Прайс для расчета'!E297</f>
        <v>1044.75</v>
      </c>
      <c r="G299" s="64" t="e">
        <f t="shared" si="40"/>
        <v>#REF!</v>
      </c>
      <c r="I299" s="135">
        <f>'Прайс для расчета (М)'!E297</f>
        <v>522.375</v>
      </c>
      <c r="J299" s="36" t="e">
        <f t="shared" si="41"/>
        <v>#REF!</v>
      </c>
    </row>
    <row r="300" spans="2:10" ht="15.6" hidden="1" x14ac:dyDescent="0.25">
      <c r="B300" s="59"/>
      <c r="C300" s="69" t="s">
        <v>895</v>
      </c>
      <c r="D300" s="61" t="s">
        <v>2</v>
      </c>
      <c r="E300" s="62" t="e">
        <f t="shared" si="42"/>
        <v>#REF!</v>
      </c>
      <c r="F300" s="63">
        <f>'Прайс для расчета'!E298</f>
        <v>593.25</v>
      </c>
      <c r="G300" s="64" t="e">
        <f t="shared" si="40"/>
        <v>#REF!</v>
      </c>
      <c r="I300" s="135">
        <f>'Прайс для расчета (М)'!E298</f>
        <v>296.625</v>
      </c>
      <c r="J300" s="36" t="e">
        <f t="shared" si="41"/>
        <v>#REF!</v>
      </c>
    </row>
    <row r="301" spans="2:10" ht="15.6" hidden="1" x14ac:dyDescent="0.25">
      <c r="B301" s="59"/>
      <c r="C301" s="69" t="s">
        <v>947</v>
      </c>
      <c r="D301" s="61" t="s">
        <v>2</v>
      </c>
      <c r="E301" s="62" t="e">
        <f t="shared" si="42"/>
        <v>#REF!</v>
      </c>
      <c r="F301" s="63">
        <f>'Прайс для расчета'!E299</f>
        <v>635.25</v>
      </c>
      <c r="G301" s="64" t="e">
        <f t="shared" si="40"/>
        <v>#REF!</v>
      </c>
      <c r="I301" s="135">
        <f>'Прайс для расчета (М)'!E299</f>
        <v>317.625</v>
      </c>
      <c r="J301" s="36" t="e">
        <f t="shared" si="41"/>
        <v>#REF!</v>
      </c>
    </row>
    <row r="302" spans="2:10" ht="31.2" hidden="1" x14ac:dyDescent="0.25">
      <c r="B302" s="59"/>
      <c r="C302" s="69" t="s">
        <v>1074</v>
      </c>
      <c r="D302" s="86" t="s">
        <v>2</v>
      </c>
      <c r="E302" s="62" t="e">
        <f t="shared" si="42"/>
        <v>#REF!</v>
      </c>
      <c r="F302" s="63">
        <f>'Прайс для расчета'!E300</f>
        <v>1181.25</v>
      </c>
      <c r="G302" s="64" t="e">
        <f t="shared" si="40"/>
        <v>#REF!</v>
      </c>
      <c r="I302" s="135">
        <f>'Прайс для расчета (М)'!E300</f>
        <v>590.625</v>
      </c>
      <c r="J302" s="36" t="e">
        <f t="shared" si="41"/>
        <v>#REF!</v>
      </c>
    </row>
    <row r="303" spans="2:10" ht="15.6" hidden="1" x14ac:dyDescent="0.25">
      <c r="B303" s="59"/>
      <c r="C303" s="69" t="s">
        <v>896</v>
      </c>
      <c r="D303" s="61" t="s">
        <v>2</v>
      </c>
      <c r="E303" s="62" t="e">
        <f t="shared" si="42"/>
        <v>#REF!</v>
      </c>
      <c r="F303" s="63">
        <f>'Прайс для расчета'!E301</f>
        <v>635.25</v>
      </c>
      <c r="G303" s="64" t="e">
        <f t="shared" si="40"/>
        <v>#REF!</v>
      </c>
      <c r="I303" s="135">
        <f>'Прайс для расчета (М)'!E301</f>
        <v>317.625</v>
      </c>
      <c r="J303" s="36" t="e">
        <f t="shared" si="41"/>
        <v>#REF!</v>
      </c>
    </row>
    <row r="304" spans="2:10" ht="15.6" x14ac:dyDescent="0.25">
      <c r="B304" s="59">
        <v>1</v>
      </c>
      <c r="C304" s="69" t="s">
        <v>897</v>
      </c>
      <c r="D304" s="61" t="s">
        <v>2</v>
      </c>
      <c r="E304" s="62">
        <v>16.72</v>
      </c>
      <c r="F304" s="63">
        <f>'Прайс для расчета'!E302</f>
        <v>498.75</v>
      </c>
      <c r="G304" s="64">
        <f t="shared" si="40"/>
        <v>8339.0999999999985</v>
      </c>
      <c r="I304" s="135">
        <f>'Прайс для расчета (М)'!E302</f>
        <v>249.375</v>
      </c>
      <c r="J304" s="36">
        <f t="shared" si="41"/>
        <v>4169.5499999999993</v>
      </c>
    </row>
    <row r="305" spans="2:10" ht="15.6" hidden="1" x14ac:dyDescent="0.25">
      <c r="B305" s="59"/>
      <c r="C305" s="69" t="s">
        <v>898</v>
      </c>
      <c r="D305" s="61" t="s">
        <v>3</v>
      </c>
      <c r="E305" s="62" t="e">
        <f t="shared" si="42"/>
        <v>#REF!</v>
      </c>
      <c r="F305" s="63">
        <f>'Прайс для расчета'!E303</f>
        <v>183.75</v>
      </c>
      <c r="G305" s="64" t="e">
        <f t="shared" si="40"/>
        <v>#REF!</v>
      </c>
      <c r="I305" s="135">
        <f>'Прайс для расчета (М)'!E303</f>
        <v>91.875</v>
      </c>
      <c r="J305" s="36" t="e">
        <f t="shared" si="41"/>
        <v>#REF!</v>
      </c>
    </row>
    <row r="306" spans="2:10" ht="15.6" hidden="1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0"/>
        <v>#REF!</v>
      </c>
      <c r="I306" s="135">
        <f>'Прайс для расчета (М)'!E304</f>
        <v>590.625</v>
      </c>
      <c r="J306" s="36" t="e">
        <f t="shared" si="41"/>
        <v>#REF!</v>
      </c>
    </row>
    <row r="307" spans="2:10" ht="15.6" hidden="1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0"/>
        <v>#REF!</v>
      </c>
      <c r="I307" s="135">
        <f>'Прайс для расчета (М)'!E305</f>
        <v>527.625</v>
      </c>
      <c r="J307" s="36" t="e">
        <f t="shared" si="41"/>
        <v>#REF!</v>
      </c>
    </row>
    <row r="308" spans="2:10" ht="15.6" hidden="1" x14ac:dyDescent="0.25">
      <c r="B308" s="59"/>
      <c r="C308" s="69" t="s">
        <v>528</v>
      </c>
      <c r="D308" s="61" t="s">
        <v>2</v>
      </c>
      <c r="E308" s="62" t="e">
        <f t="shared" ref="E308" si="43">$A$6</f>
        <v>#REF!</v>
      </c>
      <c r="F308" s="63">
        <f>'Прайс для расчета'!E306</f>
        <v>3990</v>
      </c>
      <c r="G308" s="64" t="e">
        <f t="shared" si="40"/>
        <v>#REF!</v>
      </c>
      <c r="I308" s="135">
        <f>'Прайс для расчета (М)'!E306</f>
        <v>1995</v>
      </c>
      <c r="J308" s="36" t="e">
        <f t="shared" si="41"/>
        <v>#REF!</v>
      </c>
    </row>
    <row r="309" spans="2:10" ht="15.6" hidden="1" x14ac:dyDescent="0.25">
      <c r="B309" s="59"/>
      <c r="C309" s="69" t="s">
        <v>429</v>
      </c>
      <c r="D309" s="61" t="s">
        <v>2</v>
      </c>
      <c r="E309" s="62">
        <v>16.715</v>
      </c>
      <c r="F309" s="63">
        <f>'Прайс для расчета'!E307</f>
        <v>472.5</v>
      </c>
      <c r="G309" s="64">
        <f t="shared" si="40"/>
        <v>7897.8374999999996</v>
      </c>
      <c r="I309" s="135">
        <f>'Прайс для расчета (М)'!E307</f>
        <v>236.25</v>
      </c>
      <c r="J309" s="36">
        <f t="shared" si="41"/>
        <v>3948.9187499999998</v>
      </c>
    </row>
    <row r="310" spans="2:10" ht="15.6" hidden="1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0"/>
        <v>#REF!</v>
      </c>
      <c r="I310" s="135">
        <f>'Прайс для расчета (М)'!E308</f>
        <v>393.75</v>
      </c>
      <c r="J310" s="36" t="e">
        <f t="shared" si="41"/>
        <v>#REF!</v>
      </c>
    </row>
    <row r="311" spans="2:10" ht="15.6" x14ac:dyDescent="0.25">
      <c r="B311" s="59">
        <v>1</v>
      </c>
      <c r="C311" s="69" t="s">
        <v>430</v>
      </c>
      <c r="D311" s="61" t="s">
        <v>2</v>
      </c>
      <c r="E311" s="62">
        <v>16.72</v>
      </c>
      <c r="F311" s="63">
        <f>'Прайс для расчета'!E309</f>
        <v>420</v>
      </c>
      <c r="G311" s="64">
        <f t="shared" si="40"/>
        <v>7022.4</v>
      </c>
      <c r="I311" s="135">
        <f>'Прайс для расчета (М)'!E309</f>
        <v>210</v>
      </c>
      <c r="J311" s="36">
        <f t="shared" si="41"/>
        <v>3511.2</v>
      </c>
    </row>
    <row r="312" spans="2:10" ht="15.6" hidden="1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hidden="1" x14ac:dyDescent="0.25">
      <c r="B313" s="59"/>
      <c r="C313" s="65" t="s">
        <v>431</v>
      </c>
      <c r="D313" s="61" t="s">
        <v>3</v>
      </c>
      <c r="E313" s="62">
        <f>E210</f>
        <v>5</v>
      </c>
      <c r="F313" s="63">
        <f>'Прайс для расчета'!E311</f>
        <v>315</v>
      </c>
      <c r="G313" s="64">
        <f t="shared" ref="G313:G319" si="44">F313*E313</f>
        <v>1575</v>
      </c>
      <c r="I313" s="135">
        <f>'Прайс для расчета (М)'!E311</f>
        <v>157.5</v>
      </c>
      <c r="J313" s="36">
        <f t="shared" ref="J313:J319" si="45">I313*E313</f>
        <v>787.5</v>
      </c>
    </row>
    <row r="314" spans="2:10" ht="15.6" hidden="1" x14ac:dyDescent="0.25">
      <c r="B314" s="59"/>
      <c r="C314" s="65" t="s">
        <v>432</v>
      </c>
      <c r="D314" s="61" t="s">
        <v>3</v>
      </c>
      <c r="E314" s="62">
        <f>E210</f>
        <v>5</v>
      </c>
      <c r="F314" s="63">
        <f>'Прайс для расчета'!E312</f>
        <v>367.5</v>
      </c>
      <c r="G314" s="64">
        <f t="shared" si="44"/>
        <v>1837.5</v>
      </c>
      <c r="I314" s="135">
        <f>'Прайс для расчета (М)'!E312</f>
        <v>183.75</v>
      </c>
      <c r="J314" s="36">
        <f t="shared" si="45"/>
        <v>918.75</v>
      </c>
    </row>
    <row r="315" spans="2:10" ht="15.6" hidden="1" x14ac:dyDescent="0.25">
      <c r="B315" s="59"/>
      <c r="C315" s="65" t="s">
        <v>115</v>
      </c>
      <c r="D315" s="61" t="s">
        <v>3</v>
      </c>
      <c r="E315" s="62">
        <f>E210</f>
        <v>5</v>
      </c>
      <c r="F315" s="63">
        <f>'Прайс для расчета'!E313</f>
        <v>194.25</v>
      </c>
      <c r="G315" s="64">
        <f t="shared" si="44"/>
        <v>971.25</v>
      </c>
      <c r="I315" s="135">
        <f>'Прайс для расчета (М)'!E313</f>
        <v>97.125</v>
      </c>
      <c r="J315" s="36">
        <f t="shared" si="45"/>
        <v>485.625</v>
      </c>
    </row>
    <row r="316" spans="2:10" ht="15.6" hidden="1" x14ac:dyDescent="0.25">
      <c r="B316" s="59"/>
      <c r="C316" s="65" t="s">
        <v>433</v>
      </c>
      <c r="D316" s="61" t="s">
        <v>3</v>
      </c>
      <c r="E316" s="62">
        <f>E210</f>
        <v>5</v>
      </c>
      <c r="F316" s="63">
        <f>'Прайс для расчета'!E314</f>
        <v>735</v>
      </c>
      <c r="G316" s="64">
        <f t="shared" si="44"/>
        <v>3675</v>
      </c>
      <c r="I316" s="135">
        <f>'Прайс для расчета (М)'!E314</f>
        <v>367.5</v>
      </c>
      <c r="J316" s="36">
        <f t="shared" si="45"/>
        <v>1837.5</v>
      </c>
    </row>
    <row r="317" spans="2:10" ht="15.6" hidden="1" x14ac:dyDescent="0.25">
      <c r="B317" s="59"/>
      <c r="C317" s="65" t="s">
        <v>434</v>
      </c>
      <c r="D317" s="61" t="s">
        <v>3</v>
      </c>
      <c r="E317" s="62">
        <f>E210</f>
        <v>5</v>
      </c>
      <c r="F317" s="63">
        <f>'Прайс для расчета'!E315</f>
        <v>1349.25</v>
      </c>
      <c r="G317" s="64">
        <f t="shared" si="44"/>
        <v>6746.25</v>
      </c>
      <c r="I317" s="135">
        <f>'Прайс для расчета (М)'!E315</f>
        <v>674.625</v>
      </c>
      <c r="J317" s="36">
        <f t="shared" si="45"/>
        <v>3373.125</v>
      </c>
    </row>
    <row r="318" spans="2:10" ht="15.6" hidden="1" x14ac:dyDescent="0.25">
      <c r="B318" s="59"/>
      <c r="C318" s="65" t="s">
        <v>1075</v>
      </c>
      <c r="D318" s="61" t="s">
        <v>3</v>
      </c>
      <c r="E318" s="62">
        <f>E210</f>
        <v>5</v>
      </c>
      <c r="F318" s="63">
        <f>'Прайс для расчета'!E316</f>
        <v>0</v>
      </c>
      <c r="G318" s="64">
        <f t="shared" si="44"/>
        <v>0</v>
      </c>
      <c r="I318" s="135">
        <f>'Прайс для расчета (М)'!E316</f>
        <v>0</v>
      </c>
      <c r="J318" s="36">
        <f t="shared" si="45"/>
        <v>0</v>
      </c>
    </row>
    <row r="319" spans="2:10" ht="15.6" hidden="1" x14ac:dyDescent="0.25">
      <c r="B319" s="59"/>
      <c r="C319" s="65" t="s">
        <v>435</v>
      </c>
      <c r="D319" s="61" t="s">
        <v>3</v>
      </c>
      <c r="E319" s="62">
        <f>E318</f>
        <v>5</v>
      </c>
      <c r="F319" s="63">
        <f>'Прайс для расчета'!E317</f>
        <v>1464.75</v>
      </c>
      <c r="G319" s="64">
        <f t="shared" si="44"/>
        <v>7323.75</v>
      </c>
      <c r="I319" s="135">
        <f>'Прайс для расчета (М)'!E317</f>
        <v>732.375</v>
      </c>
      <c r="J319" s="36">
        <f t="shared" si="45"/>
        <v>3661.875</v>
      </c>
    </row>
    <row r="320" spans="2:10" ht="15.6" hidden="1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hidden="1" x14ac:dyDescent="0.25">
      <c r="B321" s="59"/>
      <c r="C321" s="65" t="s">
        <v>436</v>
      </c>
      <c r="D321" s="61" t="s">
        <v>2</v>
      </c>
      <c r="E321" s="62">
        <f>$A$4</f>
        <v>7.76</v>
      </c>
      <c r="F321" s="63">
        <f>'Прайс для расчета'!E318</f>
        <v>577.5</v>
      </c>
      <c r="G321" s="64">
        <f t="shared" ref="G321:G333" si="46">F321*E321</f>
        <v>4481.3999999999996</v>
      </c>
      <c r="I321" s="135">
        <f>'Прайс для расчета (М)'!E318</f>
        <v>288.75</v>
      </c>
      <c r="J321" s="36">
        <f t="shared" ref="J321:J333" si="47">I321*E321</f>
        <v>2240.6999999999998</v>
      </c>
    </row>
    <row r="322" spans="2:10" ht="15.6" hidden="1" x14ac:dyDescent="0.25">
      <c r="B322" s="59"/>
      <c r="C322" s="65" t="s">
        <v>437</v>
      </c>
      <c r="D322" s="61" t="s">
        <v>2</v>
      </c>
      <c r="E322" s="62">
        <f>$A$4</f>
        <v>7.76</v>
      </c>
      <c r="F322" s="63">
        <f>'Прайс для расчета'!E319</f>
        <v>1396.5</v>
      </c>
      <c r="G322" s="64">
        <f t="shared" si="46"/>
        <v>10836.84</v>
      </c>
      <c r="I322" s="135">
        <f>'Прайс для расчета (М)'!E319</f>
        <v>698.25</v>
      </c>
      <c r="J322" s="36">
        <f t="shared" si="47"/>
        <v>5418.42</v>
      </c>
    </row>
    <row r="323" spans="2:10" ht="15.6" hidden="1" x14ac:dyDescent="0.25">
      <c r="B323" s="59"/>
      <c r="C323" s="65" t="s">
        <v>438</v>
      </c>
      <c r="D323" s="61" t="s">
        <v>2</v>
      </c>
      <c r="E323" s="62">
        <f>$A$4</f>
        <v>7.76</v>
      </c>
      <c r="F323" s="63">
        <f>'Прайс для расчета'!E320</f>
        <v>1291.5</v>
      </c>
      <c r="G323" s="64">
        <f t="shared" si="46"/>
        <v>10022.039999999999</v>
      </c>
      <c r="I323" s="135">
        <f>'Прайс для расчета (М)'!E320</f>
        <v>645.75</v>
      </c>
      <c r="J323" s="36">
        <f t="shared" si="47"/>
        <v>5011.0199999999995</v>
      </c>
    </row>
    <row r="324" spans="2:10" ht="15.6" hidden="1" x14ac:dyDescent="0.25">
      <c r="B324" s="59"/>
      <c r="C324" s="65" t="s">
        <v>439</v>
      </c>
      <c r="D324" s="61" t="s">
        <v>2</v>
      </c>
      <c r="E324" s="62">
        <f>$A$4</f>
        <v>7.76</v>
      </c>
      <c r="F324" s="63">
        <f>'Прайс для расчета'!E321</f>
        <v>1386</v>
      </c>
      <c r="G324" s="64">
        <f t="shared" si="46"/>
        <v>10755.36</v>
      </c>
      <c r="I324" s="135">
        <f>'Прайс для расчета (М)'!E321</f>
        <v>693</v>
      </c>
      <c r="J324" s="36">
        <f t="shared" si="47"/>
        <v>5377.68</v>
      </c>
    </row>
    <row r="325" spans="2:10" ht="15.6" hidden="1" x14ac:dyDescent="0.25">
      <c r="B325" s="59"/>
      <c r="C325" s="65" t="s">
        <v>440</v>
      </c>
      <c r="D325" s="61" t="s">
        <v>2</v>
      </c>
      <c r="E325" s="62">
        <f>$A$4</f>
        <v>7.76</v>
      </c>
      <c r="F325" s="63">
        <f>'Прайс для расчета'!E322</f>
        <v>1281</v>
      </c>
      <c r="G325" s="64">
        <f t="shared" si="46"/>
        <v>9940.56</v>
      </c>
      <c r="I325" s="135">
        <f>'Прайс для расчета (М)'!E322</f>
        <v>640.5</v>
      </c>
      <c r="J325" s="36">
        <f t="shared" si="47"/>
        <v>4970.28</v>
      </c>
    </row>
    <row r="326" spans="2:10" ht="15.6" hidden="1" x14ac:dyDescent="0.25">
      <c r="B326" s="59"/>
      <c r="C326" s="65" t="s">
        <v>441</v>
      </c>
      <c r="D326" s="61" t="s">
        <v>645</v>
      </c>
      <c r="E326" s="62">
        <f>$A$2</f>
        <v>10.32</v>
      </c>
      <c r="F326" s="63">
        <f>'Прайс для расчета'!E323</f>
        <v>330.75</v>
      </c>
      <c r="G326" s="64">
        <f t="shared" si="46"/>
        <v>3413.34</v>
      </c>
      <c r="I326" s="135">
        <f>'Прайс для расчета (М)'!E323</f>
        <v>165.375</v>
      </c>
      <c r="J326" s="36">
        <f t="shared" si="47"/>
        <v>1706.67</v>
      </c>
    </row>
    <row r="327" spans="2:10" ht="15.6" hidden="1" x14ac:dyDescent="0.25">
      <c r="B327" s="59"/>
      <c r="C327" s="65" t="s">
        <v>531</v>
      </c>
      <c r="D327" s="61" t="s">
        <v>645</v>
      </c>
      <c r="E327" s="62">
        <f>$A$2</f>
        <v>10.32</v>
      </c>
      <c r="F327" s="63">
        <f>'Прайс для расчета'!E324</f>
        <v>866.25</v>
      </c>
      <c r="G327" s="64">
        <f t="shared" si="46"/>
        <v>8939.7000000000007</v>
      </c>
      <c r="I327" s="135">
        <f>'Прайс для расчета (М)'!E324</f>
        <v>433.125</v>
      </c>
      <c r="J327" s="36">
        <f t="shared" si="47"/>
        <v>4469.8500000000004</v>
      </c>
    </row>
    <row r="328" spans="2:10" ht="15.6" hidden="1" x14ac:dyDescent="0.25">
      <c r="B328" s="59"/>
      <c r="C328" s="65" t="s">
        <v>532</v>
      </c>
      <c r="D328" s="61" t="s">
        <v>645</v>
      </c>
      <c r="E328" s="62">
        <f>$A$2</f>
        <v>10.32</v>
      </c>
      <c r="F328" s="63">
        <f>'Прайс для расчета'!E325</f>
        <v>1097.376</v>
      </c>
      <c r="G328" s="64">
        <f t="shared" si="46"/>
        <v>11324.920319999999</v>
      </c>
      <c r="I328" s="135">
        <f>'Прайс для расчета (М)'!E325</f>
        <v>548.68799999999999</v>
      </c>
      <c r="J328" s="36">
        <f t="shared" si="47"/>
        <v>5662.4601599999996</v>
      </c>
    </row>
    <row r="329" spans="2:10" ht="15.6" hidden="1" x14ac:dyDescent="0.25">
      <c r="B329" s="59"/>
      <c r="C329" s="65" t="s">
        <v>533</v>
      </c>
      <c r="D329" s="61" t="s">
        <v>645</v>
      </c>
      <c r="E329" s="62">
        <f>$A$2</f>
        <v>10.32</v>
      </c>
      <c r="F329" s="63">
        <f>'Прайс для расчета'!E326</f>
        <v>852.6</v>
      </c>
      <c r="G329" s="64">
        <f t="shared" si="46"/>
        <v>8798.8320000000003</v>
      </c>
      <c r="I329" s="135">
        <f>'Прайс для расчета (М)'!E326</f>
        <v>426.3</v>
      </c>
      <c r="J329" s="36">
        <f t="shared" si="47"/>
        <v>4399.4160000000002</v>
      </c>
    </row>
    <row r="330" spans="2:10" ht="15.6" hidden="1" x14ac:dyDescent="0.25">
      <c r="B330" s="59"/>
      <c r="C330" s="65" t="s">
        <v>442</v>
      </c>
      <c r="D330" s="61" t="s">
        <v>645</v>
      </c>
      <c r="E330" s="62">
        <f>$A$2</f>
        <v>10.32</v>
      </c>
      <c r="F330" s="63">
        <f>'Прайс для расчета'!E327</f>
        <v>225.75</v>
      </c>
      <c r="G330" s="64">
        <f t="shared" si="46"/>
        <v>2329.7400000000002</v>
      </c>
      <c r="I330" s="135">
        <f>'Прайс для расчета (М)'!E327</f>
        <v>112.875</v>
      </c>
      <c r="J330" s="36">
        <f t="shared" si="47"/>
        <v>1164.8700000000001</v>
      </c>
    </row>
    <row r="331" spans="2:10" ht="15.6" hidden="1" x14ac:dyDescent="0.25">
      <c r="B331" s="59"/>
      <c r="C331" s="65" t="s">
        <v>443</v>
      </c>
      <c r="D331" s="61" t="s">
        <v>2</v>
      </c>
      <c r="E331" s="62">
        <f>$A$4</f>
        <v>7.76</v>
      </c>
      <c r="F331" s="63">
        <f>'Прайс для расчета'!E328</f>
        <v>462</v>
      </c>
      <c r="G331" s="64">
        <f t="shared" si="46"/>
        <v>3585.12</v>
      </c>
      <c r="I331" s="135">
        <f>'Прайс для расчета (М)'!E328</f>
        <v>231</v>
      </c>
      <c r="J331" s="36">
        <f t="shared" si="47"/>
        <v>1792.56</v>
      </c>
    </row>
    <row r="332" spans="2:10" ht="15.6" hidden="1" x14ac:dyDescent="0.25">
      <c r="B332" s="59"/>
      <c r="C332" s="65" t="s">
        <v>534</v>
      </c>
      <c r="D332" s="61" t="s">
        <v>2</v>
      </c>
      <c r="E332" s="62">
        <f>$A$4</f>
        <v>7.76</v>
      </c>
      <c r="F332" s="63">
        <f>'Прайс для расчета'!E329</f>
        <v>1060.5</v>
      </c>
      <c r="G332" s="64">
        <f t="shared" si="46"/>
        <v>8229.48</v>
      </c>
      <c r="I332" s="135">
        <f>'Прайс для расчета (М)'!E329</f>
        <v>530.25</v>
      </c>
      <c r="J332" s="36">
        <f t="shared" si="47"/>
        <v>4114.74</v>
      </c>
    </row>
    <row r="333" spans="2:10" ht="15.6" hidden="1" x14ac:dyDescent="0.25">
      <c r="B333" s="59"/>
      <c r="C333" s="65" t="s">
        <v>444</v>
      </c>
      <c r="D333" s="61" t="s">
        <v>2</v>
      </c>
      <c r="E333" s="62">
        <f>$A$4</f>
        <v>7.76</v>
      </c>
      <c r="F333" s="63">
        <f>'Прайс для расчета'!E330</f>
        <v>735</v>
      </c>
      <c r="G333" s="64">
        <f t="shared" si="46"/>
        <v>5703.5999999999995</v>
      </c>
      <c r="I333" s="135">
        <f>'Прайс для расчета (М)'!E330</f>
        <v>367.5</v>
      </c>
      <c r="J333" s="36">
        <f t="shared" si="47"/>
        <v>2851.7999999999997</v>
      </c>
    </row>
    <row r="334" spans="2:10" ht="15.6" hidden="1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hidden="1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48">F335*E335</f>
        <v>525</v>
      </c>
      <c r="I335" s="135">
        <f>'Прайс для расчета (М)'!E331</f>
        <v>262.5</v>
      </c>
      <c r="J335" s="36">
        <f t="shared" ref="J335:J353" si="49">I335*E335</f>
        <v>262.5</v>
      </c>
    </row>
    <row r="336" spans="2:10" ht="15.6" hidden="1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48"/>
        <v>945</v>
      </c>
      <c r="I336" s="135">
        <f>'Прайс для расчета (М)'!E332</f>
        <v>472.5</v>
      </c>
      <c r="J336" s="36">
        <f t="shared" si="49"/>
        <v>472.5</v>
      </c>
    </row>
    <row r="337" spans="2:10" ht="15.6" hidden="1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48"/>
        <v>1575</v>
      </c>
      <c r="I337" s="135">
        <f>'Прайс для расчета (М)'!E333</f>
        <v>787.5</v>
      </c>
      <c r="J337" s="36">
        <f t="shared" si="49"/>
        <v>787.5</v>
      </c>
    </row>
    <row r="338" spans="2:10" ht="15.6" hidden="1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48"/>
        <v>840</v>
      </c>
      <c r="I338" s="135">
        <f>'Прайс для расчета (М)'!E334</f>
        <v>420</v>
      </c>
      <c r="J338" s="36">
        <f t="shared" si="49"/>
        <v>420</v>
      </c>
    </row>
    <row r="339" spans="2:10" ht="15.6" hidden="1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48"/>
        <v>273</v>
      </c>
      <c r="I339" s="135">
        <f>'Прайс для расчета (М)'!E335</f>
        <v>136.5</v>
      </c>
      <c r="J339" s="36">
        <f t="shared" si="49"/>
        <v>136.5</v>
      </c>
    </row>
    <row r="340" spans="2:10" ht="15.6" hidden="1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48"/>
        <v>1890</v>
      </c>
      <c r="I340" s="135">
        <f>'Прайс для расчета (М)'!E336</f>
        <v>945</v>
      </c>
      <c r="J340" s="36">
        <f t="shared" si="49"/>
        <v>945</v>
      </c>
    </row>
    <row r="341" spans="2:10" ht="15.6" hidden="1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48"/>
        <v>346.5</v>
      </c>
      <c r="I341" s="135">
        <f>'Прайс для расчета (М)'!E337</f>
        <v>173.25</v>
      </c>
      <c r="J341" s="36">
        <f t="shared" si="49"/>
        <v>173.25</v>
      </c>
    </row>
    <row r="342" spans="2:10" ht="15.6" hidden="1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48"/>
        <v>4179</v>
      </c>
      <c r="I342" s="135">
        <f>'Прайс для расчета (М)'!E338</f>
        <v>2089.5</v>
      </c>
      <c r="J342" s="36">
        <f t="shared" si="49"/>
        <v>2089.5</v>
      </c>
    </row>
    <row r="343" spans="2:10" ht="15.6" hidden="1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48"/>
        <v>3255</v>
      </c>
      <c r="I343" s="135">
        <f>'Прайс для расчета (М)'!E339</f>
        <v>1627.5</v>
      </c>
      <c r="J343" s="36">
        <f t="shared" si="49"/>
        <v>1627.5</v>
      </c>
    </row>
    <row r="344" spans="2:10" ht="15.6" hidden="1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48"/>
        <v>1176</v>
      </c>
      <c r="I344" s="135">
        <f>'Прайс для расчета (М)'!E340</f>
        <v>588</v>
      </c>
      <c r="J344" s="36">
        <f t="shared" si="49"/>
        <v>588</v>
      </c>
    </row>
    <row r="345" spans="2:10" ht="15.6" hidden="1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48"/>
        <v>367.5</v>
      </c>
      <c r="I345" s="135">
        <f>'Прайс для расчета (М)'!E341</f>
        <v>183.75</v>
      </c>
      <c r="J345" s="36">
        <f t="shared" si="49"/>
        <v>183.75</v>
      </c>
    </row>
    <row r="346" spans="2:10" ht="15.6" hidden="1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48"/>
        <v>199.5</v>
      </c>
      <c r="I346" s="135">
        <f>'Прайс для расчета (М)'!E342</f>
        <v>99.75</v>
      </c>
      <c r="J346" s="36">
        <f t="shared" si="49"/>
        <v>99.75</v>
      </c>
    </row>
    <row r="347" spans="2:10" ht="15.6" hidden="1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48"/>
        <v>1995</v>
      </c>
      <c r="I347" s="135">
        <f>'Прайс для расчета (М)'!E343</f>
        <v>997.5</v>
      </c>
      <c r="J347" s="36">
        <f t="shared" si="49"/>
        <v>997.5</v>
      </c>
    </row>
    <row r="348" spans="2:10" ht="15.6" hidden="1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48"/>
        <v>840</v>
      </c>
      <c r="I348" s="135">
        <f>'Прайс для расчета (М)'!E344</f>
        <v>420</v>
      </c>
      <c r="J348" s="36">
        <f t="shared" si="49"/>
        <v>420</v>
      </c>
    </row>
    <row r="349" spans="2:10" ht="15.6" hidden="1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48"/>
        <v>3097.5</v>
      </c>
      <c r="I349" s="135">
        <f>'Прайс для расчета (М)'!E345</f>
        <v>1548.75</v>
      </c>
      <c r="J349" s="36">
        <f t="shared" si="49"/>
        <v>1548.75</v>
      </c>
    </row>
    <row r="350" spans="2:10" ht="15.6" hidden="1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48"/>
        <v>1029</v>
      </c>
      <c r="I350" s="135">
        <f>'Прайс для расчета (М)'!E346</f>
        <v>514.5</v>
      </c>
      <c r="J350" s="36">
        <f t="shared" si="49"/>
        <v>514.5</v>
      </c>
    </row>
    <row r="351" spans="2:10" ht="15.6" hidden="1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48"/>
        <v>1627.5</v>
      </c>
      <c r="I351" s="135">
        <f>'Прайс для расчета (М)'!E347</f>
        <v>813.75</v>
      </c>
      <c r="J351" s="36">
        <f t="shared" si="49"/>
        <v>813.75</v>
      </c>
    </row>
    <row r="352" spans="2:10" ht="15.6" hidden="1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48"/>
        <v>1627.5</v>
      </c>
      <c r="I352" s="135">
        <f>'Прайс для расчета (М)'!E348</f>
        <v>813.75</v>
      </c>
      <c r="J352" s="36">
        <f t="shared" si="49"/>
        <v>813.75</v>
      </c>
    </row>
    <row r="353" spans="2:10" ht="15.6" hidden="1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48"/>
        <v>420</v>
      </c>
      <c r="I353" s="135">
        <f>'Прайс для расчета (М)'!E349</f>
        <v>210</v>
      </c>
      <c r="J353" s="36">
        <f t="shared" si="49"/>
        <v>210</v>
      </c>
    </row>
    <row r="354" spans="2:10" ht="15.6" hidden="1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hidden="1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0">F355*E355</f>
        <v>0</v>
      </c>
      <c r="I355" s="135">
        <f>'Прайс для расчета (М)'!E351</f>
        <v>202.125</v>
      </c>
      <c r="J355" s="36">
        <f t="shared" ref="J355:J361" si="51">I355*E355</f>
        <v>0</v>
      </c>
    </row>
    <row r="356" spans="2:10" ht="15.6" hidden="1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0"/>
        <v>3858.7080000000001</v>
      </c>
      <c r="I356" s="135">
        <f>'Прайс для расчета (М)'!E352</f>
        <v>1929.354</v>
      </c>
      <c r="J356" s="36">
        <f t="shared" si="51"/>
        <v>1929.354</v>
      </c>
    </row>
    <row r="357" spans="2:10" ht="15.6" hidden="1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0"/>
        <v>1044.75</v>
      </c>
      <c r="I357" s="135">
        <f>'Прайс для расчета (М)'!E353</f>
        <v>522.375</v>
      </c>
      <c r="J357" s="36">
        <f t="shared" si="51"/>
        <v>522.375</v>
      </c>
    </row>
    <row r="358" spans="2:10" ht="15.6" hidden="1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0"/>
        <v>1522.5</v>
      </c>
      <c r="I358" s="135">
        <f>'Прайс для расчета (М)'!E354</f>
        <v>761.25</v>
      </c>
      <c r="J358" s="36">
        <f t="shared" si="51"/>
        <v>761.25</v>
      </c>
    </row>
    <row r="359" spans="2:10" ht="15.6" hidden="1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0"/>
        <v>1522.5</v>
      </c>
      <c r="I359" s="135">
        <f>'Прайс для расчета (М)'!E355</f>
        <v>761.25</v>
      </c>
      <c r="J359" s="36">
        <f t="shared" si="51"/>
        <v>761.25</v>
      </c>
    </row>
    <row r="360" spans="2:10" ht="15.6" hidden="1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0"/>
        <v>577.5</v>
      </c>
      <c r="I360" s="135">
        <f>'Прайс для расчета (М)'!E356</f>
        <v>288.75</v>
      </c>
      <c r="J360" s="36">
        <f t="shared" si="51"/>
        <v>288.75</v>
      </c>
    </row>
    <row r="361" spans="2:10" ht="15.6" hidden="1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0"/>
        <v>210</v>
      </c>
      <c r="I361" s="135">
        <f>'Прайс для расчета (М)'!E357</f>
        <v>105</v>
      </c>
      <c r="J361" s="36">
        <f t="shared" si="51"/>
        <v>105</v>
      </c>
    </row>
    <row r="362" spans="2:10" ht="15.6" x14ac:dyDescent="0.25">
      <c r="B362" s="110">
        <f>IF(SUM(B250:B361)&gt;0,1,0)</f>
        <v>1</v>
      </c>
      <c r="C362" s="266" t="s">
        <v>540</v>
      </c>
      <c r="D362" s="266"/>
      <c r="E362" s="266"/>
      <c r="F362" s="266"/>
      <c r="G362" s="157">
        <f>SUMIF(B251:B361,1,G251:G361)</f>
        <v>51500.399999999994</v>
      </c>
      <c r="J362" s="36">
        <f>SUMIF(B251:B361,1,J251:J361)</f>
        <v>25287.569999999996</v>
      </c>
    </row>
    <row r="363" spans="2:10" ht="15.6" x14ac:dyDescent="0.25">
      <c r="B363" s="153">
        <f>IF(SUM(B364:B371)&gt;0,1,0)</f>
        <v>1</v>
      </c>
      <c r="C363" s="164" t="s">
        <v>1149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>
        <v>1</v>
      </c>
      <c r="C364" s="69" t="s">
        <v>1078</v>
      </c>
      <c r="D364" s="61" t="s">
        <v>2</v>
      </c>
      <c r="E364" s="62">
        <f>$A$4</f>
        <v>7.76</v>
      </c>
      <c r="F364" s="63">
        <f>'Прайс для расчета'!E412</f>
        <v>110.25</v>
      </c>
      <c r="G364" s="64">
        <f t="shared" ref="G364:G371" si="52">F364*E364</f>
        <v>855.54</v>
      </c>
      <c r="I364" s="135">
        <f>'Прайс для расчета (М)'!E412</f>
        <v>55.125</v>
      </c>
      <c r="J364" s="36">
        <f t="shared" ref="J364:J371" si="53">I364*E364</f>
        <v>427.77</v>
      </c>
    </row>
    <row r="365" spans="2:10" ht="15.6" hidden="1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2"/>
        <v>1714.65</v>
      </c>
      <c r="I365" s="135">
        <f>'Прайс для расчета (М)'!E413</f>
        <v>857.32500000000005</v>
      </c>
      <c r="J365" s="36">
        <f t="shared" si="53"/>
        <v>857.32500000000005</v>
      </c>
    </row>
    <row r="366" spans="2:10" ht="15.6" hidden="1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2"/>
        <v>2571.9749999999999</v>
      </c>
      <c r="I366" s="135">
        <f>'Прайс для расчета (М)'!E414</f>
        <v>1285.9875</v>
      </c>
      <c r="J366" s="36">
        <f t="shared" si="53"/>
        <v>1285.9875</v>
      </c>
    </row>
    <row r="367" spans="2:10" ht="15.6" hidden="1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2"/>
        <v>857.32500000000005</v>
      </c>
      <c r="I367" s="135">
        <f>'Прайс для расчета (М)'!E415</f>
        <v>428.66250000000002</v>
      </c>
      <c r="J367" s="36">
        <f t="shared" si="53"/>
        <v>428.66250000000002</v>
      </c>
    </row>
    <row r="368" spans="2:10" ht="15.6" hidden="1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2"/>
        <v>1470</v>
      </c>
      <c r="I368" s="135">
        <f>'Прайс для расчета (М)'!E416</f>
        <v>735</v>
      </c>
      <c r="J368" s="36">
        <f t="shared" si="53"/>
        <v>735</v>
      </c>
    </row>
    <row r="369" spans="2:10" ht="15.6" hidden="1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2"/>
        <v>315</v>
      </c>
      <c r="I369" s="135">
        <f>'Прайс для расчета (М)'!E417</f>
        <v>157.5</v>
      </c>
      <c r="J369" s="36">
        <f t="shared" si="53"/>
        <v>157.5</v>
      </c>
    </row>
    <row r="370" spans="2:10" ht="15.6" hidden="1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2"/>
        <v>1575</v>
      </c>
      <c r="I370" s="135">
        <f>'Прайс для расчета (М)'!E418</f>
        <v>787.5</v>
      </c>
      <c r="J370" s="36">
        <f t="shared" si="53"/>
        <v>787.5</v>
      </c>
    </row>
    <row r="371" spans="2:10" ht="15.6" hidden="1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2"/>
        <v>315</v>
      </c>
      <c r="I371" s="135">
        <f>'Прайс для расчета (М)'!E419</f>
        <v>157.5</v>
      </c>
      <c r="J371" s="36">
        <f t="shared" si="53"/>
        <v>157.5</v>
      </c>
    </row>
    <row r="372" spans="2:10" ht="15.6" x14ac:dyDescent="0.25">
      <c r="B372" s="110">
        <f>IF(SUM(B364:B371)&gt;0,1,0)</f>
        <v>1</v>
      </c>
      <c r="C372" s="266" t="s">
        <v>546</v>
      </c>
      <c r="D372" s="266"/>
      <c r="E372" s="266"/>
      <c r="F372" s="266"/>
      <c r="G372" s="157">
        <f>SUMIF(B364:B371,1,G364:G371)</f>
        <v>855.54</v>
      </c>
      <c r="J372" s="36">
        <f>SUMIF(B364:B371,1,J364:J371)</f>
        <v>427.77</v>
      </c>
    </row>
    <row r="373" spans="2:10" ht="15.6" x14ac:dyDescent="0.25">
      <c r="B373" s="153">
        <f>IF(SUM(B10:B372)&gt;0,1,0)</f>
        <v>1</v>
      </c>
      <c r="C373" s="265" t="s">
        <v>191</v>
      </c>
      <c r="D373" s="265"/>
      <c r="E373" s="265"/>
      <c r="F373" s="265"/>
      <c r="G373" s="155" t="e">
        <f>G137+G248+G362+G372</f>
        <v>#REF!</v>
      </c>
      <c r="J373" s="36" t="e">
        <f>J137+J248+J362+J372</f>
        <v>#REF!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240</v>
      </c>
      <c r="D375" s="265"/>
      <c r="E375" s="265"/>
      <c r="F375" s="265"/>
      <c r="G375" s="155" t="e">
        <f>G373-(G373*G374)</f>
        <v>#REF!</v>
      </c>
      <c r="J375" s="36" t="e">
        <f>J373-(J373*J374)</f>
        <v>#REF!</v>
      </c>
    </row>
    <row r="376" spans="2:10" x14ac:dyDescent="0.25">
      <c r="B376"/>
      <c r="C376" s="1"/>
      <c r="E376" s="15"/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  <row r="381" spans="2:10" x14ac:dyDescent="0.25">
      <c r="C381" s="1"/>
      <c r="E381" s="15"/>
    </row>
  </sheetData>
  <autoFilter ref="B9:H375">
    <filterColumn colId="0">
      <filters>
        <filter val="1"/>
      </filters>
    </filterColumn>
  </autoFilter>
  <mergeCells count="12">
    <mergeCell ref="C362:F362"/>
    <mergeCell ref="C372:F372"/>
    <mergeCell ref="C373:F373"/>
    <mergeCell ref="C374:F374"/>
    <mergeCell ref="C375:F375"/>
    <mergeCell ref="C137:F137"/>
    <mergeCell ref="C248:F248"/>
    <mergeCell ref="D4:F4"/>
    <mergeCell ref="C1:C4"/>
    <mergeCell ref="C5:G5"/>
    <mergeCell ref="C6:C7"/>
    <mergeCell ref="D8:G8"/>
  </mergeCells>
  <conditionalFormatting sqref="B11:G11 B165:G165 B140:B164 B209:G209 B166:B208 B287:G287 B251:B286 G251:G286 B288:B311 B312:G312 B320:G320 B313:E319 G313:G319 B334:G334 B321:E333 G321:G333 B335:E353 G335:G353 B372:G375 B364:B371 G364:G371 G166:G208 G140:G164 B33:G33 B12:E32 G12:G32 B60:G60 B34:E58 B59 D59:E59 G34:G59 B69:G69 B61:E68 G61:G68 B87:G87 B70:E86 G70:G86 B97:G97 B88:E96 G88:G96 B105:G105 B98:E104 G98:G104 B126:G126 B106:E125 G106:G125 B127:E136 G127:G136 B210:E235 G210:G247 B354:G354 B355:B361 G355:G361 G288:G311 B139:G139 B250:G250 B362:G362 B248:G248 B137:G137 B239:E246 B236:B238 D236:E238">
    <cfRule type="expression" dxfId="362" priority="48">
      <formula>$B11=0</formula>
    </cfRule>
  </conditionalFormatting>
  <conditionalFormatting sqref="B10:G10">
    <cfRule type="expression" dxfId="361" priority="47">
      <formula>$B10=0</formula>
    </cfRule>
  </conditionalFormatting>
  <conditionalFormatting sqref="B247:E247">
    <cfRule type="expression" dxfId="360" priority="46">
      <formula>$B247=0</formula>
    </cfRule>
  </conditionalFormatting>
  <conditionalFormatting sqref="C141">
    <cfRule type="expression" dxfId="359" priority="42">
      <formula>$B141=0</formula>
    </cfRule>
  </conditionalFormatting>
  <conditionalFormatting sqref="C144:C148">
    <cfRule type="expression" dxfId="358" priority="41">
      <formula>$B144=0</formula>
    </cfRule>
  </conditionalFormatting>
  <conditionalFormatting sqref="C140:E140 C152:E163 C151:D151 C149:E150 D141:E141 D144:E148 C142:E143">
    <cfRule type="expression" dxfId="357" priority="45">
      <formula>$B140=0</formula>
    </cfRule>
  </conditionalFormatting>
  <conditionalFormatting sqref="C302 C303:D305 E302:E305 C288:E293 C296:E301 E294:E295">
    <cfRule type="expression" dxfId="356" priority="35">
      <formula>$B288=0</formula>
    </cfRule>
  </conditionalFormatting>
  <conditionalFormatting sqref="E151">
    <cfRule type="expression" dxfId="355" priority="43">
      <formula>$B151=0</formula>
    </cfRule>
  </conditionalFormatting>
  <conditionalFormatting sqref="C270:E286 E251:E269">
    <cfRule type="expression" dxfId="354" priority="39">
      <formula>$B251=0</formula>
    </cfRule>
  </conditionalFormatting>
  <conditionalFormatting sqref="C251:C269">
    <cfRule type="expression" dxfId="353" priority="38">
      <formula>$B251=0</formula>
    </cfRule>
  </conditionalFormatting>
  <conditionalFormatting sqref="C166:E166 C172:E175 D167:E171 C187:E208 D176:E186">
    <cfRule type="expression" dxfId="352" priority="40">
      <formula>$B166=0</formula>
    </cfRule>
  </conditionalFormatting>
  <conditionalFormatting sqref="C164:E164">
    <cfRule type="expression" dxfId="351" priority="44">
      <formula>$B164=0</formula>
    </cfRule>
  </conditionalFormatting>
  <conditionalFormatting sqref="D251:D269">
    <cfRule type="expression" dxfId="350" priority="37">
      <formula>$B251=0</formula>
    </cfRule>
  </conditionalFormatting>
  <conditionalFormatting sqref="C306:E311">
    <cfRule type="expression" dxfId="349" priority="36">
      <formula>$B306=0</formula>
    </cfRule>
  </conditionalFormatting>
  <conditionalFormatting sqref="C364:E371">
    <cfRule type="expression" dxfId="348" priority="34">
      <formula>$B364=0</formula>
    </cfRule>
  </conditionalFormatting>
  <conditionalFormatting sqref="F12:F32">
    <cfRule type="expression" dxfId="347" priority="33">
      <formula>$B12=0</formula>
    </cfRule>
  </conditionalFormatting>
  <conditionalFormatting sqref="C59">
    <cfRule type="expression" dxfId="346" priority="30">
      <formula>$B59=0</formula>
    </cfRule>
  </conditionalFormatting>
  <conditionalFormatting sqref="F335:F353">
    <cfRule type="expression" dxfId="345" priority="16">
      <formula>$B335=0</formula>
    </cfRule>
  </conditionalFormatting>
  <conditionalFormatting sqref="F34:F58">
    <cfRule type="expression" dxfId="344" priority="32">
      <formula>$B34=0</formula>
    </cfRule>
  </conditionalFormatting>
  <conditionalFormatting sqref="F59">
    <cfRule type="expression" dxfId="343" priority="31">
      <formula>$B59=0</formula>
    </cfRule>
  </conditionalFormatting>
  <conditionalFormatting sqref="F61:F68">
    <cfRule type="expression" dxfId="342" priority="29">
      <formula>$B61=0</formula>
    </cfRule>
  </conditionalFormatting>
  <conditionalFormatting sqref="F70:F86">
    <cfRule type="expression" dxfId="341" priority="28">
      <formula>$B70=0</formula>
    </cfRule>
  </conditionalFormatting>
  <conditionalFormatting sqref="F88:F96">
    <cfRule type="expression" dxfId="340" priority="27">
      <formula>$B88=0</formula>
    </cfRule>
  </conditionalFormatting>
  <conditionalFormatting sqref="F98:F104">
    <cfRule type="expression" dxfId="339" priority="26">
      <formula>$B98=0</formula>
    </cfRule>
  </conditionalFormatting>
  <conditionalFormatting sqref="F106:F125">
    <cfRule type="expression" dxfId="338" priority="25">
      <formula>$B106=0</formula>
    </cfRule>
  </conditionalFormatting>
  <conditionalFormatting sqref="F127:F136">
    <cfRule type="expression" dxfId="337" priority="24">
      <formula>$B127=0</formula>
    </cfRule>
  </conditionalFormatting>
  <conditionalFormatting sqref="F140:F164">
    <cfRule type="expression" dxfId="336" priority="23">
      <formula>$B140=0</formula>
    </cfRule>
  </conditionalFormatting>
  <conditionalFormatting sqref="F166:F208">
    <cfRule type="expression" dxfId="335" priority="22">
      <formula>$B166=0</formula>
    </cfRule>
  </conditionalFormatting>
  <conditionalFormatting sqref="F210:F247">
    <cfRule type="expression" dxfId="334" priority="21">
      <formula>$B210=0</formula>
    </cfRule>
  </conditionalFormatting>
  <conditionalFormatting sqref="F251:F286">
    <cfRule type="expression" dxfId="333" priority="20">
      <formula>$B251=0</formula>
    </cfRule>
  </conditionalFormatting>
  <conditionalFormatting sqref="F321:F333">
    <cfRule type="expression" dxfId="332" priority="17">
      <formula>$B321=0</formula>
    </cfRule>
  </conditionalFormatting>
  <conditionalFormatting sqref="F313:F319">
    <cfRule type="expression" dxfId="331" priority="19">
      <formula>$B313=0</formula>
    </cfRule>
  </conditionalFormatting>
  <conditionalFormatting sqref="F288:F311">
    <cfRule type="expression" dxfId="330" priority="18">
      <formula>$B288=0</formula>
    </cfRule>
  </conditionalFormatting>
  <conditionalFormatting sqref="C355:F361">
    <cfRule type="expression" dxfId="329" priority="15">
      <formula>$B355=0</formula>
    </cfRule>
  </conditionalFormatting>
  <conditionalFormatting sqref="F364:F371">
    <cfRule type="expression" dxfId="328" priority="14">
      <formula>$B364=0</formula>
    </cfRule>
  </conditionalFormatting>
  <conditionalFormatting sqref="D294:D295">
    <cfRule type="expression" dxfId="327" priority="13">
      <formula>$B294=0</formula>
    </cfRule>
  </conditionalFormatting>
  <conditionalFormatting sqref="C294:C295">
    <cfRule type="expression" dxfId="326" priority="12">
      <formula>$B294=0</formula>
    </cfRule>
  </conditionalFormatting>
  <conditionalFormatting sqref="B138:G138">
    <cfRule type="expression" dxfId="325" priority="11">
      <formula>$B138=0</formula>
    </cfRule>
  </conditionalFormatting>
  <conditionalFormatting sqref="B249:G249">
    <cfRule type="expression" dxfId="324" priority="10">
      <formula>$B249=0</formula>
    </cfRule>
  </conditionalFormatting>
  <conditionalFormatting sqref="B363:G363">
    <cfRule type="expression" dxfId="323" priority="9">
      <formula>$B363=0</formula>
    </cfRule>
  </conditionalFormatting>
  <conditionalFormatting sqref="C183:C184">
    <cfRule type="expression" dxfId="322" priority="8">
      <formula>$B183=0</formula>
    </cfRule>
  </conditionalFormatting>
  <conditionalFormatting sqref="C167:C171">
    <cfRule type="expression" dxfId="321" priority="7">
      <formula>$B167=0</formula>
    </cfRule>
  </conditionalFormatting>
  <conditionalFormatting sqref="C186">
    <cfRule type="expression" dxfId="320" priority="6">
      <formula>$B186=0</formula>
    </cfRule>
  </conditionalFormatting>
  <conditionalFormatting sqref="C185">
    <cfRule type="expression" dxfId="319" priority="5">
      <formula>$B185=0</formula>
    </cfRule>
  </conditionalFormatting>
  <conditionalFormatting sqref="C176:C177 C179:C182">
    <cfRule type="expression" dxfId="318" priority="4">
      <formula>$B176=0</formula>
    </cfRule>
  </conditionalFormatting>
  <conditionalFormatting sqref="C178">
    <cfRule type="expression" dxfId="317" priority="3">
      <formula>$B178=0</formula>
    </cfRule>
  </conditionalFormatting>
  <conditionalFormatting sqref="C236:C237">
    <cfRule type="expression" dxfId="316" priority="2">
      <formula>$B236=0</formula>
    </cfRule>
  </conditionalFormatting>
  <conditionalFormatting sqref="C238">
    <cfRule type="expression" dxfId="315" priority="1">
      <formula>$B238=0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1111111">
    <tabColor rgb="FF00B050"/>
    <pageSetUpPr fitToPage="1"/>
  </sheetPr>
  <dimension ref="A1:U380"/>
  <sheetViews>
    <sheetView topLeftCell="A214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4" max="14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f>ROUND(D7*2+E7*2,2)</f>
        <v>0</v>
      </c>
      <c r="C2" s="258"/>
      <c r="T2" s="35">
        <f>G248</f>
        <v>0</v>
      </c>
      <c r="U2" s="35">
        <f>J248</f>
        <v>0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G362</f>
        <v>0</v>
      </c>
      <c r="U3" s="35">
        <f>J362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0</v>
      </c>
      <c r="U6" s="35">
        <f>J372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I7" s="36" t="e">
        <f>#REF!</f>
        <v>#REF!</v>
      </c>
      <c r="J7" s="36">
        <v>0</v>
      </c>
      <c r="T7" s="35">
        <f>G373</f>
        <v>0</v>
      </c>
      <c r="U7" s="35">
        <f>J373</f>
        <v>0</v>
      </c>
    </row>
    <row r="8" spans="1:21" x14ac:dyDescent="0.25">
      <c r="C8" s="55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>
        <f>J375</f>
        <v>0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x14ac:dyDescent="0.25">
      <c r="B10" s="153">
        <f>IF(SUM(B11:B136)&gt;0,1,0)</f>
        <v>0</v>
      </c>
      <c r="C10" s="164" t="s">
        <v>714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x14ac:dyDescent="0.25">
      <c r="B12" s="59"/>
      <c r="C12" s="65" t="s">
        <v>305</v>
      </c>
      <c r="D12" s="61" t="s">
        <v>3</v>
      </c>
      <c r="E12" s="62">
        <f>$A$2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2" si="1">I12*E12</f>
        <v>0</v>
      </c>
    </row>
    <row r="13" spans="1:21" ht="15.6" x14ac:dyDescent="0.25">
      <c r="B13" s="59"/>
      <c r="C13" s="65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5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5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5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5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5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5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5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5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5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5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5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5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5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5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5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5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5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5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8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ref="G59" si="7">F59*E59</f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8">F61*E61</f>
        <v>335.47500000000002</v>
      </c>
      <c r="I61" s="135">
        <f>'Прайс для расчета (М)'!E54</f>
        <v>167.73750000000001</v>
      </c>
      <c r="J61" s="36">
        <f t="shared" ref="J61:J68" si="9">I61*E61</f>
        <v>167.73750000000001</v>
      </c>
    </row>
    <row r="62" spans="2:10" ht="15.6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8"/>
        <v>137.172</v>
      </c>
      <c r="I62" s="135">
        <f>'Прайс для расчета (М)'!E55</f>
        <v>68.585999999999999</v>
      </c>
      <c r="J62" s="36">
        <f t="shared" si="9"/>
        <v>68.585999999999999</v>
      </c>
    </row>
    <row r="63" spans="2:10" ht="15.6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8"/>
        <v>205.75799999999998</v>
      </c>
      <c r="I63" s="135">
        <f>'Прайс для расчета (М)'!E56</f>
        <v>102.87899999999999</v>
      </c>
      <c r="J63" s="36">
        <f t="shared" si="9"/>
        <v>102.87899999999999</v>
      </c>
    </row>
    <row r="64" spans="2:10" ht="15.6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8"/>
        <v>137.172</v>
      </c>
      <c r="I64" s="135">
        <f>'Прайс для расчета (М)'!E57</f>
        <v>68.585999999999999</v>
      </c>
      <c r="J64" s="36">
        <f t="shared" si="9"/>
        <v>68.585999999999999</v>
      </c>
    </row>
    <row r="65" spans="2:10" ht="15.6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8"/>
        <v>205.75799999999998</v>
      </c>
      <c r="I65" s="135">
        <f>'Прайс для расчета (М)'!E58</f>
        <v>102.87899999999999</v>
      </c>
      <c r="J65" s="36">
        <f t="shared" si="9"/>
        <v>102.87899999999999</v>
      </c>
    </row>
    <row r="66" spans="2:10" ht="15.6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8"/>
        <v>43.239000000000004</v>
      </c>
      <c r="I66" s="135">
        <f>'Прайс для расчета (М)'!E59</f>
        <v>21.619500000000002</v>
      </c>
      <c r="J66" s="36">
        <f t="shared" si="9"/>
        <v>21.619500000000002</v>
      </c>
    </row>
    <row r="67" spans="2:10" ht="15.6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8"/>
        <v>86.478000000000009</v>
      </c>
      <c r="I67" s="135">
        <f>'Прайс для расчета (М)'!E60</f>
        <v>43.239000000000004</v>
      </c>
      <c r="J67" s="36">
        <f t="shared" si="9"/>
        <v>43.239000000000004</v>
      </c>
    </row>
    <row r="68" spans="2:10" ht="15.6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8"/>
        <v>43.239000000000004</v>
      </c>
      <c r="I68" s="135">
        <f>'Прайс для расчета (М)'!E61</f>
        <v>21.619500000000002</v>
      </c>
      <c r="J68" s="36">
        <f t="shared" si="9"/>
        <v>21.619500000000002</v>
      </c>
    </row>
    <row r="69" spans="2:10" ht="15.6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x14ac:dyDescent="0.25">
      <c r="B70" s="59"/>
      <c r="C70" s="65" t="s">
        <v>334</v>
      </c>
      <c r="D70" s="61" t="s">
        <v>3</v>
      </c>
      <c r="E70" s="62">
        <f>$A$2</f>
        <v>0</v>
      </c>
      <c r="F70" s="63">
        <f>'Прайс для расчета'!E62</f>
        <v>110.25</v>
      </c>
      <c r="G70" s="64">
        <f t="shared" ref="G70:G86" si="10">F70*E70</f>
        <v>0</v>
      </c>
      <c r="I70" s="135">
        <f>'Прайс для расчета (М)'!E62</f>
        <v>55.125</v>
      </c>
      <c r="J70" s="36">
        <f t="shared" ref="J70:J86" si="11">I70*E70</f>
        <v>0</v>
      </c>
    </row>
    <row r="71" spans="2:10" ht="15.6" x14ac:dyDescent="0.25">
      <c r="B71" s="59"/>
      <c r="C71" s="65" t="s">
        <v>335</v>
      </c>
      <c r="D71" s="61" t="s">
        <v>2</v>
      </c>
      <c r="E71" s="62">
        <f t="shared" ref="E71:E76" si="12">$A$4</f>
        <v>0</v>
      </c>
      <c r="F71" s="63">
        <f>'Прайс для расчета'!E63</f>
        <v>248.99699999999999</v>
      </c>
      <c r="G71" s="64">
        <f t="shared" si="10"/>
        <v>0</v>
      </c>
      <c r="I71" s="135">
        <f>'Прайс для расчета (М)'!E63</f>
        <v>124.49849999999999</v>
      </c>
      <c r="J71" s="36">
        <f t="shared" si="11"/>
        <v>0</v>
      </c>
    </row>
    <row r="72" spans="2:10" ht="15.6" x14ac:dyDescent="0.25">
      <c r="B72" s="59"/>
      <c r="C72" s="65" t="s">
        <v>336</v>
      </c>
      <c r="D72" s="61" t="s">
        <v>2</v>
      </c>
      <c r="E72" s="62">
        <f t="shared" si="12"/>
        <v>0</v>
      </c>
      <c r="F72" s="63">
        <f>'Прайс для расчета'!E64</f>
        <v>205.75799999999998</v>
      </c>
      <c r="G72" s="64">
        <f t="shared" si="10"/>
        <v>0</v>
      </c>
      <c r="I72" s="135">
        <f>'Прайс для расчета (М)'!E64</f>
        <v>102.87899999999999</v>
      </c>
      <c r="J72" s="36">
        <f t="shared" si="11"/>
        <v>0</v>
      </c>
    </row>
    <row r="73" spans="2:10" ht="15.6" x14ac:dyDescent="0.25">
      <c r="B73" s="59"/>
      <c r="C73" s="65" t="s">
        <v>481</v>
      </c>
      <c r="D73" s="61" t="s">
        <v>2</v>
      </c>
      <c r="E73" s="62">
        <f t="shared" si="12"/>
        <v>0</v>
      </c>
      <c r="F73" s="63">
        <f>'Прайс для расчета'!E65</f>
        <v>155.06400000000002</v>
      </c>
      <c r="G73" s="64">
        <f t="shared" si="10"/>
        <v>0</v>
      </c>
      <c r="I73" s="135">
        <f>'Прайс для расчета (М)'!E65</f>
        <v>77.532000000000011</v>
      </c>
      <c r="J73" s="36">
        <f t="shared" si="11"/>
        <v>0</v>
      </c>
    </row>
    <row r="74" spans="2:10" ht="15.6" x14ac:dyDescent="0.25">
      <c r="B74" s="59"/>
      <c r="C74" s="65" t="s">
        <v>482</v>
      </c>
      <c r="D74" s="61" t="s">
        <v>2</v>
      </c>
      <c r="E74" s="62">
        <f t="shared" si="12"/>
        <v>0</v>
      </c>
      <c r="F74" s="63">
        <f>'Прайс для расчета'!E66</f>
        <v>137.172</v>
      </c>
      <c r="G74" s="64">
        <f t="shared" si="10"/>
        <v>0</v>
      </c>
      <c r="I74" s="135">
        <f>'Прайс для расчета (М)'!E66</f>
        <v>68.585999999999999</v>
      </c>
      <c r="J74" s="36">
        <f t="shared" si="11"/>
        <v>0</v>
      </c>
    </row>
    <row r="75" spans="2:10" ht="15.6" x14ac:dyDescent="0.25">
      <c r="B75" s="59"/>
      <c r="C75" s="65" t="s">
        <v>483</v>
      </c>
      <c r="D75" s="61" t="s">
        <v>2</v>
      </c>
      <c r="E75" s="62">
        <f t="shared" si="12"/>
        <v>0</v>
      </c>
      <c r="F75" s="63">
        <f>'Прайс для расчета'!E67</f>
        <v>86.478000000000009</v>
      </c>
      <c r="G75" s="64">
        <f t="shared" si="10"/>
        <v>0</v>
      </c>
      <c r="I75" s="135">
        <f>'Прайс для расчета (М)'!E67</f>
        <v>43.239000000000004</v>
      </c>
      <c r="J75" s="36">
        <f t="shared" si="11"/>
        <v>0</v>
      </c>
    </row>
    <row r="76" spans="2:10" ht="15.6" x14ac:dyDescent="0.25">
      <c r="B76" s="59"/>
      <c r="C76" s="65" t="s">
        <v>484</v>
      </c>
      <c r="D76" s="61" t="s">
        <v>2</v>
      </c>
      <c r="E76" s="62">
        <f t="shared" si="12"/>
        <v>0</v>
      </c>
      <c r="F76" s="63">
        <f>'Прайс для расчета'!E68</f>
        <v>102.87899999999999</v>
      </c>
      <c r="G76" s="64">
        <f t="shared" si="10"/>
        <v>0</v>
      </c>
      <c r="I76" s="135">
        <f>'Прайс для расчета (М)'!E68</f>
        <v>51.439499999999995</v>
      </c>
      <c r="J76" s="36">
        <f t="shared" si="11"/>
        <v>0</v>
      </c>
    </row>
    <row r="77" spans="2:10" ht="15.6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10"/>
        <v>164.01</v>
      </c>
      <c r="I77" s="135">
        <f>'Прайс для расчета (М)'!E69</f>
        <v>82.004999999999995</v>
      </c>
      <c r="J77" s="36">
        <f t="shared" si="11"/>
        <v>82.004999999999995</v>
      </c>
    </row>
    <row r="78" spans="2:10" ht="15.6" x14ac:dyDescent="0.25">
      <c r="B78" s="59"/>
      <c r="C78" s="65" t="s">
        <v>661</v>
      </c>
      <c r="D78" s="61" t="s">
        <v>2</v>
      </c>
      <c r="E78" s="62">
        <f>$A$4</f>
        <v>0</v>
      </c>
      <c r="F78" s="63">
        <f>'Прайс для расчета'!E70</f>
        <v>377.22300000000001</v>
      </c>
      <c r="G78" s="64">
        <f t="shared" si="10"/>
        <v>0</v>
      </c>
      <c r="I78" s="135">
        <f>'Прайс для расчета (М)'!E70</f>
        <v>188.61150000000001</v>
      </c>
      <c r="J78" s="36">
        <f t="shared" si="11"/>
        <v>0</v>
      </c>
    </row>
    <row r="79" spans="2:10" ht="15.6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10"/>
        <v>274.34399999999999</v>
      </c>
      <c r="I79" s="135">
        <f>'Прайс для расчета (М)'!E71</f>
        <v>137.172</v>
      </c>
      <c r="J79" s="36">
        <f t="shared" si="11"/>
        <v>137.172</v>
      </c>
    </row>
    <row r="80" spans="2:10" ht="15.6" x14ac:dyDescent="0.25">
      <c r="B80" s="59"/>
      <c r="C80" s="65" t="s">
        <v>138</v>
      </c>
      <c r="D80" s="61" t="s">
        <v>3</v>
      </c>
      <c r="E80" s="62">
        <f t="shared" ref="E80:E86" si="13">$A$4</f>
        <v>0</v>
      </c>
      <c r="F80" s="63">
        <f>'Прайс для расчета'!E72</f>
        <v>204.75</v>
      </c>
      <c r="G80" s="64">
        <f t="shared" si="10"/>
        <v>0</v>
      </c>
      <c r="I80" s="135">
        <f>'Прайс для расчета (М)'!E72</f>
        <v>102.375</v>
      </c>
      <c r="J80" s="36">
        <f t="shared" si="11"/>
        <v>0</v>
      </c>
    </row>
    <row r="81" spans="2:10" ht="15.6" x14ac:dyDescent="0.25">
      <c r="B81" s="59"/>
      <c r="C81" s="65" t="s">
        <v>339</v>
      </c>
      <c r="D81" s="61" t="s">
        <v>2</v>
      </c>
      <c r="E81" s="62">
        <f t="shared" si="13"/>
        <v>0</v>
      </c>
      <c r="F81" s="63">
        <f>'Прайс для расчета'!E73</f>
        <v>274.34399999999999</v>
      </c>
      <c r="G81" s="64">
        <f t="shared" si="10"/>
        <v>0</v>
      </c>
      <c r="I81" s="135">
        <f>'Прайс для расчета (М)'!E73</f>
        <v>137.172</v>
      </c>
      <c r="J81" s="36">
        <f t="shared" si="11"/>
        <v>0</v>
      </c>
    </row>
    <row r="82" spans="2:10" ht="15.6" x14ac:dyDescent="0.25">
      <c r="B82" s="59"/>
      <c r="C82" s="65" t="s">
        <v>156</v>
      </c>
      <c r="D82" s="61" t="s">
        <v>2</v>
      </c>
      <c r="E82" s="62">
        <f t="shared" si="13"/>
        <v>0</v>
      </c>
      <c r="F82" s="63">
        <f>'Прайс для расчета'!E74</f>
        <v>223.65</v>
      </c>
      <c r="G82" s="64">
        <f t="shared" si="10"/>
        <v>0</v>
      </c>
      <c r="I82" s="135">
        <f>'Прайс для расчета (М)'!E74</f>
        <v>111.825</v>
      </c>
      <c r="J82" s="36">
        <f t="shared" si="11"/>
        <v>0</v>
      </c>
    </row>
    <row r="83" spans="2:10" ht="15.6" x14ac:dyDescent="0.25">
      <c r="B83" s="59"/>
      <c r="C83" s="65" t="s">
        <v>340</v>
      </c>
      <c r="D83" s="61" t="s">
        <v>2</v>
      </c>
      <c r="E83" s="62">
        <f t="shared" si="13"/>
        <v>0</v>
      </c>
      <c r="F83" s="63">
        <f>'Прайс для расчета'!E75</f>
        <v>506.94</v>
      </c>
      <c r="G83" s="64">
        <f t="shared" si="10"/>
        <v>0</v>
      </c>
      <c r="I83" s="135">
        <f>'Прайс для расчета (М)'!E75</f>
        <v>253.47</v>
      </c>
      <c r="J83" s="36">
        <f t="shared" si="11"/>
        <v>0</v>
      </c>
    </row>
    <row r="84" spans="2:10" ht="15.6" x14ac:dyDescent="0.25">
      <c r="B84" s="59"/>
      <c r="C84" s="65" t="s">
        <v>54</v>
      </c>
      <c r="D84" s="61" t="s">
        <v>2</v>
      </c>
      <c r="E84" s="62">
        <f t="shared" si="13"/>
        <v>0</v>
      </c>
      <c r="F84" s="63">
        <f>'Прайс для расчета'!E76</f>
        <v>591.92700000000002</v>
      </c>
      <c r="G84" s="64">
        <f t="shared" si="10"/>
        <v>0</v>
      </c>
      <c r="I84" s="135">
        <f>'Прайс для расчета (М)'!E76</f>
        <v>295.96350000000001</v>
      </c>
      <c r="J84" s="36">
        <f t="shared" si="11"/>
        <v>0</v>
      </c>
    </row>
    <row r="85" spans="2:10" ht="15.6" x14ac:dyDescent="0.25">
      <c r="B85" s="59"/>
      <c r="C85" s="65" t="s">
        <v>221</v>
      </c>
      <c r="D85" s="61" t="s">
        <v>2</v>
      </c>
      <c r="E85" s="62">
        <f t="shared" si="13"/>
        <v>0</v>
      </c>
      <c r="F85" s="63">
        <f>'Прайс для расчета'!E77</f>
        <v>210</v>
      </c>
      <c r="G85" s="64">
        <f t="shared" si="10"/>
        <v>0</v>
      </c>
      <c r="I85" s="135">
        <f>'Прайс для расчета (М)'!E77</f>
        <v>105</v>
      </c>
      <c r="J85" s="36">
        <f t="shared" si="11"/>
        <v>0</v>
      </c>
    </row>
    <row r="86" spans="2:10" ht="15.6" x14ac:dyDescent="0.25">
      <c r="B86" s="59"/>
      <c r="C86" s="65" t="s">
        <v>157</v>
      </c>
      <c r="D86" s="61" t="s">
        <v>2</v>
      </c>
      <c r="E86" s="62">
        <f t="shared" si="13"/>
        <v>0</v>
      </c>
      <c r="F86" s="63">
        <f>'Прайс для расчета'!E78</f>
        <v>240.05099999999999</v>
      </c>
      <c r="G86" s="64">
        <f t="shared" si="10"/>
        <v>0</v>
      </c>
      <c r="I86" s="135">
        <f>'Прайс для расчета (М)'!E78</f>
        <v>120.02549999999999</v>
      </c>
      <c r="J86" s="36">
        <f t="shared" si="11"/>
        <v>0</v>
      </c>
    </row>
    <row r="87" spans="2:10" ht="15.6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4">F88*E88</f>
        <v>86.478000000000009</v>
      </c>
      <c r="I88" s="135">
        <f>'Прайс для расчета (М)'!E79</f>
        <v>43.239000000000004</v>
      </c>
      <c r="J88" s="36">
        <f t="shared" ref="J88:J96" si="15">I88*E88</f>
        <v>43.239000000000004</v>
      </c>
    </row>
    <row r="89" spans="2:10" ht="15.6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4"/>
        <v>420.46199999999999</v>
      </c>
      <c r="I89" s="135">
        <f>'Прайс для расчета (М)'!E80</f>
        <v>210.23099999999999</v>
      </c>
      <c r="J89" s="36">
        <f t="shared" si="15"/>
        <v>210.23099999999999</v>
      </c>
    </row>
    <row r="90" spans="2:10" ht="15.6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4"/>
        <v>591.92700000000002</v>
      </c>
      <c r="I90" s="135">
        <f>'Прайс для расчета (М)'!E81</f>
        <v>295.96350000000001</v>
      </c>
      <c r="J90" s="36">
        <f t="shared" si="15"/>
        <v>295.96350000000001</v>
      </c>
    </row>
    <row r="91" spans="2:10" ht="15.6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4"/>
        <v>335.47500000000002</v>
      </c>
      <c r="I91" s="135">
        <f>'Прайс для расчета (М)'!E82</f>
        <v>167.73750000000001</v>
      </c>
      <c r="J91" s="36">
        <f t="shared" si="15"/>
        <v>167.73750000000001</v>
      </c>
    </row>
    <row r="92" spans="2:10" ht="15.6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4"/>
        <v>102.87899999999999</v>
      </c>
      <c r="I92" s="135">
        <f>'Прайс для расчета (М)'!E83</f>
        <v>51.439499999999995</v>
      </c>
      <c r="J92" s="36">
        <f t="shared" si="15"/>
        <v>51.439499999999995</v>
      </c>
    </row>
    <row r="93" spans="2:10" ht="15.6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4"/>
        <v>644.11199999999997</v>
      </c>
      <c r="I93" s="135">
        <f>'Прайс для расчета (М)'!E84</f>
        <v>322.05599999999998</v>
      </c>
      <c r="J93" s="36">
        <f t="shared" si="15"/>
        <v>322.05599999999998</v>
      </c>
    </row>
    <row r="94" spans="2:10" ht="15.6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4"/>
        <v>678.40500000000009</v>
      </c>
      <c r="I94" s="135">
        <f>'Прайс для расчета (М)'!E85</f>
        <v>339.20250000000004</v>
      </c>
      <c r="J94" s="36">
        <f t="shared" si="15"/>
        <v>339.20250000000004</v>
      </c>
    </row>
    <row r="95" spans="2:10" ht="15.6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4"/>
        <v>395.11499999999995</v>
      </c>
      <c r="I95" s="135">
        <f>'Прайс для расчета (М)'!E86</f>
        <v>197.55749999999998</v>
      </c>
      <c r="J95" s="36">
        <f t="shared" si="15"/>
        <v>197.55749999999998</v>
      </c>
    </row>
    <row r="96" spans="2:10" ht="15.6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4"/>
        <v>849.87</v>
      </c>
      <c r="I96" s="135">
        <f>'Прайс для расчета (М)'!E87</f>
        <v>424.935</v>
      </c>
      <c r="J96" s="36">
        <f t="shared" si="15"/>
        <v>424.935</v>
      </c>
    </row>
    <row r="97" spans="2:10" ht="15.6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6">F98*E98</f>
        <v>987.04200000000003</v>
      </c>
      <c r="I98" s="135">
        <f>'Прайс для расчета (М)'!E88</f>
        <v>493.52100000000002</v>
      </c>
      <c r="J98" s="36">
        <f t="shared" ref="J98:J104" si="17">I98*E98</f>
        <v>493.52100000000002</v>
      </c>
    </row>
    <row r="99" spans="2:10" ht="15.6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6"/>
        <v>0</v>
      </c>
      <c r="I99" s="135">
        <f>'Прайс для расчета (М)'!E89</f>
        <v>124.49849999999999</v>
      </c>
      <c r="J99" s="36">
        <f t="shared" si="17"/>
        <v>0</v>
      </c>
    </row>
    <row r="100" spans="2:10" ht="15.6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6"/>
        <v>326.529</v>
      </c>
      <c r="I100" s="135">
        <f>'Прайс для расчета (М)'!E90</f>
        <v>163.2645</v>
      </c>
      <c r="J100" s="36">
        <f t="shared" si="17"/>
        <v>163.2645</v>
      </c>
    </row>
    <row r="101" spans="2:10" ht="15.6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6"/>
        <v>1698.249</v>
      </c>
      <c r="I101" s="135">
        <f>'Прайс для расчета (М)'!E91</f>
        <v>849.12450000000001</v>
      </c>
      <c r="J101" s="36">
        <f t="shared" si="17"/>
        <v>849.12450000000001</v>
      </c>
    </row>
    <row r="102" spans="2:10" ht="15.6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6"/>
        <v>335.47500000000002</v>
      </c>
      <c r="I102" s="135">
        <f>'Прайс для расчета (М)'!E92</f>
        <v>167.73750000000001</v>
      </c>
      <c r="J102" s="36">
        <f t="shared" si="17"/>
        <v>167.73750000000001</v>
      </c>
    </row>
    <row r="103" spans="2:10" ht="15.6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6"/>
        <v>240.05099999999999</v>
      </c>
      <c r="I103" s="135">
        <f>'Прайс для расчета (М)'!E93</f>
        <v>120.02549999999999</v>
      </c>
      <c r="J103" s="36">
        <f t="shared" si="17"/>
        <v>120.02549999999999</v>
      </c>
    </row>
    <row r="104" spans="2:10" ht="15.6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6"/>
        <v>102.87899999999999</v>
      </c>
      <c r="I104" s="135">
        <f>'Прайс для расчета (М)'!E94</f>
        <v>51.439499999999995</v>
      </c>
      <c r="J104" s="36">
        <f t="shared" si="17"/>
        <v>51.439499999999995</v>
      </c>
    </row>
    <row r="105" spans="2:10" ht="15.6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8">F106*E106</f>
        <v>472.5</v>
      </c>
      <c r="I106" s="135">
        <f>'Прайс для расчета (М)'!E95</f>
        <v>236.25</v>
      </c>
      <c r="J106" s="36">
        <f t="shared" ref="J106:J125" si="19">I106*E106</f>
        <v>236.25</v>
      </c>
    </row>
    <row r="107" spans="2:10" ht="15.6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8"/>
        <v>840</v>
      </c>
      <c r="I107" s="135">
        <f>'Прайс для расчета (М)'!E96</f>
        <v>420</v>
      </c>
      <c r="J107" s="36">
        <f t="shared" si="19"/>
        <v>420</v>
      </c>
    </row>
    <row r="108" spans="2:10" ht="15.6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8"/>
        <v>420.46199999999999</v>
      </c>
      <c r="I108" s="135">
        <f>'Прайс для расчета (М)'!E97</f>
        <v>210.23099999999999</v>
      </c>
      <c r="J108" s="36">
        <f t="shared" si="19"/>
        <v>210.23099999999999</v>
      </c>
    </row>
    <row r="109" spans="2:10" ht="15.6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8"/>
        <v>1021.3349999999999</v>
      </c>
      <c r="I109" s="135">
        <f>'Прайс для расчета (М)'!E98</f>
        <v>510.66749999999996</v>
      </c>
      <c r="J109" s="36">
        <f t="shared" si="19"/>
        <v>510.66749999999996</v>
      </c>
    </row>
    <row r="110" spans="2:10" ht="15.6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8"/>
        <v>4179</v>
      </c>
      <c r="I110" s="135">
        <f>'Прайс для расчета (М)'!E99</f>
        <v>2089.5</v>
      </c>
      <c r="J110" s="36">
        <f t="shared" si="19"/>
        <v>2089.5</v>
      </c>
    </row>
    <row r="111" spans="2:10" ht="15.6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8"/>
        <v>1183.854</v>
      </c>
      <c r="I111" s="135">
        <f>'Прайс для расчета (М)'!E100</f>
        <v>591.92700000000002</v>
      </c>
      <c r="J111" s="36">
        <f t="shared" si="19"/>
        <v>591.92700000000002</v>
      </c>
    </row>
    <row r="112" spans="2:10" ht="15.6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8"/>
        <v>3129</v>
      </c>
      <c r="I112" s="135">
        <f>'Прайс для расчета (М)'!E101</f>
        <v>1564.5</v>
      </c>
      <c r="J112" s="36">
        <f t="shared" si="19"/>
        <v>1564.5</v>
      </c>
    </row>
    <row r="113" spans="2:10" ht="15.6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8"/>
        <v>591.92700000000002</v>
      </c>
      <c r="I113" s="135">
        <f>'Прайс для расчета (М)'!E102</f>
        <v>295.96350000000001</v>
      </c>
      <c r="J113" s="36">
        <f t="shared" si="19"/>
        <v>295.96350000000001</v>
      </c>
    </row>
    <row r="114" spans="2:10" ht="15.6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8"/>
        <v>678.40500000000009</v>
      </c>
      <c r="I114" s="135">
        <f>'Прайс для расчета (М)'!E103</f>
        <v>339.20250000000004</v>
      </c>
      <c r="J114" s="36">
        <f t="shared" si="19"/>
        <v>339.20250000000004</v>
      </c>
    </row>
    <row r="115" spans="2:10" ht="15.6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8"/>
        <v>849.87</v>
      </c>
      <c r="I115" s="135">
        <f>'Прайс для расчета (М)'!E104</f>
        <v>424.935</v>
      </c>
      <c r="J115" s="36">
        <f t="shared" si="19"/>
        <v>424.935</v>
      </c>
    </row>
    <row r="116" spans="2:10" ht="15.6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8"/>
        <v>849.87</v>
      </c>
      <c r="I116" s="135">
        <f>'Прайс для расчета (М)'!E105</f>
        <v>424.935</v>
      </c>
      <c r="J116" s="36">
        <f t="shared" si="19"/>
        <v>424.935</v>
      </c>
    </row>
    <row r="117" spans="2:10" ht="15.6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8"/>
        <v>678.40500000000009</v>
      </c>
      <c r="I117" s="135">
        <f>'Прайс для расчета (М)'!E106</f>
        <v>339.20250000000004</v>
      </c>
      <c r="J117" s="36">
        <f t="shared" si="19"/>
        <v>339.20250000000004</v>
      </c>
    </row>
    <row r="118" spans="2:10" ht="15.6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8"/>
        <v>1106.3219999999999</v>
      </c>
      <c r="I118" s="135">
        <f>'Прайс для расчета (М)'!E107</f>
        <v>553.16099999999994</v>
      </c>
      <c r="J118" s="36">
        <f t="shared" si="19"/>
        <v>553.16099999999994</v>
      </c>
    </row>
    <row r="119" spans="2:10" ht="15.6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8"/>
        <v>892.5</v>
      </c>
      <c r="I119" s="135">
        <f>'Прайс для расчета (М)'!E108</f>
        <v>446.25</v>
      </c>
      <c r="J119" s="36">
        <f t="shared" si="19"/>
        <v>446.25</v>
      </c>
    </row>
    <row r="120" spans="2:10" ht="15.6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8"/>
        <v>164.01</v>
      </c>
      <c r="I120" s="135">
        <f>'Прайс для расчета (М)'!E109</f>
        <v>82.004999999999995</v>
      </c>
      <c r="J120" s="36">
        <f t="shared" si="19"/>
        <v>82.004999999999995</v>
      </c>
    </row>
    <row r="121" spans="2:10" ht="15.6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8"/>
        <v>102.87899999999999</v>
      </c>
      <c r="I121" s="135">
        <f>'Прайс для расчета (М)'!E110</f>
        <v>51.439499999999995</v>
      </c>
      <c r="J121" s="36">
        <f t="shared" si="19"/>
        <v>51.439499999999995</v>
      </c>
    </row>
    <row r="122" spans="2:10" ht="15.6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8"/>
        <v>248.99699999999999</v>
      </c>
      <c r="I122" s="135">
        <f>'Прайс для расчета (М)'!E111</f>
        <v>124.49849999999999</v>
      </c>
      <c r="J122" s="36">
        <f t="shared" si="19"/>
        <v>124.49849999999999</v>
      </c>
    </row>
    <row r="123" spans="2:10" ht="15.6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8"/>
        <v>395.11499999999995</v>
      </c>
      <c r="I123" s="135">
        <f>'Прайс для расчета (М)'!E112</f>
        <v>197.55749999999998</v>
      </c>
      <c r="J123" s="36">
        <f t="shared" si="19"/>
        <v>197.55749999999998</v>
      </c>
    </row>
    <row r="124" spans="2:10" ht="15.6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8"/>
        <v>978.096</v>
      </c>
      <c r="I124" s="135">
        <f>'Прайс для расчета (М)'!E113</f>
        <v>489.048</v>
      </c>
      <c r="J124" s="36">
        <f t="shared" si="19"/>
        <v>489.048</v>
      </c>
    </row>
    <row r="125" spans="2:10" ht="15.6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8"/>
        <v>1183.854</v>
      </c>
      <c r="I125" s="135">
        <f>'Прайс для расчета (М)'!E114</f>
        <v>591.92700000000002</v>
      </c>
      <c r="J125" s="36">
        <f t="shared" si="19"/>
        <v>591.92700000000002</v>
      </c>
    </row>
    <row r="126" spans="2:10" ht="15.6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20">F127*E127</f>
        <v>146.11799999999999</v>
      </c>
      <c r="I127" s="135">
        <f>'Прайс для расчета (М)'!E115</f>
        <v>73.058999999999997</v>
      </c>
      <c r="J127" s="36">
        <f t="shared" ref="J127:J136" si="21">I127*E127</f>
        <v>73.058999999999997</v>
      </c>
    </row>
    <row r="128" spans="2:10" ht="15.6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20"/>
        <v>164.01</v>
      </c>
      <c r="I128" s="135">
        <f>'Прайс для расчета (М)'!E116</f>
        <v>82.004999999999995</v>
      </c>
      <c r="J128" s="36">
        <f t="shared" si="21"/>
        <v>82.004999999999995</v>
      </c>
    </row>
    <row r="129" spans="2:10" ht="15.6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20"/>
        <v>335.47500000000002</v>
      </c>
      <c r="I129" s="135">
        <f>'Прайс для расчета (М)'!E117</f>
        <v>167.73750000000001</v>
      </c>
      <c r="J129" s="36">
        <f t="shared" si="21"/>
        <v>167.73750000000001</v>
      </c>
    </row>
    <row r="130" spans="2:10" ht="15.6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20"/>
        <v>1021.3349999999999</v>
      </c>
      <c r="I130" s="135">
        <f>'Прайс для расчета (М)'!E118</f>
        <v>510.66749999999996</v>
      </c>
      <c r="J130" s="36">
        <f t="shared" si="21"/>
        <v>510.66749999999996</v>
      </c>
    </row>
    <row r="131" spans="2:10" ht="15.6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20"/>
        <v>34.292999999999999</v>
      </c>
      <c r="I131" s="135">
        <f>'Прайс для расчета (М)'!E119</f>
        <v>17.1465</v>
      </c>
      <c r="J131" s="36">
        <f t="shared" si="21"/>
        <v>17.1465</v>
      </c>
    </row>
    <row r="132" spans="2:10" ht="15.6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20"/>
        <v>164.01</v>
      </c>
      <c r="I132" s="135">
        <f>'Прайс для расчета (М)'!E120</f>
        <v>82.004999999999995</v>
      </c>
      <c r="J132" s="36">
        <f t="shared" si="21"/>
        <v>82.004999999999995</v>
      </c>
    </row>
    <row r="133" spans="2:10" ht="15.6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20"/>
        <v>600.87300000000005</v>
      </c>
      <c r="I133" s="135">
        <f>'Прайс для расчета (М)'!E121</f>
        <v>300.43650000000002</v>
      </c>
      <c r="J133" s="36">
        <f t="shared" si="21"/>
        <v>300.43650000000002</v>
      </c>
    </row>
    <row r="134" spans="2:10" ht="15.6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20"/>
        <v>3936.24</v>
      </c>
      <c r="I134" s="135">
        <f>'Прайс для расчета (М)'!E122</f>
        <v>1968.12</v>
      </c>
      <c r="J134" s="36">
        <f t="shared" si="21"/>
        <v>1968.12</v>
      </c>
    </row>
    <row r="135" spans="2:10" ht="15.6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20"/>
        <v>5093.2559999999994</v>
      </c>
      <c r="I135" s="135">
        <f>'Прайс для расчета (М)'!E123</f>
        <v>2546.6279999999997</v>
      </c>
      <c r="J135" s="36">
        <f t="shared" si="21"/>
        <v>2546.6279999999997</v>
      </c>
    </row>
    <row r="136" spans="2:10" ht="15.6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20"/>
        <v>4244.8769999999995</v>
      </c>
      <c r="I136" s="135">
        <f>'Прайс для расчета (М)'!E124</f>
        <v>2122.4384999999997</v>
      </c>
      <c r="J136" s="36">
        <f t="shared" si="21"/>
        <v>2122.4384999999997</v>
      </c>
    </row>
    <row r="137" spans="2:10" ht="15.6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0</v>
      </c>
      <c r="C138" s="164" t="s">
        <v>199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0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/>
      <c r="C140" s="78" t="s">
        <v>1018</v>
      </c>
      <c r="D140" s="74" t="s">
        <v>2</v>
      </c>
      <c r="E140" s="75">
        <f t="shared" ref="E140:E164" si="22">$A$4</f>
        <v>0</v>
      </c>
      <c r="F140" s="63">
        <f>'Прайс для расчета'!E125</f>
        <v>94.5</v>
      </c>
      <c r="G140" s="64">
        <f t="shared" ref="G140:G164" si="23">F140*E140</f>
        <v>0</v>
      </c>
      <c r="I140" s="135">
        <f>'Прайс для расчета (М)'!E125</f>
        <v>47.25</v>
      </c>
      <c r="J140" s="36">
        <f t="shared" ref="J140:J164" si="24">I140*E140</f>
        <v>0</v>
      </c>
    </row>
    <row r="141" spans="2:10" ht="15.6" x14ac:dyDescent="0.3">
      <c r="B141" s="59"/>
      <c r="C141" s="69" t="s">
        <v>1128</v>
      </c>
      <c r="D141" s="74" t="s">
        <v>2</v>
      </c>
      <c r="E141" s="75">
        <f t="shared" si="22"/>
        <v>0</v>
      </c>
      <c r="F141" s="63">
        <f>'Прайс для расчета'!E126</f>
        <v>157.5</v>
      </c>
      <c r="G141" s="64">
        <f t="shared" si="23"/>
        <v>0</v>
      </c>
      <c r="I141" s="135">
        <f>'Прайс для расчета (М)'!E126</f>
        <v>78.75</v>
      </c>
      <c r="J141" s="36">
        <f t="shared" si="24"/>
        <v>0</v>
      </c>
    </row>
    <row r="142" spans="2:10" ht="15.6" x14ac:dyDescent="0.3">
      <c r="B142" s="59"/>
      <c r="C142" s="78" t="s">
        <v>1019</v>
      </c>
      <c r="D142" s="74" t="s">
        <v>2</v>
      </c>
      <c r="E142" s="75">
        <f t="shared" si="22"/>
        <v>0</v>
      </c>
      <c r="F142" s="63">
        <f>'Прайс для расчета'!E127</f>
        <v>114.45</v>
      </c>
      <c r="G142" s="64">
        <f t="shared" si="23"/>
        <v>0</v>
      </c>
      <c r="I142" s="135">
        <f>'Прайс для расчета (М)'!E127</f>
        <v>57.225000000000001</v>
      </c>
      <c r="J142" s="36">
        <f t="shared" si="24"/>
        <v>0</v>
      </c>
    </row>
    <row r="143" spans="2:10" ht="15.6" x14ac:dyDescent="0.3">
      <c r="B143" s="59"/>
      <c r="C143" s="78" t="s">
        <v>1034</v>
      </c>
      <c r="D143" s="74" t="s">
        <v>2</v>
      </c>
      <c r="E143" s="75">
        <f t="shared" si="22"/>
        <v>0</v>
      </c>
      <c r="F143" s="63">
        <f>'Прайс для расчета'!E128</f>
        <v>0</v>
      </c>
      <c r="G143" s="64">
        <f t="shared" ref="G143:G147" si="25">F143*E143</f>
        <v>0</v>
      </c>
      <c r="I143" s="135">
        <f>'Прайс для расчета (М)'!E128</f>
        <v>0</v>
      </c>
      <c r="J143" s="36">
        <f t="shared" si="24"/>
        <v>0</v>
      </c>
    </row>
    <row r="144" spans="2:10" ht="15.6" x14ac:dyDescent="0.3">
      <c r="B144" s="59"/>
      <c r="C144" s="69" t="s">
        <v>930</v>
      </c>
      <c r="D144" s="74" t="s">
        <v>2</v>
      </c>
      <c r="E144" s="75">
        <f t="shared" si="22"/>
        <v>0</v>
      </c>
      <c r="F144" s="63">
        <f>'Прайс для расчета'!E129</f>
        <v>576.45000000000005</v>
      </c>
      <c r="G144" s="64">
        <f t="shared" si="25"/>
        <v>0</v>
      </c>
      <c r="I144" s="135">
        <f>'Прайс для расчета (М)'!E129</f>
        <v>288.22500000000002</v>
      </c>
      <c r="J144" s="36">
        <f t="shared" si="24"/>
        <v>0</v>
      </c>
    </row>
    <row r="145" spans="2:10" ht="15.6" x14ac:dyDescent="0.3">
      <c r="B145" s="59"/>
      <c r="C145" s="69" t="s">
        <v>931</v>
      </c>
      <c r="D145" s="74" t="s">
        <v>2</v>
      </c>
      <c r="E145" s="75">
        <f t="shared" si="22"/>
        <v>0</v>
      </c>
      <c r="F145" s="63">
        <f>'Прайс для расчета'!E130</f>
        <v>681.45</v>
      </c>
      <c r="G145" s="64">
        <f t="shared" si="25"/>
        <v>0</v>
      </c>
      <c r="I145" s="135">
        <f>'Прайс для расчета (М)'!E130</f>
        <v>340.72500000000002</v>
      </c>
      <c r="J145" s="36">
        <f t="shared" si="24"/>
        <v>0</v>
      </c>
    </row>
    <row r="146" spans="2:10" ht="15.6" x14ac:dyDescent="0.3">
      <c r="B146" s="59"/>
      <c r="C146" s="69" t="s">
        <v>932</v>
      </c>
      <c r="D146" s="74" t="s">
        <v>2</v>
      </c>
      <c r="E146" s="75">
        <f t="shared" si="22"/>
        <v>0</v>
      </c>
      <c r="F146" s="63">
        <f>'Прайс для расчета'!E131</f>
        <v>891.45</v>
      </c>
      <c r="G146" s="64">
        <f t="shared" si="25"/>
        <v>0</v>
      </c>
      <c r="I146" s="135">
        <f>'Прайс для расчета (М)'!E131</f>
        <v>445.72500000000002</v>
      </c>
      <c r="J146" s="36">
        <f t="shared" si="24"/>
        <v>0</v>
      </c>
    </row>
    <row r="147" spans="2:10" ht="15.6" x14ac:dyDescent="0.3">
      <c r="B147" s="59"/>
      <c r="C147" s="69" t="s">
        <v>357</v>
      </c>
      <c r="D147" s="74" t="s">
        <v>2</v>
      </c>
      <c r="E147" s="75">
        <f t="shared" si="22"/>
        <v>0</v>
      </c>
      <c r="F147" s="63">
        <f>'Прайс для расчета'!E132</f>
        <v>996.45</v>
      </c>
      <c r="G147" s="64">
        <f t="shared" si="25"/>
        <v>0</v>
      </c>
      <c r="I147" s="135">
        <f>'Прайс для расчета (М)'!E132</f>
        <v>498.22500000000002</v>
      </c>
      <c r="J147" s="36">
        <f t="shared" si="24"/>
        <v>0</v>
      </c>
    </row>
    <row r="148" spans="2:10" ht="15.6" x14ac:dyDescent="0.3">
      <c r="B148" s="59"/>
      <c r="C148" s="69" t="s">
        <v>1127</v>
      </c>
      <c r="D148" s="74" t="s">
        <v>2</v>
      </c>
      <c r="E148" s="75">
        <f t="shared" si="22"/>
        <v>0</v>
      </c>
      <c r="F148" s="63">
        <f>'Прайс для расчета'!E133</f>
        <v>1101.45</v>
      </c>
      <c r="G148" s="64">
        <f t="shared" si="23"/>
        <v>0</v>
      </c>
      <c r="I148" s="135">
        <f>'Прайс для расчета (М)'!E133</f>
        <v>550.72500000000002</v>
      </c>
      <c r="J148" s="36">
        <f t="shared" si="24"/>
        <v>0</v>
      </c>
    </row>
    <row r="149" spans="2:10" ht="15.6" x14ac:dyDescent="0.3">
      <c r="B149" s="59"/>
      <c r="C149" s="78" t="s">
        <v>151</v>
      </c>
      <c r="D149" s="74" t="s">
        <v>2</v>
      </c>
      <c r="E149" s="75">
        <f t="shared" si="22"/>
        <v>0</v>
      </c>
      <c r="F149" s="63">
        <f>'Прайс для расчета'!E134</f>
        <v>271.95</v>
      </c>
      <c r="G149" s="64">
        <f t="shared" si="23"/>
        <v>0</v>
      </c>
      <c r="I149" s="135">
        <f>'Прайс для расчета (М)'!E134</f>
        <v>135.97499999999999</v>
      </c>
      <c r="J149" s="36">
        <f t="shared" si="24"/>
        <v>0</v>
      </c>
    </row>
    <row r="150" spans="2:10" ht="15.6" x14ac:dyDescent="0.3">
      <c r="B150" s="59"/>
      <c r="C150" s="78" t="s">
        <v>499</v>
      </c>
      <c r="D150" s="74" t="s">
        <v>2</v>
      </c>
      <c r="E150" s="75">
        <f t="shared" si="22"/>
        <v>0</v>
      </c>
      <c r="F150" s="63">
        <f>'Прайс для расчета'!E135</f>
        <v>262.5</v>
      </c>
      <c r="G150" s="64">
        <f t="shared" si="23"/>
        <v>0</v>
      </c>
      <c r="I150" s="135">
        <f>'Прайс для расчета (М)'!E135</f>
        <v>131.25</v>
      </c>
      <c r="J150" s="36">
        <f t="shared" si="24"/>
        <v>0</v>
      </c>
    </row>
    <row r="151" spans="2:10" ht="15.6" x14ac:dyDescent="0.3">
      <c r="B151" s="59"/>
      <c r="C151" s="78" t="s">
        <v>500</v>
      </c>
      <c r="D151" s="74" t="s">
        <v>3</v>
      </c>
      <c r="E151" s="62">
        <f>$A$2</f>
        <v>0</v>
      </c>
      <c r="F151" s="63">
        <f>'Прайс для расчета'!E136</f>
        <v>250.95000000000002</v>
      </c>
      <c r="G151" s="64">
        <f t="shared" si="23"/>
        <v>0</v>
      </c>
      <c r="I151" s="135">
        <f>'Прайс для расчета (М)'!E136</f>
        <v>125.47500000000001</v>
      </c>
      <c r="J151" s="36">
        <f t="shared" si="24"/>
        <v>0</v>
      </c>
    </row>
    <row r="152" spans="2:10" ht="15.6" x14ac:dyDescent="0.3">
      <c r="B152" s="59"/>
      <c r="C152" s="78" t="s">
        <v>1024</v>
      </c>
      <c r="D152" s="74" t="s">
        <v>2</v>
      </c>
      <c r="E152" s="75">
        <f t="shared" si="22"/>
        <v>0</v>
      </c>
      <c r="F152" s="63">
        <f>'Прайс для расчета'!E137</f>
        <v>204.75</v>
      </c>
      <c r="G152" s="64">
        <f t="shared" si="23"/>
        <v>0</v>
      </c>
      <c r="I152" s="135">
        <f>'Прайс для расчета (М)'!E137</f>
        <v>102.375</v>
      </c>
      <c r="J152" s="36">
        <f t="shared" si="24"/>
        <v>0</v>
      </c>
    </row>
    <row r="153" spans="2:10" ht="15.6" x14ac:dyDescent="0.3">
      <c r="B153" s="59"/>
      <c r="C153" s="78" t="s">
        <v>359</v>
      </c>
      <c r="D153" s="74" t="s">
        <v>2</v>
      </c>
      <c r="E153" s="75">
        <f t="shared" si="22"/>
        <v>0</v>
      </c>
      <c r="F153" s="63">
        <f>'Прайс для расчета'!E138</f>
        <v>299.25</v>
      </c>
      <c r="G153" s="64">
        <f t="shared" si="23"/>
        <v>0</v>
      </c>
      <c r="I153" s="135">
        <f>'Прайс для расчета (М)'!E138</f>
        <v>149.625</v>
      </c>
      <c r="J153" s="36">
        <f t="shared" si="24"/>
        <v>0</v>
      </c>
    </row>
    <row r="154" spans="2:10" ht="15.6" x14ac:dyDescent="0.3">
      <c r="B154" s="59"/>
      <c r="C154" s="78" t="s">
        <v>360</v>
      </c>
      <c r="D154" s="74" t="s">
        <v>2</v>
      </c>
      <c r="E154" s="75">
        <f t="shared" si="22"/>
        <v>0</v>
      </c>
      <c r="F154" s="63">
        <f>'Прайс для расчета'!E139</f>
        <v>104.36999999999999</v>
      </c>
      <c r="G154" s="64">
        <f t="shared" si="23"/>
        <v>0</v>
      </c>
      <c r="I154" s="135">
        <f>'Прайс для расчета (М)'!E139</f>
        <v>52.184999999999995</v>
      </c>
      <c r="J154" s="36">
        <f t="shared" si="24"/>
        <v>0</v>
      </c>
    </row>
    <row r="155" spans="2:10" ht="15.6" x14ac:dyDescent="0.3">
      <c r="B155" s="59"/>
      <c r="C155" s="78" t="s">
        <v>361</v>
      </c>
      <c r="D155" s="74" t="s">
        <v>2</v>
      </c>
      <c r="E155" s="75">
        <f t="shared" si="22"/>
        <v>0</v>
      </c>
      <c r="F155" s="63">
        <f>'Прайс для расчета'!E140</f>
        <v>498.75</v>
      </c>
      <c r="G155" s="64">
        <f t="shared" si="23"/>
        <v>0</v>
      </c>
      <c r="I155" s="135">
        <f>'Прайс для расчета (М)'!E140</f>
        <v>249.375</v>
      </c>
      <c r="J155" s="36">
        <f t="shared" si="24"/>
        <v>0</v>
      </c>
    </row>
    <row r="156" spans="2:10" ht="15.6" x14ac:dyDescent="0.3">
      <c r="B156" s="59"/>
      <c r="C156" s="78" t="s">
        <v>501</v>
      </c>
      <c r="D156" s="74" t="s">
        <v>2</v>
      </c>
      <c r="E156" s="75">
        <f t="shared" si="22"/>
        <v>0</v>
      </c>
      <c r="F156" s="63">
        <f>'Прайс для расчета'!E141</f>
        <v>460.95000000000005</v>
      </c>
      <c r="G156" s="64">
        <f t="shared" si="23"/>
        <v>0</v>
      </c>
      <c r="I156" s="135">
        <f>'Прайс для расчета (М)'!E141</f>
        <v>230.47500000000002</v>
      </c>
      <c r="J156" s="36">
        <f t="shared" si="24"/>
        <v>0</v>
      </c>
    </row>
    <row r="157" spans="2:10" ht="15.6" x14ac:dyDescent="0.3">
      <c r="B157" s="59"/>
      <c r="C157" s="78" t="s">
        <v>362</v>
      </c>
      <c r="D157" s="74" t="s">
        <v>2</v>
      </c>
      <c r="E157" s="75">
        <f t="shared" si="22"/>
        <v>0</v>
      </c>
      <c r="F157" s="63">
        <f>'Прайс для расчета'!E142</f>
        <v>1942.5</v>
      </c>
      <c r="G157" s="64">
        <f t="shared" si="23"/>
        <v>0</v>
      </c>
      <c r="I157" s="135">
        <f>'Прайс для расчета (М)'!E142</f>
        <v>971.25</v>
      </c>
      <c r="J157" s="36">
        <f t="shared" si="24"/>
        <v>0</v>
      </c>
    </row>
    <row r="158" spans="2:10" ht="15.6" x14ac:dyDescent="0.3">
      <c r="B158" s="59"/>
      <c r="C158" s="78" t="s">
        <v>227</v>
      </c>
      <c r="D158" s="74" t="s">
        <v>2</v>
      </c>
      <c r="E158" s="75">
        <f t="shared" si="22"/>
        <v>0</v>
      </c>
      <c r="F158" s="63">
        <f>'Прайс для расчета'!E143</f>
        <v>362.25</v>
      </c>
      <c r="G158" s="64">
        <f t="shared" si="23"/>
        <v>0</v>
      </c>
      <c r="I158" s="135">
        <f>'Прайс для расчета (М)'!E143</f>
        <v>181.125</v>
      </c>
      <c r="J158" s="36">
        <f t="shared" si="24"/>
        <v>0</v>
      </c>
    </row>
    <row r="159" spans="2:10" ht="15.6" x14ac:dyDescent="0.3">
      <c r="B159" s="59"/>
      <c r="C159" s="78" t="s">
        <v>224</v>
      </c>
      <c r="D159" s="74" t="s">
        <v>2</v>
      </c>
      <c r="E159" s="75">
        <f t="shared" si="22"/>
        <v>0</v>
      </c>
      <c r="F159" s="63">
        <f>'Прайс для расчета'!E144</f>
        <v>271.95</v>
      </c>
      <c r="G159" s="64">
        <f t="shared" si="23"/>
        <v>0</v>
      </c>
      <c r="I159" s="135">
        <f>'Прайс для расчета (М)'!E144</f>
        <v>135.97499999999999</v>
      </c>
      <c r="J159" s="36">
        <f t="shared" si="24"/>
        <v>0</v>
      </c>
    </row>
    <row r="160" spans="2:10" ht="15.6" x14ac:dyDescent="0.3">
      <c r="B160" s="59"/>
      <c r="C160" s="78" t="s">
        <v>1025</v>
      </c>
      <c r="D160" s="74" t="s">
        <v>2</v>
      </c>
      <c r="E160" s="75">
        <f t="shared" si="22"/>
        <v>0</v>
      </c>
      <c r="F160" s="63">
        <f>'Прайс для расчета'!E145</f>
        <v>509.25</v>
      </c>
      <c r="G160" s="64">
        <f t="shared" si="23"/>
        <v>0</v>
      </c>
      <c r="I160" s="135">
        <f>'Прайс для расчета (М)'!E145</f>
        <v>254.625</v>
      </c>
      <c r="J160" s="36">
        <f t="shared" si="24"/>
        <v>0</v>
      </c>
    </row>
    <row r="161" spans="2:10" ht="15.6" x14ac:dyDescent="0.3">
      <c r="B161" s="59"/>
      <c r="C161" s="78" t="s">
        <v>363</v>
      </c>
      <c r="D161" s="74" t="s">
        <v>3</v>
      </c>
      <c r="E161" s="75">
        <f t="shared" si="22"/>
        <v>0</v>
      </c>
      <c r="F161" s="63">
        <f>'Прайс для расчета'!E146</f>
        <v>472.5</v>
      </c>
      <c r="G161" s="64">
        <f t="shared" si="23"/>
        <v>0</v>
      </c>
      <c r="I161" s="135">
        <f>'Прайс для расчета (М)'!E146</f>
        <v>236.25</v>
      </c>
      <c r="J161" s="36">
        <f t="shared" si="24"/>
        <v>0</v>
      </c>
    </row>
    <row r="162" spans="2:10" ht="15.6" x14ac:dyDescent="0.3">
      <c r="B162" s="59"/>
      <c r="C162" s="78" t="s">
        <v>364</v>
      </c>
      <c r="D162" s="74" t="s">
        <v>2</v>
      </c>
      <c r="E162" s="75">
        <f t="shared" si="22"/>
        <v>0</v>
      </c>
      <c r="F162" s="63">
        <f>'Прайс для расчета'!E147</f>
        <v>404.06100000000004</v>
      </c>
      <c r="G162" s="64">
        <f t="shared" si="23"/>
        <v>0</v>
      </c>
      <c r="I162" s="135">
        <f>'Прайс для расчета (М)'!E147</f>
        <v>202.03050000000002</v>
      </c>
      <c r="J162" s="36">
        <f t="shared" si="24"/>
        <v>0</v>
      </c>
    </row>
    <row r="163" spans="2:10" ht="15.6" x14ac:dyDescent="0.3">
      <c r="B163" s="59"/>
      <c r="C163" s="78" t="s">
        <v>365</v>
      </c>
      <c r="D163" s="74" t="s">
        <v>2</v>
      </c>
      <c r="E163" s="75">
        <f t="shared" si="22"/>
        <v>0</v>
      </c>
      <c r="F163" s="63">
        <f>'Прайс для расчета'!E148</f>
        <v>304.5</v>
      </c>
      <c r="G163" s="64">
        <f t="shared" si="23"/>
        <v>0</v>
      </c>
      <c r="I163" s="135">
        <f>'Прайс для расчета (М)'!E148</f>
        <v>152.25</v>
      </c>
      <c r="J163" s="36">
        <f t="shared" si="24"/>
        <v>0</v>
      </c>
    </row>
    <row r="164" spans="2:10" ht="15.6" x14ac:dyDescent="0.3">
      <c r="B164" s="59"/>
      <c r="C164" s="78" t="s">
        <v>366</v>
      </c>
      <c r="D164" s="74" t="s">
        <v>2</v>
      </c>
      <c r="E164" s="75">
        <f t="shared" si="22"/>
        <v>0</v>
      </c>
      <c r="F164" s="63">
        <f>'Прайс для расчета'!E149</f>
        <v>472.5</v>
      </c>
      <c r="G164" s="64">
        <f t="shared" si="23"/>
        <v>0</v>
      </c>
      <c r="I164" s="135">
        <f>'Прайс для расчета (М)'!E149</f>
        <v>236.25</v>
      </c>
      <c r="J164" s="36">
        <f t="shared" si="24"/>
        <v>0</v>
      </c>
    </row>
    <row r="165" spans="2:10" ht="15.6" x14ac:dyDescent="0.25">
      <c r="B165" s="59">
        <f>IF(SUM(B166:B208)&gt;0,1,0)</f>
        <v>0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/>
      <c r="C166" s="78" t="s">
        <v>1020</v>
      </c>
      <c r="D166" s="74" t="s">
        <v>2</v>
      </c>
      <c r="E166" s="75" t="e">
        <f t="shared" ref="E166:E182" si="26">$A$6</f>
        <v>#REF!</v>
      </c>
      <c r="F166" s="63">
        <f>'Прайс для расчета'!E150</f>
        <v>124.95</v>
      </c>
      <c r="G166" s="64" t="e">
        <f>F166*E166</f>
        <v>#REF!</v>
      </c>
      <c r="I166" s="135">
        <f>'Прайс для расчета (М)'!E150</f>
        <v>62.475000000000001</v>
      </c>
      <c r="J166" s="36" t="e">
        <f t="shared" ref="J166:J208" si="27">I166*E166</f>
        <v>#REF!</v>
      </c>
    </row>
    <row r="167" spans="2:10" ht="15.6" x14ac:dyDescent="0.3">
      <c r="B167" s="59"/>
      <c r="C167" s="69" t="s">
        <v>1107</v>
      </c>
      <c r="D167" s="74" t="s">
        <v>2</v>
      </c>
      <c r="E167" s="75" t="e">
        <f t="shared" si="26"/>
        <v>#REF!</v>
      </c>
      <c r="F167" s="63">
        <f>'Прайс для расчета'!E151</f>
        <v>892.5</v>
      </c>
      <c r="G167" s="64" t="e">
        <f>F167*E167</f>
        <v>#REF!</v>
      </c>
      <c r="I167" s="135">
        <f>'Прайс для расчета (М)'!E151</f>
        <v>446.25</v>
      </c>
      <c r="J167" s="36" t="e">
        <f t="shared" si="27"/>
        <v>#REF!</v>
      </c>
    </row>
    <row r="168" spans="2:10" ht="15.6" x14ac:dyDescent="0.3">
      <c r="B168" s="59"/>
      <c r="C168" s="69" t="s">
        <v>1108</v>
      </c>
      <c r="D168" s="74" t="s">
        <v>2</v>
      </c>
      <c r="E168" s="75" t="e">
        <f t="shared" si="26"/>
        <v>#REF!</v>
      </c>
      <c r="F168" s="63">
        <f>'Прайс для расчета'!E152</f>
        <v>1207.5</v>
      </c>
      <c r="G168" s="64" t="e">
        <f t="shared" ref="G168:G208" si="28">F168*E168</f>
        <v>#REF!</v>
      </c>
      <c r="I168" s="135">
        <f>'Прайс для расчета (М)'!E152</f>
        <v>603.75</v>
      </c>
      <c r="J168" s="36" t="e">
        <f t="shared" si="27"/>
        <v>#REF!</v>
      </c>
    </row>
    <row r="169" spans="2:10" ht="15.6" x14ac:dyDescent="0.3">
      <c r="B169" s="59"/>
      <c r="C169" s="69" t="s">
        <v>1109</v>
      </c>
      <c r="D169" s="74" t="s">
        <v>2</v>
      </c>
      <c r="E169" s="75" t="e">
        <f t="shared" si="26"/>
        <v>#REF!</v>
      </c>
      <c r="F169" s="63">
        <f>'Прайс для расчета'!E153</f>
        <v>624.75</v>
      </c>
      <c r="G169" s="64" t="e">
        <f t="shared" si="28"/>
        <v>#REF!</v>
      </c>
      <c r="I169" s="135">
        <f>'Прайс для расчета (М)'!E153</f>
        <v>312.375</v>
      </c>
      <c r="J169" s="36" t="e">
        <f t="shared" si="27"/>
        <v>#REF!</v>
      </c>
    </row>
    <row r="170" spans="2:10" ht="15.6" x14ac:dyDescent="0.3">
      <c r="B170" s="59"/>
      <c r="C170" s="69" t="s">
        <v>1110</v>
      </c>
      <c r="D170" s="74" t="s">
        <v>2</v>
      </c>
      <c r="E170" s="75" t="e">
        <f t="shared" si="26"/>
        <v>#REF!</v>
      </c>
      <c r="F170" s="63">
        <f>'Прайс для расчета'!E154</f>
        <v>729.75</v>
      </c>
      <c r="G170" s="64" t="e">
        <f t="shared" si="28"/>
        <v>#REF!</v>
      </c>
      <c r="I170" s="135">
        <f>'Прайс для расчета (М)'!E154</f>
        <v>364.875</v>
      </c>
      <c r="J170" s="36" t="e">
        <f t="shared" si="27"/>
        <v>#REF!</v>
      </c>
    </row>
    <row r="171" spans="2:10" ht="15.6" x14ac:dyDescent="0.3">
      <c r="B171" s="59"/>
      <c r="C171" s="69" t="s">
        <v>1115</v>
      </c>
      <c r="D171" s="74" t="s">
        <v>2</v>
      </c>
      <c r="E171" s="75" t="e">
        <f t="shared" si="26"/>
        <v>#REF!</v>
      </c>
      <c r="F171" s="63">
        <f>'Прайс для расчета'!E155</f>
        <v>943.95</v>
      </c>
      <c r="G171" s="64" t="e">
        <f t="shared" si="28"/>
        <v>#REF!</v>
      </c>
      <c r="I171" s="135">
        <f>'Прайс для расчета (М)'!E155</f>
        <v>471.97500000000002</v>
      </c>
      <c r="J171" s="36" t="e">
        <f t="shared" si="27"/>
        <v>#REF!</v>
      </c>
    </row>
    <row r="172" spans="2:10" ht="15.6" x14ac:dyDescent="0.3">
      <c r="B172" s="59"/>
      <c r="C172" s="78" t="s">
        <v>1028</v>
      </c>
      <c r="D172" s="74" t="s">
        <v>2</v>
      </c>
      <c r="E172" s="75" t="e">
        <f t="shared" si="26"/>
        <v>#REF!</v>
      </c>
      <c r="F172" s="63">
        <f>'Прайс для расчета'!E156</f>
        <v>787.5</v>
      </c>
      <c r="G172" s="64" t="e">
        <f t="shared" si="28"/>
        <v>#REF!</v>
      </c>
      <c r="I172" s="135">
        <f>'Прайс для расчета (М)'!E156</f>
        <v>393.75</v>
      </c>
      <c r="J172" s="36" t="e">
        <f t="shared" si="27"/>
        <v>#REF!</v>
      </c>
    </row>
    <row r="173" spans="2:10" ht="15.6" x14ac:dyDescent="0.3">
      <c r="B173" s="59"/>
      <c r="C173" s="78" t="s">
        <v>1029</v>
      </c>
      <c r="D173" s="74" t="s">
        <v>3</v>
      </c>
      <c r="E173" s="75" t="e">
        <f t="shared" si="26"/>
        <v>#REF!</v>
      </c>
      <c r="F173" s="63">
        <f>'Прайс для расчета'!E157</f>
        <v>651</v>
      </c>
      <c r="G173" s="64" t="e">
        <f t="shared" si="28"/>
        <v>#REF!</v>
      </c>
      <c r="I173" s="135">
        <f>'Прайс для расчета (М)'!E157</f>
        <v>325.5</v>
      </c>
      <c r="J173" s="36" t="e">
        <f t="shared" si="27"/>
        <v>#REF!</v>
      </c>
    </row>
    <row r="174" spans="2:10" ht="15.6" x14ac:dyDescent="0.3">
      <c r="B174" s="59"/>
      <c r="C174" s="78" t="s">
        <v>674</v>
      </c>
      <c r="D174" s="74" t="s">
        <v>2</v>
      </c>
      <c r="E174" s="75" t="e">
        <f t="shared" si="26"/>
        <v>#REF!</v>
      </c>
      <c r="F174" s="63">
        <f>'Прайс для расчета'!E158</f>
        <v>267.75</v>
      </c>
      <c r="G174" s="64" t="e">
        <f t="shared" si="28"/>
        <v>#REF!</v>
      </c>
      <c r="I174" s="135">
        <f>'Прайс для расчета (М)'!E158</f>
        <v>133.875</v>
      </c>
      <c r="J174" s="36" t="e">
        <f t="shared" si="27"/>
        <v>#REF!</v>
      </c>
    </row>
    <row r="175" spans="2:10" ht="15.6" x14ac:dyDescent="0.3">
      <c r="B175" s="59"/>
      <c r="C175" s="200" t="s">
        <v>1007</v>
      </c>
      <c r="D175" s="74" t="s">
        <v>2</v>
      </c>
      <c r="E175" s="75" t="e">
        <f t="shared" si="26"/>
        <v>#REF!</v>
      </c>
      <c r="F175" s="63">
        <f>'Прайс для расчета'!E159</f>
        <v>2992.5</v>
      </c>
      <c r="G175" s="64" t="e">
        <f t="shared" si="28"/>
        <v>#REF!</v>
      </c>
      <c r="I175" s="135">
        <f>'Прайс для расчета (М)'!E159</f>
        <v>1496.25</v>
      </c>
      <c r="J175" s="36" t="e">
        <f t="shared" si="27"/>
        <v>#REF!</v>
      </c>
    </row>
    <row r="176" spans="2:10" ht="15.6" x14ac:dyDescent="0.3">
      <c r="B176" s="59"/>
      <c r="C176" s="69" t="s">
        <v>1021</v>
      </c>
      <c r="D176" s="74" t="s">
        <v>2</v>
      </c>
      <c r="E176" s="75" t="e">
        <f t="shared" si="26"/>
        <v>#REF!</v>
      </c>
      <c r="F176" s="63">
        <f>'Прайс для расчета'!E160</f>
        <v>94.5</v>
      </c>
      <c r="G176" s="64" t="e">
        <f t="shared" si="28"/>
        <v>#REF!</v>
      </c>
      <c r="I176" s="135">
        <f>'Прайс для расчета (М)'!E160</f>
        <v>47.25</v>
      </c>
      <c r="J176" s="36" t="e">
        <f t="shared" si="27"/>
        <v>#REF!</v>
      </c>
    </row>
    <row r="177" spans="2:10" ht="15.6" x14ac:dyDescent="0.3">
      <c r="B177" s="59"/>
      <c r="C177" s="69" t="s">
        <v>1125</v>
      </c>
      <c r="D177" s="74" t="s">
        <v>2</v>
      </c>
      <c r="E177" s="75" t="e">
        <f t="shared" si="26"/>
        <v>#REF!</v>
      </c>
      <c r="F177" s="63">
        <f>'Прайс для расчета'!E161</f>
        <v>157.5</v>
      </c>
      <c r="G177" s="64" t="e">
        <f t="shared" ref="G177" si="29">F177*E177</f>
        <v>#REF!</v>
      </c>
      <c r="I177" s="135">
        <f>'Прайс для расчета (М)'!E161</f>
        <v>78.75</v>
      </c>
      <c r="J177" s="36" t="e">
        <f t="shared" si="27"/>
        <v>#REF!</v>
      </c>
    </row>
    <row r="178" spans="2:10" ht="15.6" x14ac:dyDescent="0.3">
      <c r="B178" s="59"/>
      <c r="C178" s="69" t="s">
        <v>1126</v>
      </c>
      <c r="D178" s="74" t="s">
        <v>2</v>
      </c>
      <c r="E178" s="75" t="e">
        <f t="shared" si="26"/>
        <v>#REF!</v>
      </c>
      <c r="F178" s="63">
        <f>'Прайс для расчета'!E162</f>
        <v>519.75</v>
      </c>
      <c r="G178" s="64" t="e">
        <f t="shared" si="28"/>
        <v>#REF!</v>
      </c>
      <c r="I178" s="135">
        <f>'Прайс для расчета (М)'!E162</f>
        <v>259.875</v>
      </c>
      <c r="J178" s="36" t="e">
        <f t="shared" si="27"/>
        <v>#REF!</v>
      </c>
    </row>
    <row r="179" spans="2:10" ht="15.6" x14ac:dyDescent="0.3">
      <c r="B179" s="59"/>
      <c r="C179" s="69" t="s">
        <v>1119</v>
      </c>
      <c r="D179" s="74" t="s">
        <v>2</v>
      </c>
      <c r="E179" s="75" t="e">
        <f t="shared" si="26"/>
        <v>#REF!</v>
      </c>
      <c r="F179" s="63">
        <f>'Прайс для расчета'!E163</f>
        <v>687.75</v>
      </c>
      <c r="G179" s="64" t="e">
        <f t="shared" si="28"/>
        <v>#REF!</v>
      </c>
      <c r="I179" s="135">
        <f>'Прайс для расчета (М)'!E163</f>
        <v>343.875</v>
      </c>
      <c r="J179" s="36" t="e">
        <f t="shared" si="27"/>
        <v>#REF!</v>
      </c>
    </row>
    <row r="180" spans="2:10" ht="15.6" x14ac:dyDescent="0.3">
      <c r="B180" s="59"/>
      <c r="C180" s="69" t="s">
        <v>1121</v>
      </c>
      <c r="D180" s="74" t="s">
        <v>2</v>
      </c>
      <c r="E180" s="75" t="e">
        <f t="shared" si="26"/>
        <v>#REF!</v>
      </c>
      <c r="F180" s="63">
        <f>'Прайс для расчета'!E164</f>
        <v>420</v>
      </c>
      <c r="G180" s="64" t="e">
        <f t="shared" si="28"/>
        <v>#REF!</v>
      </c>
      <c r="I180" s="135">
        <f>'Прайс для расчета (М)'!E164</f>
        <v>210</v>
      </c>
      <c r="J180" s="36" t="e">
        <f t="shared" si="27"/>
        <v>#REF!</v>
      </c>
    </row>
    <row r="181" spans="2:10" ht="15.6" x14ac:dyDescent="0.3">
      <c r="B181" s="59"/>
      <c r="C181" s="69" t="s">
        <v>1122</v>
      </c>
      <c r="D181" s="74" t="s">
        <v>2</v>
      </c>
      <c r="E181" s="75" t="e">
        <f t="shared" si="26"/>
        <v>#REF!</v>
      </c>
      <c r="F181" s="63">
        <f>'Прайс для расчета'!E165</f>
        <v>829.5</v>
      </c>
      <c r="G181" s="64" t="e">
        <f t="shared" si="28"/>
        <v>#REF!</v>
      </c>
      <c r="I181" s="135">
        <f>'Прайс для расчета (М)'!E165</f>
        <v>414.75</v>
      </c>
      <c r="J181" s="36" t="e">
        <f t="shared" si="27"/>
        <v>#REF!</v>
      </c>
    </row>
    <row r="182" spans="2:10" ht="15.6" x14ac:dyDescent="0.3">
      <c r="B182" s="59"/>
      <c r="C182" s="69" t="s">
        <v>1120</v>
      </c>
      <c r="D182" s="74" t="s">
        <v>2</v>
      </c>
      <c r="E182" s="75" t="e">
        <f t="shared" si="26"/>
        <v>#REF!</v>
      </c>
      <c r="F182" s="63">
        <f>'Прайс для расчета'!E166</f>
        <v>204.75</v>
      </c>
      <c r="G182" s="64" t="e">
        <f t="shared" si="28"/>
        <v>#REF!</v>
      </c>
      <c r="I182" s="135">
        <f>'Прайс для расчета (М)'!E166</f>
        <v>102.375</v>
      </c>
      <c r="J182" s="36" t="e">
        <f t="shared" si="27"/>
        <v>#REF!</v>
      </c>
    </row>
    <row r="183" spans="2:10" ht="15.6" x14ac:dyDescent="0.3">
      <c r="B183" s="59"/>
      <c r="C183" s="69" t="s">
        <v>1105</v>
      </c>
      <c r="D183" s="74" t="s">
        <v>3</v>
      </c>
      <c r="E183" s="75">
        <v>1</v>
      </c>
      <c r="F183" s="63">
        <f>'Прайс для расчета'!E167</f>
        <v>157.5</v>
      </c>
      <c r="G183" s="64">
        <f t="shared" si="28"/>
        <v>157.5</v>
      </c>
      <c r="I183" s="135">
        <f>'Прайс для расчета (М)'!E167</f>
        <v>78.75</v>
      </c>
      <c r="J183" s="36">
        <f t="shared" si="27"/>
        <v>78.75</v>
      </c>
    </row>
    <row r="184" spans="2:10" ht="15.6" x14ac:dyDescent="0.3">
      <c r="B184" s="59"/>
      <c r="C184" s="69" t="s">
        <v>1106</v>
      </c>
      <c r="D184" s="74" t="s">
        <v>3</v>
      </c>
      <c r="E184" s="75">
        <v>1</v>
      </c>
      <c r="F184" s="63">
        <f>'Прайс для расчета'!E168</f>
        <v>157.5</v>
      </c>
      <c r="G184" s="64">
        <f t="shared" si="28"/>
        <v>157.5</v>
      </c>
      <c r="I184" s="135">
        <f>'Прайс для расчета (М)'!E168</f>
        <v>78.75</v>
      </c>
      <c r="J184" s="36">
        <f t="shared" si="27"/>
        <v>78.75</v>
      </c>
    </row>
    <row r="185" spans="2:10" ht="15.6" x14ac:dyDescent="0.3">
      <c r="B185" s="59"/>
      <c r="C185" s="69" t="s">
        <v>1117</v>
      </c>
      <c r="D185" s="74" t="s">
        <v>2</v>
      </c>
      <c r="E185" s="75" t="e">
        <f t="shared" ref="E185:E191" si="30">$A$6</f>
        <v>#REF!</v>
      </c>
      <c r="F185" s="63">
        <f>'Прайс для расчета'!E169</f>
        <v>204.75</v>
      </c>
      <c r="G185" s="64" t="e">
        <f t="shared" si="28"/>
        <v>#REF!</v>
      </c>
      <c r="I185" s="135">
        <f>'Прайс для расчета (М)'!E169</f>
        <v>102.375</v>
      </c>
      <c r="J185" s="36" t="e">
        <f t="shared" si="27"/>
        <v>#REF!</v>
      </c>
    </row>
    <row r="186" spans="2:10" ht="15.6" x14ac:dyDescent="0.3">
      <c r="B186" s="59"/>
      <c r="C186" s="69" t="s">
        <v>1116</v>
      </c>
      <c r="D186" s="74" t="s">
        <v>2</v>
      </c>
      <c r="E186" s="75" t="e">
        <f t="shared" si="30"/>
        <v>#REF!</v>
      </c>
      <c r="F186" s="63">
        <f>'Прайс для расчета'!E170</f>
        <v>204.75</v>
      </c>
      <c r="G186" s="64" t="e">
        <f t="shared" si="28"/>
        <v>#REF!</v>
      </c>
      <c r="I186" s="135">
        <f>'Прайс для расчета (М)'!E170</f>
        <v>102.375</v>
      </c>
      <c r="J186" s="36" t="e">
        <f t="shared" si="27"/>
        <v>#REF!</v>
      </c>
    </row>
    <row r="187" spans="2:10" ht="15.6" x14ac:dyDescent="0.3">
      <c r="B187" s="59"/>
      <c r="C187" s="78" t="s">
        <v>376</v>
      </c>
      <c r="D187" s="74" t="s">
        <v>2</v>
      </c>
      <c r="E187" s="75" t="e">
        <f t="shared" si="30"/>
        <v>#REF!</v>
      </c>
      <c r="F187" s="63">
        <f>'Прайс для расчета'!E171</f>
        <v>1559.586</v>
      </c>
      <c r="G187" s="64" t="e">
        <f t="shared" si="28"/>
        <v>#REF!</v>
      </c>
      <c r="I187" s="135">
        <f>'Прайс для расчета (М)'!E171</f>
        <v>779.79300000000001</v>
      </c>
      <c r="J187" s="36" t="e">
        <f t="shared" si="27"/>
        <v>#REF!</v>
      </c>
    </row>
    <row r="188" spans="2:10" ht="15.6" x14ac:dyDescent="0.3">
      <c r="B188" s="59"/>
      <c r="C188" s="78" t="s">
        <v>377</v>
      </c>
      <c r="D188" s="74" t="s">
        <v>2</v>
      </c>
      <c r="E188" s="75" t="e">
        <f t="shared" si="30"/>
        <v>#REF!</v>
      </c>
      <c r="F188" s="63">
        <f>'Прайс для расчета'!E172</f>
        <v>1616.2440000000001</v>
      </c>
      <c r="G188" s="64" t="e">
        <f t="shared" si="28"/>
        <v>#REF!</v>
      </c>
      <c r="I188" s="135">
        <f>'Прайс для расчета (М)'!E172</f>
        <v>808.12200000000007</v>
      </c>
      <c r="J188" s="36" t="e">
        <f t="shared" si="27"/>
        <v>#REF!</v>
      </c>
    </row>
    <row r="189" spans="2:10" ht="15.6" x14ac:dyDescent="0.3">
      <c r="B189" s="59"/>
      <c r="C189" s="78" t="s">
        <v>378</v>
      </c>
      <c r="D189" s="74" t="s">
        <v>2</v>
      </c>
      <c r="E189" s="75" t="e">
        <f t="shared" si="30"/>
        <v>#REF!</v>
      </c>
      <c r="F189" s="63">
        <f>'Прайс для расчета'!E173</f>
        <v>1131.6690000000001</v>
      </c>
      <c r="G189" s="64" t="e">
        <f t="shared" si="28"/>
        <v>#REF!</v>
      </c>
      <c r="I189" s="135">
        <f>'Прайс для расчета (М)'!E173</f>
        <v>565.83450000000005</v>
      </c>
      <c r="J189" s="36" t="e">
        <f t="shared" si="27"/>
        <v>#REF!</v>
      </c>
    </row>
    <row r="190" spans="2:10" ht="15.6" x14ac:dyDescent="0.3">
      <c r="B190" s="59"/>
      <c r="C190" s="78" t="s">
        <v>379</v>
      </c>
      <c r="D190" s="74" t="s">
        <v>2</v>
      </c>
      <c r="E190" s="75" t="e">
        <f t="shared" si="30"/>
        <v>#REF!</v>
      </c>
      <c r="F190" s="63">
        <f>'Прайс для расчета'!E174</f>
        <v>1191.309</v>
      </c>
      <c r="G190" s="64" t="e">
        <f t="shared" si="28"/>
        <v>#REF!</v>
      </c>
      <c r="I190" s="135">
        <f>'Прайс для расчета (М)'!E174</f>
        <v>595.65449999999998</v>
      </c>
      <c r="J190" s="36" t="e">
        <f t="shared" si="27"/>
        <v>#REF!</v>
      </c>
    </row>
    <row r="191" spans="2:10" ht="15.6" x14ac:dyDescent="0.3">
      <c r="B191" s="59"/>
      <c r="C191" s="78" t="s">
        <v>380</v>
      </c>
      <c r="D191" s="74" t="s">
        <v>2</v>
      </c>
      <c r="E191" s="75" t="e">
        <f t="shared" si="30"/>
        <v>#REF!</v>
      </c>
      <c r="F191" s="63">
        <f>'Прайс для расчета'!E175</f>
        <v>1265.8589999999999</v>
      </c>
      <c r="G191" s="64" t="e">
        <f t="shared" si="28"/>
        <v>#REF!</v>
      </c>
      <c r="I191" s="135">
        <f>'Прайс для расчета (М)'!E175</f>
        <v>632.92949999999996</v>
      </c>
      <c r="J191" s="36" t="e">
        <f t="shared" si="27"/>
        <v>#REF!</v>
      </c>
    </row>
    <row r="192" spans="2:10" ht="15.6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8"/>
        <v>1417.5</v>
      </c>
      <c r="I192" s="135">
        <f>'Прайс для расчета (М)'!E176</f>
        <v>708.75</v>
      </c>
      <c r="J192" s="36">
        <f t="shared" si="27"/>
        <v>708.75</v>
      </c>
    </row>
    <row r="193" spans="2:10" ht="15.6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8"/>
        <v>1837.5</v>
      </c>
      <c r="I193" s="135">
        <f>'Прайс для расчета (М)'!E177</f>
        <v>918.75</v>
      </c>
      <c r="J193" s="36">
        <f t="shared" si="27"/>
        <v>918.75</v>
      </c>
    </row>
    <row r="194" spans="2:10" ht="15.6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8"/>
        <v>183.75</v>
      </c>
      <c r="I194" s="135">
        <f>'Прайс для расчета (М)'!E178</f>
        <v>91.875</v>
      </c>
      <c r="J194" s="36">
        <f t="shared" si="27"/>
        <v>91.875</v>
      </c>
    </row>
    <row r="195" spans="2:10" ht="15.6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8"/>
        <v>367.5</v>
      </c>
      <c r="I195" s="135">
        <f>'Прайс для расчета (М)'!E179</f>
        <v>183.75</v>
      </c>
      <c r="J195" s="36">
        <f t="shared" si="27"/>
        <v>183.75</v>
      </c>
    </row>
    <row r="196" spans="2:10" ht="15.6" x14ac:dyDescent="0.3">
      <c r="B196" s="59"/>
      <c r="C196" s="78" t="s">
        <v>508</v>
      </c>
      <c r="D196" s="74" t="s">
        <v>2</v>
      </c>
      <c r="E196" s="75" t="e">
        <f t="shared" ref="E196:E201" si="31">$A$6</f>
        <v>#REF!</v>
      </c>
      <c r="F196" s="63">
        <f>'Прайс для расчета'!E180</f>
        <v>481.95000000000005</v>
      </c>
      <c r="G196" s="64" t="e">
        <f t="shared" si="28"/>
        <v>#REF!</v>
      </c>
      <c r="I196" s="135">
        <f>'Прайс для расчета (М)'!E180</f>
        <v>240.97500000000002</v>
      </c>
      <c r="J196" s="36" t="e">
        <f t="shared" si="27"/>
        <v>#REF!</v>
      </c>
    </row>
    <row r="197" spans="2:10" ht="15.6" x14ac:dyDescent="0.3">
      <c r="B197" s="59"/>
      <c r="C197" s="78" t="s">
        <v>383</v>
      </c>
      <c r="D197" s="74" t="s">
        <v>2</v>
      </c>
      <c r="E197" s="75" t="e">
        <f t="shared" si="31"/>
        <v>#REF!</v>
      </c>
      <c r="F197" s="63">
        <f>'Прайс для расчета'!E181</f>
        <v>1506.75</v>
      </c>
      <c r="G197" s="64" t="e">
        <f t="shared" si="28"/>
        <v>#REF!</v>
      </c>
      <c r="I197" s="135">
        <f>'Прайс для расчета (М)'!E181</f>
        <v>753.375</v>
      </c>
      <c r="J197" s="36" t="e">
        <f t="shared" si="27"/>
        <v>#REF!</v>
      </c>
    </row>
    <row r="198" spans="2:10" ht="15.6" x14ac:dyDescent="0.3">
      <c r="B198" s="59"/>
      <c r="C198" s="78" t="s">
        <v>384</v>
      </c>
      <c r="D198" s="74" t="s">
        <v>2</v>
      </c>
      <c r="E198" s="75" t="e">
        <f t="shared" si="31"/>
        <v>#REF!</v>
      </c>
      <c r="F198" s="63">
        <f>'Прайс для расчета'!E182</f>
        <v>1821.75</v>
      </c>
      <c r="G198" s="64" t="e">
        <f t="shared" si="28"/>
        <v>#REF!</v>
      </c>
      <c r="I198" s="135">
        <f>'Прайс для расчета (М)'!E182</f>
        <v>910.875</v>
      </c>
      <c r="J198" s="36" t="e">
        <f t="shared" si="27"/>
        <v>#REF!</v>
      </c>
    </row>
    <row r="199" spans="2:10" ht="15.6" x14ac:dyDescent="0.3">
      <c r="B199" s="59"/>
      <c r="C199" s="78" t="s">
        <v>385</v>
      </c>
      <c r="D199" s="74" t="s">
        <v>2</v>
      </c>
      <c r="E199" s="75" t="e">
        <f t="shared" si="31"/>
        <v>#REF!</v>
      </c>
      <c r="F199" s="63">
        <f>'Прайс для расчета'!E183</f>
        <v>1149.75</v>
      </c>
      <c r="G199" s="64" t="e">
        <f t="shared" si="28"/>
        <v>#REF!</v>
      </c>
      <c r="I199" s="135">
        <f>'Прайс для расчета (М)'!E183</f>
        <v>574.875</v>
      </c>
      <c r="J199" s="36" t="e">
        <f t="shared" si="27"/>
        <v>#REF!</v>
      </c>
    </row>
    <row r="200" spans="2:10" ht="15.6" x14ac:dyDescent="0.3">
      <c r="B200" s="59"/>
      <c r="C200" s="78" t="s">
        <v>509</v>
      </c>
      <c r="D200" s="74" t="s">
        <v>2</v>
      </c>
      <c r="E200" s="75" t="e">
        <f t="shared" si="31"/>
        <v>#REF!</v>
      </c>
      <c r="F200" s="63">
        <f>'Прайс для расчета'!E184</f>
        <v>1527.75</v>
      </c>
      <c r="G200" s="64" t="e">
        <f t="shared" si="28"/>
        <v>#REF!</v>
      </c>
      <c r="I200" s="135">
        <f>'Прайс для расчета (М)'!E184</f>
        <v>763.875</v>
      </c>
      <c r="J200" s="36" t="e">
        <f t="shared" si="27"/>
        <v>#REF!</v>
      </c>
    </row>
    <row r="201" spans="2:10" ht="15.6" x14ac:dyDescent="0.3">
      <c r="B201" s="59"/>
      <c r="C201" s="78" t="s">
        <v>510</v>
      </c>
      <c r="D201" s="74" t="s">
        <v>2</v>
      </c>
      <c r="E201" s="75" t="e">
        <f t="shared" si="31"/>
        <v>#REF!</v>
      </c>
      <c r="F201" s="63">
        <f>'Прайс для расчета'!E185</f>
        <v>1737.75</v>
      </c>
      <c r="G201" s="64" t="e">
        <f t="shared" si="28"/>
        <v>#REF!</v>
      </c>
      <c r="I201" s="135">
        <f>'Прайс для расчета (М)'!E185</f>
        <v>868.875</v>
      </c>
      <c r="J201" s="36" t="e">
        <f t="shared" si="27"/>
        <v>#REF!</v>
      </c>
    </row>
    <row r="202" spans="2:10" ht="15.6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8"/>
        <v>#REF!</v>
      </c>
      <c r="I202" s="135">
        <f>'Прайс для расчета (М)'!E186</f>
        <v>97.125</v>
      </c>
      <c r="J202" s="36" t="e">
        <f t="shared" si="27"/>
        <v>#REF!</v>
      </c>
    </row>
    <row r="203" spans="2:10" ht="15.6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8"/>
        <v>2089.5</v>
      </c>
      <c r="I203" s="135">
        <f>'Прайс для расчета (М)'!E187</f>
        <v>1044.75</v>
      </c>
      <c r="J203" s="36">
        <f t="shared" si="27"/>
        <v>1044.75</v>
      </c>
    </row>
    <row r="204" spans="2:10" ht="15.6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8"/>
        <v>3097.5</v>
      </c>
      <c r="I204" s="135">
        <f>'Прайс для расчета (М)'!E188</f>
        <v>1548.75</v>
      </c>
      <c r="J204" s="36">
        <f t="shared" si="27"/>
        <v>1548.75</v>
      </c>
    </row>
    <row r="205" spans="2:10" ht="15.6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8"/>
        <v>2992.5</v>
      </c>
      <c r="I205" s="135">
        <f>'Прайс для расчета (М)'!E189</f>
        <v>1496.25</v>
      </c>
      <c r="J205" s="36">
        <f t="shared" si="27"/>
        <v>1496.25</v>
      </c>
    </row>
    <row r="206" spans="2:10" ht="15.6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8"/>
        <v>#REF!</v>
      </c>
      <c r="I206" s="135">
        <f>'Прайс для расчета (М)'!E190</f>
        <v>202.03050000000002</v>
      </c>
      <c r="J206" s="36" t="e">
        <f t="shared" si="27"/>
        <v>#REF!</v>
      </c>
    </row>
    <row r="207" spans="2:10" ht="15.6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8"/>
        <v>#REF!</v>
      </c>
      <c r="I207" s="135">
        <f>'Прайс для расчета (М)'!E191</f>
        <v>141.22499999999999</v>
      </c>
      <c r="J207" s="36" t="e">
        <f t="shared" si="27"/>
        <v>#REF!</v>
      </c>
    </row>
    <row r="208" spans="2:10" ht="15.6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8"/>
        <v>#REF!</v>
      </c>
      <c r="I208" s="135">
        <f>'Прайс для расчета (М)'!E192</f>
        <v>307.125</v>
      </c>
      <c r="J208" s="36" t="e">
        <f t="shared" si="27"/>
        <v>#REF!</v>
      </c>
    </row>
    <row r="209" spans="2:10" ht="15.6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32">F210*E210</f>
        <v>84</v>
      </c>
      <c r="I210" s="135">
        <f>'Прайс для расчета (М)'!E193</f>
        <v>42</v>
      </c>
      <c r="J210" s="36">
        <f t="shared" ref="J210:J218" si="33">I210*E210</f>
        <v>42</v>
      </c>
    </row>
    <row r="211" spans="2:10" ht="15.6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32"/>
        <v>787.5</v>
      </c>
      <c r="I211" s="135">
        <f>'Прайс для расчета (М)'!E194</f>
        <v>393.75</v>
      </c>
      <c r="J211" s="36">
        <f t="shared" si="33"/>
        <v>393.75</v>
      </c>
    </row>
    <row r="212" spans="2:10" ht="15.6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32"/>
        <v>892.5</v>
      </c>
      <c r="I212" s="135">
        <f>'Прайс для расчета (М)'!E195</f>
        <v>446.25</v>
      </c>
      <c r="J212" s="36">
        <f t="shared" si="33"/>
        <v>446.25</v>
      </c>
    </row>
    <row r="213" spans="2:10" ht="15.6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32"/>
        <v>997.5</v>
      </c>
      <c r="I213" s="135">
        <f>'Прайс для расчета (М)'!E196</f>
        <v>498.75</v>
      </c>
      <c r="J213" s="36">
        <f t="shared" si="33"/>
        <v>498.75</v>
      </c>
    </row>
    <row r="214" spans="2:10" ht="15.6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32"/>
        <v>787.5</v>
      </c>
      <c r="I214" s="135">
        <f>'Прайс для расчета (М)'!E197</f>
        <v>393.75</v>
      </c>
      <c r="J214" s="36">
        <f t="shared" si="33"/>
        <v>393.75</v>
      </c>
    </row>
    <row r="215" spans="2:10" ht="15.6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32"/>
        <v>204.75</v>
      </c>
      <c r="I215" s="135">
        <f>'Прайс для расчета (М)'!E198</f>
        <v>102.375</v>
      </c>
      <c r="J215" s="36">
        <f t="shared" si="33"/>
        <v>102.375</v>
      </c>
    </row>
    <row r="216" spans="2:10" ht="15.6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32"/>
        <v>194.25</v>
      </c>
      <c r="I216" s="135">
        <f>'Прайс для расчета (М)'!E199</f>
        <v>97.125</v>
      </c>
      <c r="J216" s="36">
        <f t="shared" si="33"/>
        <v>97.125</v>
      </c>
    </row>
    <row r="217" spans="2:10" ht="15.6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32"/>
        <v>866.25</v>
      </c>
      <c r="I217" s="135">
        <f>'Прайс для расчета (М)'!E200</f>
        <v>433.125</v>
      </c>
      <c r="J217" s="36">
        <f t="shared" si="33"/>
        <v>433.125</v>
      </c>
    </row>
    <row r="218" spans="2:10" ht="15.6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32"/>
        <v>262.5</v>
      </c>
      <c r="I218" s="135">
        <f>'Прайс для расчета (М)'!E201</f>
        <v>131.25</v>
      </c>
      <c r="J218" s="36">
        <f t="shared" si="33"/>
        <v>131.25</v>
      </c>
    </row>
    <row r="219" spans="2:10" ht="15.6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x14ac:dyDescent="0.25">
      <c r="B220" s="59"/>
      <c r="C220" s="65" t="s">
        <v>1022</v>
      </c>
      <c r="D220" s="61" t="s">
        <v>2</v>
      </c>
      <c r="E220" s="62">
        <f t="shared" ref="E220:E226" si="34">$A$4</f>
        <v>0</v>
      </c>
      <c r="F220" s="63">
        <f>'Прайс для расчета'!E202</f>
        <v>135.45000000000002</v>
      </c>
      <c r="G220" s="64">
        <f t="shared" ref="G220:G247" si="35">F220*E220</f>
        <v>0</v>
      </c>
      <c r="I220" s="135">
        <f>'Прайс для расчета (М)'!E202</f>
        <v>67.725000000000009</v>
      </c>
      <c r="J220" s="36">
        <f t="shared" ref="J220:J247" si="36">I220*E220</f>
        <v>0</v>
      </c>
    </row>
    <row r="221" spans="2:10" ht="15.6" x14ac:dyDescent="0.25">
      <c r="B221" s="59"/>
      <c r="C221" s="65" t="s">
        <v>1105</v>
      </c>
      <c r="D221" s="61" t="s">
        <v>3</v>
      </c>
      <c r="E221" s="62">
        <f t="shared" si="34"/>
        <v>0</v>
      </c>
      <c r="F221" s="63">
        <f>'Прайс для расчета'!E203</f>
        <v>210</v>
      </c>
      <c r="G221" s="64">
        <f t="shared" ref="G221" si="37">F221*E221</f>
        <v>0</v>
      </c>
      <c r="I221" s="135">
        <f>'Прайс для расчета (М)'!E203</f>
        <v>105</v>
      </c>
      <c r="J221" s="36">
        <f t="shared" si="36"/>
        <v>0</v>
      </c>
    </row>
    <row r="222" spans="2:10" ht="15.6" x14ac:dyDescent="0.25">
      <c r="B222" s="59"/>
      <c r="C222" s="65" t="s">
        <v>1032</v>
      </c>
      <c r="D222" s="61" t="s">
        <v>2</v>
      </c>
      <c r="E222" s="62">
        <f t="shared" si="34"/>
        <v>0</v>
      </c>
      <c r="F222" s="63">
        <f>'Прайс для расчета'!E204</f>
        <v>892.5</v>
      </c>
      <c r="G222" s="64">
        <f t="shared" si="35"/>
        <v>0</v>
      </c>
      <c r="I222" s="135">
        <f>'Прайс для расчета (М)'!E204</f>
        <v>446.25</v>
      </c>
      <c r="J222" s="36">
        <f t="shared" si="36"/>
        <v>0</v>
      </c>
    </row>
    <row r="223" spans="2:10" ht="15.6" x14ac:dyDescent="0.25">
      <c r="B223" s="59"/>
      <c r="C223" s="65" t="s">
        <v>1030</v>
      </c>
      <c r="D223" s="61" t="s">
        <v>2</v>
      </c>
      <c r="E223" s="62">
        <f t="shared" si="34"/>
        <v>0</v>
      </c>
      <c r="F223" s="63">
        <f>'Прайс для расчета'!E205</f>
        <v>1102.5</v>
      </c>
      <c r="G223" s="64">
        <f t="shared" si="35"/>
        <v>0</v>
      </c>
      <c r="I223" s="135">
        <f>'Прайс для расчета (М)'!E205</f>
        <v>551.25</v>
      </c>
      <c r="J223" s="36">
        <f t="shared" si="36"/>
        <v>0</v>
      </c>
    </row>
    <row r="224" spans="2:10" ht="15.6" x14ac:dyDescent="0.25">
      <c r="B224" s="59"/>
      <c r="C224" s="65" t="s">
        <v>1031</v>
      </c>
      <c r="D224" s="61" t="s">
        <v>2</v>
      </c>
      <c r="E224" s="62">
        <f t="shared" si="34"/>
        <v>0</v>
      </c>
      <c r="F224" s="63">
        <f>'Прайс для расчета'!E206</f>
        <v>892.5</v>
      </c>
      <c r="G224" s="64">
        <f t="shared" si="35"/>
        <v>0</v>
      </c>
      <c r="I224" s="135">
        <f>'Прайс для расчета (М)'!E206</f>
        <v>446.25</v>
      </c>
      <c r="J224" s="36">
        <f t="shared" si="36"/>
        <v>0</v>
      </c>
    </row>
    <row r="225" spans="2:10" ht="15.6" x14ac:dyDescent="0.25">
      <c r="B225" s="59"/>
      <c r="C225" s="65" t="s">
        <v>1106</v>
      </c>
      <c r="D225" s="61" t="s">
        <v>3</v>
      </c>
      <c r="E225" s="62">
        <f t="shared" si="34"/>
        <v>0</v>
      </c>
      <c r="F225" s="63">
        <f>'Прайс для расчета'!E207</f>
        <v>210</v>
      </c>
      <c r="G225" s="64">
        <f t="shared" si="35"/>
        <v>0</v>
      </c>
      <c r="I225" s="135">
        <f>'Прайс для расчета (М)'!E207</f>
        <v>105</v>
      </c>
      <c r="J225" s="36">
        <f t="shared" si="36"/>
        <v>0</v>
      </c>
    </row>
    <row r="226" spans="2:10" ht="15.6" x14ac:dyDescent="0.25">
      <c r="B226" s="59"/>
      <c r="C226" s="202" t="s">
        <v>1009</v>
      </c>
      <c r="D226" s="61" t="s">
        <v>2</v>
      </c>
      <c r="E226" s="62">
        <f t="shared" si="34"/>
        <v>0</v>
      </c>
      <c r="F226" s="63">
        <f>'Прайс для расчета'!E208</f>
        <v>3097.5</v>
      </c>
      <c r="G226" s="64">
        <f t="shared" si="35"/>
        <v>0</v>
      </c>
      <c r="I226" s="135">
        <f>'Прайс для расчета (М)'!E208</f>
        <v>1548.75</v>
      </c>
      <c r="J226" s="36">
        <f t="shared" si="36"/>
        <v>0</v>
      </c>
    </row>
    <row r="227" spans="2:10" ht="15.6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5"/>
        <v>240.05099999999999</v>
      </c>
      <c r="I227" s="135">
        <f>'Прайс для расчета (М)'!E209</f>
        <v>120.02549999999999</v>
      </c>
      <c r="J227" s="36">
        <f t="shared" si="36"/>
        <v>120.02549999999999</v>
      </c>
    </row>
    <row r="228" spans="2:10" ht="15.6" x14ac:dyDescent="0.25">
      <c r="B228" s="59"/>
      <c r="C228" s="65" t="s">
        <v>401</v>
      </c>
      <c r="D228" s="61" t="s">
        <v>3</v>
      </c>
      <c r="E228" s="62">
        <f>ROUND($A$4*1.25,0)</f>
        <v>0</v>
      </c>
      <c r="F228" s="63">
        <f>'Прайс для расчета'!E210</f>
        <v>164.01</v>
      </c>
      <c r="G228" s="64">
        <f t="shared" si="35"/>
        <v>0</v>
      </c>
      <c r="I228" s="135">
        <f>'Прайс для расчета (М)'!E210</f>
        <v>82.004999999999995</v>
      </c>
      <c r="J228" s="36">
        <f t="shared" si="36"/>
        <v>0</v>
      </c>
    </row>
    <row r="229" spans="2:10" ht="15.6" x14ac:dyDescent="0.25">
      <c r="B229" s="59"/>
      <c r="C229" s="65" t="s">
        <v>675</v>
      </c>
      <c r="D229" s="61" t="s">
        <v>2</v>
      </c>
      <c r="E229" s="62">
        <f t="shared" ref="E229:E238" si="38">$A$4</f>
        <v>0</v>
      </c>
      <c r="F229" s="63">
        <f>'Прайс для расчета'!E211</f>
        <v>477.12</v>
      </c>
      <c r="G229" s="64">
        <f t="shared" si="35"/>
        <v>0</v>
      </c>
      <c r="I229" s="135">
        <f>'Прайс для расчета (М)'!E211</f>
        <v>238.56</v>
      </c>
      <c r="J229" s="36">
        <f t="shared" si="36"/>
        <v>0</v>
      </c>
    </row>
    <row r="230" spans="2:10" ht="15.6" x14ac:dyDescent="0.25">
      <c r="B230" s="59"/>
      <c r="C230" s="65" t="s">
        <v>1023</v>
      </c>
      <c r="D230" s="61" t="s">
        <v>2</v>
      </c>
      <c r="E230" s="62">
        <f t="shared" si="38"/>
        <v>0</v>
      </c>
      <c r="F230" s="63">
        <f>'Прайс для расчета'!E212</f>
        <v>124.95</v>
      </c>
      <c r="G230" s="64">
        <f t="shared" si="35"/>
        <v>0</v>
      </c>
      <c r="I230" s="135">
        <f>'Прайс для расчета (М)'!E212</f>
        <v>62.475000000000001</v>
      </c>
      <c r="J230" s="36">
        <f t="shared" si="36"/>
        <v>0</v>
      </c>
    </row>
    <row r="231" spans="2:10" ht="15.6" x14ac:dyDescent="0.25">
      <c r="B231" s="59"/>
      <c r="C231" s="65" t="s">
        <v>1132</v>
      </c>
      <c r="D231" s="61" t="s">
        <v>2</v>
      </c>
      <c r="E231" s="62">
        <f t="shared" si="38"/>
        <v>0</v>
      </c>
      <c r="F231" s="63">
        <f>'Прайс для расчета'!E213</f>
        <v>199.5</v>
      </c>
      <c r="G231" s="64">
        <f t="shared" ref="G231" si="39">F231*E231</f>
        <v>0</v>
      </c>
      <c r="I231" s="135">
        <f>'Прайс для расчета (М)'!E213</f>
        <v>99.75</v>
      </c>
      <c r="J231" s="36">
        <f t="shared" si="36"/>
        <v>0</v>
      </c>
    </row>
    <row r="232" spans="2:10" ht="15.6" x14ac:dyDescent="0.25">
      <c r="B232" s="59"/>
      <c r="C232" s="65" t="s">
        <v>676</v>
      </c>
      <c r="D232" s="61" t="s">
        <v>2</v>
      </c>
      <c r="E232" s="62">
        <f t="shared" si="38"/>
        <v>0</v>
      </c>
      <c r="F232" s="63">
        <f>'Прайс для расчета'!E214</f>
        <v>299.25</v>
      </c>
      <c r="G232" s="64">
        <f t="shared" si="35"/>
        <v>0</v>
      </c>
      <c r="I232" s="135">
        <f>'Прайс для расчета (М)'!E214</f>
        <v>149.625</v>
      </c>
      <c r="J232" s="36">
        <f t="shared" si="36"/>
        <v>0</v>
      </c>
    </row>
    <row r="233" spans="2:10" ht="15.6" x14ac:dyDescent="0.25">
      <c r="B233" s="59"/>
      <c r="C233" s="65" t="s">
        <v>403</v>
      </c>
      <c r="D233" s="61" t="s">
        <v>647</v>
      </c>
      <c r="E233" s="62">
        <f t="shared" si="38"/>
        <v>0</v>
      </c>
      <c r="F233" s="63">
        <f>'Прайс для расчета'!E215</f>
        <v>236.25</v>
      </c>
      <c r="G233" s="64">
        <f t="shared" si="35"/>
        <v>0</v>
      </c>
      <c r="I233" s="135">
        <f>'Прайс для расчета (М)'!E215</f>
        <v>118.125</v>
      </c>
      <c r="J233" s="36">
        <f t="shared" si="36"/>
        <v>0</v>
      </c>
    </row>
    <row r="234" spans="2:10" ht="15.6" x14ac:dyDescent="0.25">
      <c r="B234" s="59"/>
      <c r="C234" s="65" t="s">
        <v>1035</v>
      </c>
      <c r="D234" s="61" t="s">
        <v>2</v>
      </c>
      <c r="E234" s="62">
        <f t="shared" si="38"/>
        <v>0</v>
      </c>
      <c r="F234" s="63">
        <f>'Прайс для расчета'!E216</f>
        <v>624.75</v>
      </c>
      <c r="G234" s="64">
        <f t="shared" si="35"/>
        <v>0</v>
      </c>
      <c r="I234" s="135">
        <f>'Прайс для расчета (М)'!E216</f>
        <v>312.375</v>
      </c>
      <c r="J234" s="36">
        <f t="shared" si="36"/>
        <v>0</v>
      </c>
    </row>
    <row r="235" spans="2:10" ht="15.6" x14ac:dyDescent="0.25">
      <c r="B235" s="59"/>
      <c r="C235" s="65" t="s">
        <v>1041</v>
      </c>
      <c r="D235" s="61" t="s">
        <v>2</v>
      </c>
      <c r="E235" s="62">
        <f t="shared" si="38"/>
        <v>0</v>
      </c>
      <c r="F235" s="63">
        <f>'Прайс для расчета'!E217</f>
        <v>787.5</v>
      </c>
      <c r="G235" s="64">
        <f t="shared" si="35"/>
        <v>0</v>
      </c>
      <c r="I235" s="135">
        <f>'Прайс для расчета (М)'!E217</f>
        <v>393.75</v>
      </c>
      <c r="J235" s="36">
        <f t="shared" si="36"/>
        <v>0</v>
      </c>
    </row>
    <row r="236" spans="2:10" ht="15.6" x14ac:dyDescent="0.25">
      <c r="B236" s="59"/>
      <c r="C236" s="69" t="s">
        <v>1137</v>
      </c>
      <c r="D236" s="61" t="s">
        <v>2</v>
      </c>
      <c r="E236" s="62">
        <f t="shared" si="38"/>
        <v>0</v>
      </c>
      <c r="F236" s="63">
        <f>'Прайс для расчета'!E218</f>
        <v>1207.5</v>
      </c>
      <c r="G236" s="64">
        <f t="shared" si="35"/>
        <v>0</v>
      </c>
      <c r="I236" s="135">
        <f>'Прайс для расчета (М)'!E218</f>
        <v>603.75</v>
      </c>
      <c r="J236" s="36">
        <f t="shared" si="36"/>
        <v>0</v>
      </c>
    </row>
    <row r="237" spans="2:10" ht="15.6" x14ac:dyDescent="0.25">
      <c r="B237" s="59"/>
      <c r="C237" s="69" t="s">
        <v>1139</v>
      </c>
      <c r="D237" s="61" t="s">
        <v>2</v>
      </c>
      <c r="E237" s="62">
        <f t="shared" si="38"/>
        <v>0</v>
      </c>
      <c r="F237" s="63">
        <f>'Прайс для расчета'!E219</f>
        <v>262.5</v>
      </c>
      <c r="G237" s="64">
        <f t="shared" si="35"/>
        <v>0</v>
      </c>
      <c r="I237" s="135">
        <f>'Прайс для расчета (М)'!E219</f>
        <v>131.25</v>
      </c>
      <c r="J237" s="36">
        <f t="shared" si="36"/>
        <v>0</v>
      </c>
    </row>
    <row r="238" spans="2:10" ht="15.6" x14ac:dyDescent="0.25">
      <c r="B238" s="59"/>
      <c r="C238" s="69" t="s">
        <v>1142</v>
      </c>
      <c r="D238" s="61" t="s">
        <v>2</v>
      </c>
      <c r="E238" s="62">
        <f t="shared" si="38"/>
        <v>0</v>
      </c>
      <c r="F238" s="63">
        <f>'Прайс для расчета'!E220</f>
        <v>997.5</v>
      </c>
      <c r="G238" s="64">
        <f t="shared" si="35"/>
        <v>0</v>
      </c>
      <c r="I238" s="135">
        <f>'Прайс для расчета (М)'!E220</f>
        <v>498.75</v>
      </c>
      <c r="J238" s="36">
        <f t="shared" si="36"/>
        <v>0</v>
      </c>
    </row>
    <row r="239" spans="2:10" ht="15.6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5"/>
        <v>735</v>
      </c>
      <c r="I239" s="135">
        <f>'Прайс для расчета (М)'!E221</f>
        <v>367.5</v>
      </c>
      <c r="J239" s="36">
        <f t="shared" si="36"/>
        <v>367.5</v>
      </c>
    </row>
    <row r="240" spans="2:10" ht="15.6" x14ac:dyDescent="0.25">
      <c r="B240" s="59"/>
      <c r="C240" s="65" t="s">
        <v>1000</v>
      </c>
      <c r="D240" s="61" t="s">
        <v>2</v>
      </c>
      <c r="E240" s="62">
        <f>$A$4</f>
        <v>0</v>
      </c>
      <c r="F240" s="63">
        <f>'Прайс для расчета'!E222</f>
        <v>105</v>
      </c>
      <c r="G240" s="64">
        <f t="shared" si="35"/>
        <v>0</v>
      </c>
      <c r="I240" s="135">
        <f>'Прайс для расчета (М)'!E222</f>
        <v>52.5</v>
      </c>
      <c r="J240" s="36">
        <f t="shared" si="36"/>
        <v>0</v>
      </c>
    </row>
    <row r="241" spans="2:10" ht="15.6" x14ac:dyDescent="0.25">
      <c r="B241" s="59"/>
      <c r="C241" s="65" t="s">
        <v>153</v>
      </c>
      <c r="D241" s="61" t="s">
        <v>2</v>
      </c>
      <c r="E241" s="62">
        <f>$A$4</f>
        <v>0</v>
      </c>
      <c r="F241" s="63">
        <f>'Прайс для расчета'!E223</f>
        <v>292.95</v>
      </c>
      <c r="G241" s="64">
        <f t="shared" si="35"/>
        <v>0</v>
      </c>
      <c r="I241" s="135">
        <f>'Прайс для расчета (М)'!E223</f>
        <v>146.47499999999999</v>
      </c>
      <c r="J241" s="36">
        <f t="shared" si="36"/>
        <v>0</v>
      </c>
    </row>
    <row r="242" spans="2:10" ht="15.6" x14ac:dyDescent="0.25">
      <c r="B242" s="59"/>
      <c r="C242" s="65" t="s">
        <v>1027</v>
      </c>
      <c r="D242" s="61" t="s">
        <v>2</v>
      </c>
      <c r="E242" s="62">
        <f>$A$4</f>
        <v>0</v>
      </c>
      <c r="F242" s="63">
        <f>'Прайс для расчета'!E224</f>
        <v>719.25</v>
      </c>
      <c r="G242" s="64">
        <f t="shared" si="35"/>
        <v>0</v>
      </c>
      <c r="I242" s="135">
        <f>'Прайс для расчета (М)'!E224</f>
        <v>359.625</v>
      </c>
      <c r="J242" s="36">
        <f t="shared" si="36"/>
        <v>0</v>
      </c>
    </row>
    <row r="243" spans="2:10" ht="15.6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5"/>
        <v>2299.5</v>
      </c>
      <c r="I243" s="135">
        <f>'Прайс для расчета (М)'!E225</f>
        <v>1149.75</v>
      </c>
      <c r="J243" s="36">
        <f t="shared" si="36"/>
        <v>1149.75</v>
      </c>
    </row>
    <row r="244" spans="2:10" ht="15.6" x14ac:dyDescent="0.25">
      <c r="B244" s="59"/>
      <c r="C244" s="65" t="s">
        <v>1050</v>
      </c>
      <c r="D244" s="61" t="s">
        <v>2</v>
      </c>
      <c r="E244" s="62">
        <f>$A$4</f>
        <v>0</v>
      </c>
      <c r="F244" s="63">
        <f>'Прайс для расчета'!E226</f>
        <v>1942.5</v>
      </c>
      <c r="G244" s="64">
        <f t="shared" si="35"/>
        <v>0</v>
      </c>
      <c r="I244" s="135">
        <f>'Прайс для расчета (М)'!E226</f>
        <v>971.25</v>
      </c>
      <c r="J244" s="36">
        <f t="shared" si="36"/>
        <v>0</v>
      </c>
    </row>
    <row r="245" spans="2:10" ht="15.6" x14ac:dyDescent="0.25">
      <c r="B245" s="59"/>
      <c r="C245" s="65" t="s">
        <v>1049</v>
      </c>
      <c r="D245" s="61" t="s">
        <v>2</v>
      </c>
      <c r="E245" s="62">
        <f>$A$4</f>
        <v>0</v>
      </c>
      <c r="F245" s="63">
        <f>'Прайс для расчета'!E227</f>
        <v>2047.5</v>
      </c>
      <c r="G245" s="64">
        <f t="shared" si="35"/>
        <v>0</v>
      </c>
      <c r="I245" s="135">
        <f>'Прайс для расчета (М)'!E227</f>
        <v>1023.75</v>
      </c>
      <c r="J245" s="36">
        <f t="shared" si="36"/>
        <v>0</v>
      </c>
    </row>
    <row r="246" spans="2:10" ht="15.6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5"/>
        <v>2467.5</v>
      </c>
      <c r="I246" s="135">
        <f>'Прайс для расчета (М)'!E228</f>
        <v>1233.75</v>
      </c>
      <c r="J246" s="36">
        <f t="shared" si="36"/>
        <v>1233.75</v>
      </c>
    </row>
    <row r="247" spans="2:10" ht="15.6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5"/>
        <v>2677.5</v>
      </c>
      <c r="I247" s="135">
        <f>'Прайс для расчета (М)'!E229</f>
        <v>1338.75</v>
      </c>
      <c r="J247" s="36">
        <f t="shared" si="36"/>
        <v>1338.75</v>
      </c>
    </row>
    <row r="248" spans="2:10" ht="15.6" x14ac:dyDescent="0.25">
      <c r="B248" s="110">
        <f>IF(SUM(B139:B247)&gt;0,1,0)</f>
        <v>0</v>
      </c>
      <c r="C248" s="266" t="s">
        <v>514</v>
      </c>
      <c r="D248" s="266"/>
      <c r="E248" s="266"/>
      <c r="F248" s="266"/>
      <c r="G248" s="157">
        <f>SUMIF(B140:B247,1,G140:G247)</f>
        <v>0</v>
      </c>
      <c r="J248" s="36">
        <f>SUMIF(B140:B247,1,J140:J247)</f>
        <v>0</v>
      </c>
    </row>
    <row r="249" spans="2:10" ht="15.6" x14ac:dyDescent="0.25">
      <c r="B249" s="153">
        <f>IF(SUM(B250:B361)&gt;0,1,0)</f>
        <v>0</v>
      </c>
      <c r="C249" s="164" t="s">
        <v>200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0</v>
      </c>
      <c r="C250" s="67" t="s">
        <v>877</v>
      </c>
      <c r="D250" s="61"/>
      <c r="E250" s="62"/>
      <c r="F250" s="63"/>
      <c r="G250" s="64"/>
    </row>
    <row r="251" spans="2:10" ht="15.6" x14ac:dyDescent="0.3">
      <c r="B251" s="59"/>
      <c r="C251" s="78" t="s">
        <v>933</v>
      </c>
      <c r="D251" s="74" t="s">
        <v>2</v>
      </c>
      <c r="E251" s="62">
        <f>$A$4</f>
        <v>0</v>
      </c>
      <c r="F251" s="63">
        <f>'Прайс для расчета'!E230</f>
        <v>2518.9500000000003</v>
      </c>
      <c r="G251" s="64">
        <f t="shared" ref="G251:G286" si="40">F251*E251</f>
        <v>0</v>
      </c>
      <c r="I251" s="135">
        <f>'Прайс для расчета (М)'!E230</f>
        <v>1259.4750000000001</v>
      </c>
      <c r="J251" s="36">
        <f t="shared" ref="J251:J286" si="41">I251*E251</f>
        <v>0</v>
      </c>
    </row>
    <row r="252" spans="2:10" ht="15.6" x14ac:dyDescent="0.3">
      <c r="B252" s="59"/>
      <c r="C252" s="78" t="s">
        <v>233</v>
      </c>
      <c r="D252" s="74" t="s">
        <v>3</v>
      </c>
      <c r="E252" s="62">
        <f t="shared" ref="E252:E267" si="42">$A$4</f>
        <v>0</v>
      </c>
      <c r="F252" s="63">
        <f>'Прайс для расчета'!E231</f>
        <v>509.25</v>
      </c>
      <c r="G252" s="64">
        <f t="shared" si="40"/>
        <v>0</v>
      </c>
      <c r="I252" s="135">
        <f>'Прайс для расчета (М)'!E231</f>
        <v>254.625</v>
      </c>
      <c r="J252" s="36">
        <f t="shared" si="41"/>
        <v>0</v>
      </c>
    </row>
    <row r="253" spans="2:10" ht="15.6" x14ac:dyDescent="0.3">
      <c r="B253" s="59"/>
      <c r="C253" s="78" t="s">
        <v>409</v>
      </c>
      <c r="D253" s="74" t="s">
        <v>2</v>
      </c>
      <c r="E253" s="62">
        <f t="shared" si="42"/>
        <v>0</v>
      </c>
      <c r="F253" s="63">
        <f>'Прайс для расчета'!E232</f>
        <v>2718.4500000000003</v>
      </c>
      <c r="G253" s="64">
        <f t="shared" si="40"/>
        <v>0</v>
      </c>
      <c r="I253" s="135">
        <f>'Прайс для расчета (М)'!E232</f>
        <v>1359.2250000000001</v>
      </c>
      <c r="J253" s="36">
        <f t="shared" si="41"/>
        <v>0</v>
      </c>
    </row>
    <row r="254" spans="2:10" ht="15.6" x14ac:dyDescent="0.3">
      <c r="B254" s="59"/>
      <c r="C254" s="78" t="s">
        <v>1059</v>
      </c>
      <c r="D254" s="74" t="s">
        <v>2</v>
      </c>
      <c r="E254" s="62">
        <f t="shared" si="42"/>
        <v>0</v>
      </c>
      <c r="F254" s="63">
        <f>'Прайс для расчета'!E233</f>
        <v>1260</v>
      </c>
      <c r="G254" s="64">
        <f t="shared" si="40"/>
        <v>0</v>
      </c>
      <c r="I254" s="135">
        <f>'Прайс для расчета (М)'!E233</f>
        <v>630</v>
      </c>
      <c r="J254" s="36">
        <f t="shared" si="41"/>
        <v>0</v>
      </c>
    </row>
    <row r="255" spans="2:10" ht="15.6" x14ac:dyDescent="0.3">
      <c r="B255" s="59"/>
      <c r="C255" s="78" t="s">
        <v>411</v>
      </c>
      <c r="D255" s="74" t="s">
        <v>2</v>
      </c>
      <c r="E255" s="62">
        <f t="shared" si="42"/>
        <v>0</v>
      </c>
      <c r="F255" s="63">
        <f>'Прайс для расчета'!E234</f>
        <v>3033.4500000000003</v>
      </c>
      <c r="G255" s="64">
        <f t="shared" si="40"/>
        <v>0</v>
      </c>
      <c r="I255" s="135">
        <f>'Прайс для расчета (М)'!E234</f>
        <v>1516.7250000000001</v>
      </c>
      <c r="J255" s="36">
        <f t="shared" si="41"/>
        <v>0</v>
      </c>
    </row>
    <row r="256" spans="2:10" ht="15.6" x14ac:dyDescent="0.3">
      <c r="B256" s="59"/>
      <c r="C256" s="78" t="s">
        <v>1062</v>
      </c>
      <c r="D256" s="74" t="s">
        <v>3</v>
      </c>
      <c r="E256" s="62">
        <f t="shared" si="42"/>
        <v>0</v>
      </c>
      <c r="F256" s="63">
        <f>'Прайс для расчета'!E235</f>
        <v>971.25</v>
      </c>
      <c r="G256" s="64">
        <f t="shared" si="40"/>
        <v>0</v>
      </c>
      <c r="I256" s="135">
        <f>'Прайс для расчета (М)'!E235</f>
        <v>485.625</v>
      </c>
      <c r="J256" s="36">
        <f t="shared" si="41"/>
        <v>0</v>
      </c>
    </row>
    <row r="257" spans="2:10" ht="15.6" x14ac:dyDescent="0.3">
      <c r="B257" s="59"/>
      <c r="C257" s="78" t="s">
        <v>923</v>
      </c>
      <c r="D257" s="74" t="s">
        <v>2</v>
      </c>
      <c r="E257" s="62">
        <f t="shared" si="42"/>
        <v>0</v>
      </c>
      <c r="F257" s="63">
        <f>'Прайс для расчета'!E236</f>
        <v>3412.5</v>
      </c>
      <c r="G257" s="64">
        <f t="shared" si="40"/>
        <v>0</v>
      </c>
      <c r="I257" s="135">
        <f>'Прайс для расчета (М)'!E236</f>
        <v>1706.25</v>
      </c>
      <c r="J257" s="36">
        <f t="shared" si="41"/>
        <v>0</v>
      </c>
    </row>
    <row r="258" spans="2:10" ht="15.6" x14ac:dyDescent="0.3">
      <c r="B258" s="59"/>
      <c r="C258" s="78" t="s">
        <v>988</v>
      </c>
      <c r="D258" s="74" t="s">
        <v>2</v>
      </c>
      <c r="E258" s="62">
        <f t="shared" si="42"/>
        <v>0</v>
      </c>
      <c r="F258" s="63">
        <f>'Прайс для расчета'!E237</f>
        <v>2938.9500000000003</v>
      </c>
      <c r="G258" s="64">
        <f t="shared" si="40"/>
        <v>0</v>
      </c>
      <c r="I258" s="135">
        <f>'Прайс для расчета (М)'!E237</f>
        <v>1469.4750000000001</v>
      </c>
      <c r="J258" s="36">
        <f t="shared" si="41"/>
        <v>0</v>
      </c>
    </row>
    <row r="259" spans="2:10" ht="15.6" x14ac:dyDescent="0.3">
      <c r="B259" s="59"/>
      <c r="C259" s="78" t="s">
        <v>922</v>
      </c>
      <c r="D259" s="74" t="s">
        <v>2</v>
      </c>
      <c r="E259" s="62">
        <f t="shared" si="42"/>
        <v>0</v>
      </c>
      <c r="F259" s="63">
        <f>'Прайс для расчета'!E238</f>
        <v>3097.5</v>
      </c>
      <c r="G259" s="64">
        <f t="shared" si="40"/>
        <v>0</v>
      </c>
      <c r="I259" s="135">
        <f>'Прайс для расчета (М)'!E238</f>
        <v>1548.75</v>
      </c>
      <c r="J259" s="36">
        <f t="shared" si="41"/>
        <v>0</v>
      </c>
    </row>
    <row r="260" spans="2:10" ht="15.6" x14ac:dyDescent="0.3">
      <c r="B260" s="59"/>
      <c r="C260" s="78" t="s">
        <v>989</v>
      </c>
      <c r="D260" s="74" t="s">
        <v>2</v>
      </c>
      <c r="E260" s="62">
        <f t="shared" si="42"/>
        <v>0</v>
      </c>
      <c r="F260" s="63">
        <f>'Прайс для расчета'!E239</f>
        <v>3717</v>
      </c>
      <c r="G260" s="64">
        <f t="shared" si="40"/>
        <v>0</v>
      </c>
      <c r="I260" s="135">
        <f>'Прайс для расчета (М)'!E239</f>
        <v>1858.5</v>
      </c>
      <c r="J260" s="36">
        <f t="shared" si="41"/>
        <v>0</v>
      </c>
    </row>
    <row r="261" spans="2:10" ht="15.6" x14ac:dyDescent="0.3">
      <c r="B261" s="59"/>
      <c r="C261" s="78" t="s">
        <v>936</v>
      </c>
      <c r="D261" s="74" t="s">
        <v>2</v>
      </c>
      <c r="E261" s="62">
        <f t="shared" si="42"/>
        <v>0</v>
      </c>
      <c r="F261" s="63">
        <f>'Прайс для расчета'!E240</f>
        <v>6237</v>
      </c>
      <c r="G261" s="64">
        <f t="shared" si="40"/>
        <v>0</v>
      </c>
      <c r="I261" s="135">
        <f>'Прайс для расчета (М)'!E240</f>
        <v>3118.5</v>
      </c>
      <c r="J261" s="36">
        <f t="shared" si="41"/>
        <v>0</v>
      </c>
    </row>
    <row r="262" spans="2:10" ht="15.6" x14ac:dyDescent="0.3">
      <c r="B262" s="59"/>
      <c r="C262" s="78" t="s">
        <v>1065</v>
      </c>
      <c r="D262" s="74" t="s">
        <v>2</v>
      </c>
      <c r="E262" s="62">
        <f t="shared" si="42"/>
        <v>0</v>
      </c>
      <c r="F262" s="63">
        <f>'Прайс для расчета'!E241</f>
        <v>3622.5</v>
      </c>
      <c r="G262" s="64">
        <f t="shared" si="40"/>
        <v>0</v>
      </c>
      <c r="I262" s="135">
        <f>'Прайс для расчета (М)'!E241</f>
        <v>1811.25</v>
      </c>
      <c r="J262" s="36">
        <f t="shared" si="41"/>
        <v>0</v>
      </c>
    </row>
    <row r="263" spans="2:10" ht="15.6" x14ac:dyDescent="0.3">
      <c r="B263" s="59"/>
      <c r="C263" s="78" t="s">
        <v>1066</v>
      </c>
      <c r="D263" s="74" t="s">
        <v>2</v>
      </c>
      <c r="E263" s="62">
        <f t="shared" si="42"/>
        <v>0</v>
      </c>
      <c r="F263" s="63">
        <f>'Прайс для расчета'!E242</f>
        <v>5197.5</v>
      </c>
      <c r="G263" s="64">
        <f t="shared" si="40"/>
        <v>0</v>
      </c>
      <c r="I263" s="135">
        <f>'Прайс для расчета (М)'!E242</f>
        <v>2598.75</v>
      </c>
      <c r="J263" s="36">
        <f t="shared" si="41"/>
        <v>0</v>
      </c>
    </row>
    <row r="264" spans="2:10" ht="15.6" x14ac:dyDescent="0.3">
      <c r="B264" s="59"/>
      <c r="C264" s="78" t="s">
        <v>1067</v>
      </c>
      <c r="D264" s="74" t="s">
        <v>2</v>
      </c>
      <c r="E264" s="62">
        <f t="shared" si="42"/>
        <v>0</v>
      </c>
      <c r="F264" s="63">
        <f>'Прайс для расчета'!E243</f>
        <v>3097.5</v>
      </c>
      <c r="G264" s="64">
        <f t="shared" si="40"/>
        <v>0</v>
      </c>
      <c r="I264" s="135">
        <f>'Прайс для расчета (М)'!E243</f>
        <v>1548.75</v>
      </c>
      <c r="J264" s="36">
        <f t="shared" si="41"/>
        <v>0</v>
      </c>
    </row>
    <row r="265" spans="2:10" ht="15.6" x14ac:dyDescent="0.3">
      <c r="B265" s="59"/>
      <c r="C265" s="78" t="s">
        <v>412</v>
      </c>
      <c r="D265" s="74" t="s">
        <v>2</v>
      </c>
      <c r="E265" s="62">
        <f t="shared" si="42"/>
        <v>0</v>
      </c>
      <c r="F265" s="63">
        <f>'Прайс для расчета'!E244</f>
        <v>404.25</v>
      </c>
      <c r="G265" s="64">
        <f t="shared" si="40"/>
        <v>0</v>
      </c>
      <c r="I265" s="135">
        <f>'Прайс для расчета (М)'!E244</f>
        <v>202.125</v>
      </c>
      <c r="J265" s="36">
        <f t="shared" si="41"/>
        <v>0</v>
      </c>
    </row>
    <row r="266" spans="2:10" ht="15.6" x14ac:dyDescent="0.3">
      <c r="B266" s="59"/>
      <c r="C266" s="78" t="s">
        <v>937</v>
      </c>
      <c r="D266" s="74" t="s">
        <v>2</v>
      </c>
      <c r="E266" s="62">
        <f t="shared" si="42"/>
        <v>0</v>
      </c>
      <c r="F266" s="63">
        <f>'Прайс для расчета'!E245</f>
        <v>1244.25</v>
      </c>
      <c r="G266" s="64">
        <f t="shared" si="40"/>
        <v>0</v>
      </c>
      <c r="I266" s="135">
        <f>'Прайс для расчета (М)'!E245</f>
        <v>622.125</v>
      </c>
      <c r="J266" s="36">
        <f t="shared" si="41"/>
        <v>0</v>
      </c>
    </row>
    <row r="267" spans="2:10" ht="15.6" x14ac:dyDescent="0.3">
      <c r="B267" s="59"/>
      <c r="C267" s="78" t="s">
        <v>938</v>
      </c>
      <c r="D267" s="74" t="s">
        <v>2</v>
      </c>
      <c r="E267" s="62">
        <f t="shared" si="42"/>
        <v>0</v>
      </c>
      <c r="F267" s="63">
        <f>'Прайс для расчета'!E246</f>
        <v>929.25</v>
      </c>
      <c r="G267" s="64">
        <f t="shared" si="40"/>
        <v>0</v>
      </c>
      <c r="I267" s="135">
        <f>'Прайс для расчета (М)'!E246</f>
        <v>464.625</v>
      </c>
      <c r="J267" s="36">
        <f t="shared" si="41"/>
        <v>0</v>
      </c>
    </row>
    <row r="268" spans="2:10" ht="15.6" x14ac:dyDescent="0.3">
      <c r="B268" s="59"/>
      <c r="C268" s="78" t="s">
        <v>677</v>
      </c>
      <c r="D268" s="74" t="s">
        <v>646</v>
      </c>
      <c r="E268" s="62">
        <f>ROUND(E262/2,0)</f>
        <v>0</v>
      </c>
      <c r="F268" s="63">
        <f>'Прайс для расчета'!E247</f>
        <v>572.25</v>
      </c>
      <c r="G268" s="64">
        <f t="shared" si="40"/>
        <v>0</v>
      </c>
      <c r="I268" s="135">
        <f>'Прайс для расчета (М)'!E247</f>
        <v>286.125</v>
      </c>
      <c r="J268" s="36">
        <f t="shared" si="41"/>
        <v>0</v>
      </c>
    </row>
    <row r="269" spans="2:10" ht="15.6" x14ac:dyDescent="0.3">
      <c r="B269" s="59"/>
      <c r="C269" s="78" t="s">
        <v>413</v>
      </c>
      <c r="D269" s="74" t="s">
        <v>646</v>
      </c>
      <c r="E269" s="62">
        <f>$A$2</f>
        <v>0</v>
      </c>
      <c r="F269" s="63">
        <f>'Прайс для расчета'!E248</f>
        <v>1023.75</v>
      </c>
      <c r="G269" s="64">
        <f t="shared" si="40"/>
        <v>0</v>
      </c>
      <c r="I269" s="135">
        <f>'Прайс для расчета (М)'!E248</f>
        <v>511.875</v>
      </c>
      <c r="J269" s="36">
        <f t="shared" si="41"/>
        <v>0</v>
      </c>
    </row>
    <row r="270" spans="2:10" ht="15.6" x14ac:dyDescent="0.25">
      <c r="B270" s="59"/>
      <c r="C270" s="69" t="s">
        <v>414</v>
      </c>
      <c r="D270" s="61" t="s">
        <v>2</v>
      </c>
      <c r="E270" s="62">
        <f t="shared" ref="E270:E280" si="43">$A$4</f>
        <v>0</v>
      </c>
      <c r="F270" s="63">
        <f>'Прайс для расчета'!E249</f>
        <v>715.68</v>
      </c>
      <c r="G270" s="64">
        <f t="shared" si="40"/>
        <v>0</v>
      </c>
      <c r="I270" s="135">
        <f>'Прайс для расчета (М)'!E249</f>
        <v>357.84</v>
      </c>
      <c r="J270" s="36">
        <f t="shared" si="41"/>
        <v>0</v>
      </c>
    </row>
    <row r="271" spans="2:10" ht="15.6" x14ac:dyDescent="0.25">
      <c r="B271" s="59"/>
      <c r="C271" s="69" t="s">
        <v>145</v>
      </c>
      <c r="D271" s="61" t="s">
        <v>2</v>
      </c>
      <c r="E271" s="62">
        <f t="shared" si="43"/>
        <v>0</v>
      </c>
      <c r="F271" s="63">
        <f>'Прайс для расчета'!E250</f>
        <v>819</v>
      </c>
      <c r="G271" s="64">
        <f t="shared" si="40"/>
        <v>0</v>
      </c>
      <c r="I271" s="135">
        <f>'Прайс для расчета (М)'!E250</f>
        <v>409.5</v>
      </c>
      <c r="J271" s="36">
        <f t="shared" si="41"/>
        <v>0</v>
      </c>
    </row>
    <row r="272" spans="2:10" ht="15.6" x14ac:dyDescent="0.25">
      <c r="B272" s="59"/>
      <c r="C272" s="69" t="s">
        <v>1072</v>
      </c>
      <c r="D272" s="61" t="s">
        <v>2</v>
      </c>
      <c r="E272" s="62">
        <f t="shared" si="43"/>
        <v>0</v>
      </c>
      <c r="F272" s="63">
        <f>'Прайс для расчета'!E251</f>
        <v>876.75</v>
      </c>
      <c r="G272" s="64">
        <f t="shared" si="40"/>
        <v>0</v>
      </c>
      <c r="I272" s="135">
        <f>'Прайс для расчета (М)'!E251</f>
        <v>438.375</v>
      </c>
      <c r="J272" s="36">
        <f t="shared" si="41"/>
        <v>0</v>
      </c>
    </row>
    <row r="273" spans="2:10" ht="15.6" x14ac:dyDescent="0.25">
      <c r="B273" s="59"/>
      <c r="C273" s="69" t="s">
        <v>1073</v>
      </c>
      <c r="D273" s="61" t="s">
        <v>2</v>
      </c>
      <c r="E273" s="62">
        <f t="shared" si="43"/>
        <v>0</v>
      </c>
      <c r="F273" s="63">
        <f>'Прайс для расчета'!E252</f>
        <v>1097.25</v>
      </c>
      <c r="G273" s="64">
        <f t="shared" si="40"/>
        <v>0</v>
      </c>
      <c r="I273" s="135">
        <f>'Прайс для расчета (М)'!E252</f>
        <v>548.625</v>
      </c>
      <c r="J273" s="36">
        <f t="shared" si="41"/>
        <v>0</v>
      </c>
    </row>
    <row r="274" spans="2:10" ht="15.6" x14ac:dyDescent="0.25">
      <c r="B274" s="59"/>
      <c r="C274" s="69" t="s">
        <v>893</v>
      </c>
      <c r="D274" s="61" t="s">
        <v>2</v>
      </c>
      <c r="E274" s="62">
        <f t="shared" si="43"/>
        <v>0</v>
      </c>
      <c r="F274" s="63">
        <f>'Прайс для расчета'!E253</f>
        <v>299.25</v>
      </c>
      <c r="G274" s="64">
        <f t="shared" si="40"/>
        <v>0</v>
      </c>
      <c r="I274" s="135">
        <f>'Прайс для расчета (М)'!E253</f>
        <v>149.625</v>
      </c>
      <c r="J274" s="36">
        <f t="shared" si="41"/>
        <v>0</v>
      </c>
    </row>
    <row r="275" spans="2:10" ht="15.6" x14ac:dyDescent="0.25">
      <c r="B275" s="59"/>
      <c r="C275" s="69" t="s">
        <v>415</v>
      </c>
      <c r="D275" s="61" t="s">
        <v>2</v>
      </c>
      <c r="E275" s="62">
        <f t="shared" si="43"/>
        <v>0</v>
      </c>
      <c r="F275" s="63">
        <f>'Прайс для расчета'!E254</f>
        <v>1044.75</v>
      </c>
      <c r="G275" s="64">
        <f t="shared" si="40"/>
        <v>0</v>
      </c>
      <c r="I275" s="135">
        <f>'Прайс для расчета (М)'!E254</f>
        <v>522.375</v>
      </c>
      <c r="J275" s="36">
        <f t="shared" si="41"/>
        <v>0</v>
      </c>
    </row>
    <row r="276" spans="2:10" ht="15.6" x14ac:dyDescent="0.25">
      <c r="B276" s="59"/>
      <c r="C276" s="69" t="s">
        <v>519</v>
      </c>
      <c r="D276" s="61" t="s">
        <v>2</v>
      </c>
      <c r="E276" s="62">
        <f t="shared" si="43"/>
        <v>0</v>
      </c>
      <c r="F276" s="63">
        <f>'Прайс для расчета'!E255</f>
        <v>1401.75</v>
      </c>
      <c r="G276" s="64">
        <f t="shared" si="40"/>
        <v>0</v>
      </c>
      <c r="I276" s="135">
        <f>'Прайс для расчета (М)'!E255</f>
        <v>700.875</v>
      </c>
      <c r="J276" s="36">
        <f t="shared" si="41"/>
        <v>0</v>
      </c>
    </row>
    <row r="277" spans="2:10" ht="15.6" x14ac:dyDescent="0.25">
      <c r="B277" s="59"/>
      <c r="C277" s="69" t="s">
        <v>891</v>
      </c>
      <c r="D277" s="61" t="s">
        <v>2</v>
      </c>
      <c r="E277" s="62">
        <f t="shared" si="43"/>
        <v>0</v>
      </c>
      <c r="F277" s="63">
        <f>'Прайс для расчета'!E256</f>
        <v>2982</v>
      </c>
      <c r="G277" s="64">
        <f t="shared" si="40"/>
        <v>0</v>
      </c>
      <c r="I277" s="135">
        <f>'Прайс для расчета (М)'!E256</f>
        <v>1491</v>
      </c>
      <c r="J277" s="36">
        <f t="shared" si="41"/>
        <v>0</v>
      </c>
    </row>
    <row r="278" spans="2:10" ht="15.6" x14ac:dyDescent="0.25">
      <c r="B278" s="59"/>
      <c r="C278" s="69" t="s">
        <v>416</v>
      </c>
      <c r="D278" s="61" t="s">
        <v>2</v>
      </c>
      <c r="E278" s="62">
        <f t="shared" si="43"/>
        <v>0</v>
      </c>
      <c r="F278" s="63">
        <f>'Прайс для расчета'!E257</f>
        <v>1155</v>
      </c>
      <c r="G278" s="64">
        <f t="shared" si="40"/>
        <v>0</v>
      </c>
      <c r="I278" s="135">
        <f>'Прайс для расчета (М)'!E257</f>
        <v>577.5</v>
      </c>
      <c r="J278" s="36">
        <f t="shared" si="41"/>
        <v>0</v>
      </c>
    </row>
    <row r="279" spans="2:10" ht="15.6" x14ac:dyDescent="0.25">
      <c r="B279" s="59"/>
      <c r="C279" s="69" t="s">
        <v>149</v>
      </c>
      <c r="D279" s="61" t="s">
        <v>2</v>
      </c>
      <c r="E279" s="62">
        <f t="shared" si="43"/>
        <v>0</v>
      </c>
      <c r="F279" s="63">
        <f>'Прайс для расчета'!E258</f>
        <v>441</v>
      </c>
      <c r="G279" s="64">
        <f t="shared" si="40"/>
        <v>0</v>
      </c>
      <c r="I279" s="135">
        <f>'Прайс для расчета (М)'!E258</f>
        <v>220.5</v>
      </c>
      <c r="J279" s="36">
        <f t="shared" si="41"/>
        <v>0</v>
      </c>
    </row>
    <row r="280" spans="2:10" ht="15.6" x14ac:dyDescent="0.25">
      <c r="B280" s="59"/>
      <c r="C280" s="69" t="s">
        <v>150</v>
      </c>
      <c r="D280" s="61" t="s">
        <v>2</v>
      </c>
      <c r="E280" s="62">
        <f t="shared" si="43"/>
        <v>0</v>
      </c>
      <c r="F280" s="63">
        <f>'Прайс для расчета'!E259</f>
        <v>514.5</v>
      </c>
      <c r="G280" s="64">
        <f t="shared" si="40"/>
        <v>0</v>
      </c>
      <c r="I280" s="135">
        <f>'Прайс для расчета (М)'!E259</f>
        <v>257.25</v>
      </c>
      <c r="J280" s="36">
        <f t="shared" si="41"/>
        <v>0</v>
      </c>
    </row>
    <row r="281" spans="2:10" ht="15.6" x14ac:dyDescent="0.25">
      <c r="B281" s="59"/>
      <c r="C281" s="69" t="s">
        <v>417</v>
      </c>
      <c r="D281" s="61" t="s">
        <v>3</v>
      </c>
      <c r="E281" s="62">
        <f>$A$2</f>
        <v>0</v>
      </c>
      <c r="F281" s="63">
        <f>'Прайс для расчета'!E260</f>
        <v>224.70000000000002</v>
      </c>
      <c r="G281" s="64">
        <f t="shared" si="40"/>
        <v>0</v>
      </c>
      <c r="I281" s="135">
        <f>'Прайс для расчета (М)'!E260</f>
        <v>112.35000000000001</v>
      </c>
      <c r="J281" s="36">
        <f t="shared" si="41"/>
        <v>0</v>
      </c>
    </row>
    <row r="282" spans="2:10" ht="15.6" x14ac:dyDescent="0.25">
      <c r="B282" s="59"/>
      <c r="C282" s="69" t="s">
        <v>250</v>
      </c>
      <c r="D282" s="61" t="s">
        <v>3</v>
      </c>
      <c r="E282" s="62">
        <f>$A$2</f>
        <v>0</v>
      </c>
      <c r="F282" s="63">
        <f>'Прайс для расчета'!E261</f>
        <v>651</v>
      </c>
      <c r="G282" s="64">
        <f t="shared" si="40"/>
        <v>0</v>
      </c>
      <c r="I282" s="135">
        <f>'Прайс для расчета (М)'!E261</f>
        <v>325.5</v>
      </c>
      <c r="J282" s="36">
        <f t="shared" si="41"/>
        <v>0</v>
      </c>
    </row>
    <row r="283" spans="2:10" ht="15.6" x14ac:dyDescent="0.25">
      <c r="B283" s="59"/>
      <c r="C283" s="69" t="s">
        <v>890</v>
      </c>
      <c r="D283" s="61" t="s">
        <v>3</v>
      </c>
      <c r="E283" s="62">
        <f t="shared" ref="E283:E285" si="44">$A$2</f>
        <v>0</v>
      </c>
      <c r="F283" s="63">
        <f>'Прайс для расчета'!E262</f>
        <v>834.75</v>
      </c>
      <c r="G283" s="64">
        <f t="shared" si="40"/>
        <v>0</v>
      </c>
      <c r="I283" s="135">
        <f>'Прайс для расчета (М)'!E262</f>
        <v>417.375</v>
      </c>
      <c r="J283" s="36">
        <f t="shared" si="41"/>
        <v>0</v>
      </c>
    </row>
    <row r="284" spans="2:10" ht="15.6" x14ac:dyDescent="0.25">
      <c r="B284" s="59"/>
      <c r="C284" s="69" t="s">
        <v>418</v>
      </c>
      <c r="D284" s="61" t="s">
        <v>0</v>
      </c>
      <c r="E284" s="62">
        <f t="shared" si="44"/>
        <v>0</v>
      </c>
      <c r="F284" s="63">
        <f>'Прайс для расчета'!E263</f>
        <v>787.5</v>
      </c>
      <c r="G284" s="64">
        <f t="shared" si="40"/>
        <v>0</v>
      </c>
      <c r="I284" s="135">
        <f>'Прайс для расчета (М)'!E263</f>
        <v>393.75</v>
      </c>
      <c r="J284" s="36">
        <f t="shared" si="41"/>
        <v>0</v>
      </c>
    </row>
    <row r="285" spans="2:10" ht="15.6" x14ac:dyDescent="0.25">
      <c r="B285" s="59"/>
      <c r="C285" s="69" t="s">
        <v>137</v>
      </c>
      <c r="D285" s="61" t="s">
        <v>0</v>
      </c>
      <c r="E285" s="62">
        <f t="shared" si="44"/>
        <v>0</v>
      </c>
      <c r="F285" s="63">
        <f>'Прайс для расчета'!E264</f>
        <v>2551.5</v>
      </c>
      <c r="G285" s="64">
        <f t="shared" si="40"/>
        <v>0</v>
      </c>
      <c r="I285" s="135">
        <f>'Прайс для расчета (М)'!E264</f>
        <v>1275.75</v>
      </c>
      <c r="J285" s="36">
        <f t="shared" si="41"/>
        <v>0</v>
      </c>
    </row>
    <row r="286" spans="2:10" ht="15.6" x14ac:dyDescent="0.25">
      <c r="B286" s="59"/>
      <c r="C286" s="69" t="s">
        <v>520</v>
      </c>
      <c r="D286" s="61" t="s">
        <v>3</v>
      </c>
      <c r="E286" s="62">
        <f>$A$2</f>
        <v>0</v>
      </c>
      <c r="F286" s="63">
        <f>'Прайс для расчета'!E265</f>
        <v>152.25</v>
      </c>
      <c r="G286" s="64">
        <f t="shared" si="40"/>
        <v>0</v>
      </c>
      <c r="I286" s="135">
        <f>'Прайс для расчета (М)'!E265</f>
        <v>76.125</v>
      </c>
      <c r="J286" s="36">
        <f t="shared" si="41"/>
        <v>0</v>
      </c>
    </row>
    <row r="287" spans="2:10" ht="15.6" x14ac:dyDescent="0.25">
      <c r="B287" s="59">
        <f>IF(SUM(B288:B311)&gt;0,1,0)</f>
        <v>0</v>
      </c>
      <c r="C287" s="67" t="s">
        <v>878</v>
      </c>
      <c r="D287" s="61"/>
      <c r="E287" s="62"/>
      <c r="F287" s="63"/>
      <c r="G287" s="64"/>
    </row>
    <row r="288" spans="2:10" ht="15.6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5">F288*E288</f>
        <v>#REF!</v>
      </c>
      <c r="I288" s="135">
        <f>'Прайс для расчета (М)'!E276</f>
        <v>2192.4</v>
      </c>
      <c r="J288" s="36" t="e">
        <f t="shared" ref="J288:J311" si="46">I288*E288</f>
        <v>#REF!</v>
      </c>
    </row>
    <row r="289" spans="2:10" ht="15.6" x14ac:dyDescent="0.25">
      <c r="B289" s="59"/>
      <c r="C289" s="69" t="s">
        <v>270</v>
      </c>
      <c r="D289" s="61" t="s">
        <v>2</v>
      </c>
      <c r="E289" s="62" t="e">
        <f t="shared" ref="E289:E305" si="47">$A$6</f>
        <v>#REF!</v>
      </c>
      <c r="F289" s="63">
        <f>'Прайс для расчета'!E287</f>
        <v>2220.75</v>
      </c>
      <c r="G289" s="64" t="e">
        <f t="shared" si="45"/>
        <v>#REF!</v>
      </c>
      <c r="I289" s="135">
        <f>'Прайс для расчета (М)'!E287</f>
        <v>1110.375</v>
      </c>
      <c r="J289" s="36" t="e">
        <f t="shared" si="46"/>
        <v>#REF!</v>
      </c>
    </row>
    <row r="290" spans="2:10" ht="15.6" x14ac:dyDescent="0.25">
      <c r="B290" s="59"/>
      <c r="C290" s="69" t="s">
        <v>524</v>
      </c>
      <c r="D290" s="61" t="s">
        <v>2</v>
      </c>
      <c r="E290" s="62" t="e">
        <f t="shared" si="47"/>
        <v>#REF!</v>
      </c>
      <c r="F290" s="63">
        <f>'Прайс для расчета'!E288</f>
        <v>2577.75</v>
      </c>
      <c r="G290" s="64" t="e">
        <f t="shared" si="45"/>
        <v>#REF!</v>
      </c>
      <c r="I290" s="135">
        <f>'Прайс для расчета (М)'!E288</f>
        <v>1288.875</v>
      </c>
      <c r="J290" s="36" t="e">
        <f t="shared" si="46"/>
        <v>#REF!</v>
      </c>
    </row>
    <row r="291" spans="2:10" ht="15.6" x14ac:dyDescent="0.25">
      <c r="B291" s="59"/>
      <c r="C291" s="69" t="s">
        <v>525</v>
      </c>
      <c r="D291" s="61" t="s">
        <v>2</v>
      </c>
      <c r="E291" s="62" t="e">
        <f t="shared" si="47"/>
        <v>#REF!</v>
      </c>
      <c r="F291" s="63">
        <f>'Прайс для расчета'!E289</f>
        <v>1291.5</v>
      </c>
      <c r="G291" s="64" t="e">
        <f t="shared" si="45"/>
        <v>#REF!</v>
      </c>
      <c r="I291" s="135">
        <f>'Прайс для расчета (М)'!E289</f>
        <v>645.75</v>
      </c>
      <c r="J291" s="36" t="e">
        <f t="shared" si="46"/>
        <v>#REF!</v>
      </c>
    </row>
    <row r="292" spans="2:10" ht="15.6" x14ac:dyDescent="0.25">
      <c r="B292" s="59"/>
      <c r="C292" s="69" t="s">
        <v>526</v>
      </c>
      <c r="D292" s="61" t="s">
        <v>2</v>
      </c>
      <c r="E292" s="62" t="e">
        <f t="shared" si="47"/>
        <v>#REF!</v>
      </c>
      <c r="F292" s="63">
        <f>'Прайс для расчета'!E290</f>
        <v>1186.5</v>
      </c>
      <c r="G292" s="64" t="e">
        <f t="shared" si="45"/>
        <v>#REF!</v>
      </c>
      <c r="I292" s="135">
        <f>'Прайс для расчета (М)'!E290</f>
        <v>593.25</v>
      </c>
      <c r="J292" s="36" t="e">
        <f t="shared" si="46"/>
        <v>#REF!</v>
      </c>
    </row>
    <row r="293" spans="2:10" ht="15.6" x14ac:dyDescent="0.25">
      <c r="B293" s="59"/>
      <c r="C293" s="69" t="s">
        <v>271</v>
      </c>
      <c r="D293" s="61" t="s">
        <v>3</v>
      </c>
      <c r="E293" s="62" t="e">
        <f t="shared" si="47"/>
        <v>#REF!</v>
      </c>
      <c r="F293" s="63">
        <f>'Прайс для расчета'!E291</f>
        <v>761.25</v>
      </c>
      <c r="G293" s="64" t="e">
        <f t="shared" si="45"/>
        <v>#REF!</v>
      </c>
      <c r="I293" s="135">
        <f>'Прайс для расчета (М)'!E291</f>
        <v>380.625</v>
      </c>
      <c r="J293" s="36" t="e">
        <f t="shared" si="46"/>
        <v>#REF!</v>
      </c>
    </row>
    <row r="294" spans="2:10" ht="15.6" x14ac:dyDescent="0.25">
      <c r="B294" s="59"/>
      <c r="C294" s="69" t="s">
        <v>962</v>
      </c>
      <c r="D294" s="61" t="s">
        <v>3</v>
      </c>
      <c r="E294" s="62" t="e">
        <f t="shared" si="47"/>
        <v>#REF!</v>
      </c>
      <c r="F294" s="63">
        <f>'Прайс для расчета'!E292</f>
        <v>519.75</v>
      </c>
      <c r="G294" s="64" t="e">
        <f t="shared" ref="G294:G295" si="48">F294*E294</f>
        <v>#REF!</v>
      </c>
      <c r="I294" s="135">
        <f>'Прайс для расчета (М)'!E292</f>
        <v>259.875</v>
      </c>
      <c r="J294" s="36" t="e">
        <f t="shared" si="46"/>
        <v>#REF!</v>
      </c>
    </row>
    <row r="295" spans="2:10" ht="15.6" x14ac:dyDescent="0.25">
      <c r="B295" s="59"/>
      <c r="C295" s="69" t="s">
        <v>963</v>
      </c>
      <c r="D295" s="61" t="s">
        <v>3</v>
      </c>
      <c r="E295" s="62" t="e">
        <f t="shared" si="47"/>
        <v>#REF!</v>
      </c>
      <c r="F295" s="63">
        <f>'Прайс для расчета'!E293</f>
        <v>824.25</v>
      </c>
      <c r="G295" s="64" t="e">
        <f t="shared" si="48"/>
        <v>#REF!</v>
      </c>
      <c r="I295" s="135">
        <f>'Прайс для расчета (М)'!E293</f>
        <v>412.125</v>
      </c>
      <c r="J295" s="36" t="e">
        <f t="shared" si="46"/>
        <v>#REF!</v>
      </c>
    </row>
    <row r="296" spans="2:10" ht="15.6" x14ac:dyDescent="0.25">
      <c r="B296" s="59"/>
      <c r="C296" s="69" t="s">
        <v>527</v>
      </c>
      <c r="D296" s="61" t="s">
        <v>2</v>
      </c>
      <c r="E296" s="62" t="e">
        <f t="shared" si="47"/>
        <v>#REF!</v>
      </c>
      <c r="F296" s="63">
        <f>'Прайс для расчета'!E294</f>
        <v>1732.5</v>
      </c>
      <c r="G296" s="64" t="e">
        <f t="shared" si="45"/>
        <v>#REF!</v>
      </c>
      <c r="I296" s="135">
        <f>'Прайс для расчета (М)'!E294</f>
        <v>866.25</v>
      </c>
      <c r="J296" s="36" t="e">
        <f t="shared" si="46"/>
        <v>#REF!</v>
      </c>
    </row>
    <row r="297" spans="2:10" ht="15.6" x14ac:dyDescent="0.25">
      <c r="B297" s="59"/>
      <c r="C297" s="69" t="s">
        <v>678</v>
      </c>
      <c r="D297" s="61" t="s">
        <v>2</v>
      </c>
      <c r="E297" s="62" t="e">
        <f t="shared" si="47"/>
        <v>#REF!</v>
      </c>
      <c r="F297" s="63">
        <f>'Прайс для расчета'!E296</f>
        <v>3097.5</v>
      </c>
      <c r="G297" s="64" t="e">
        <f t="shared" si="45"/>
        <v>#REF!</v>
      </c>
      <c r="I297" s="135">
        <f>'Прайс для расчета (М)'!E296</f>
        <v>1548.75</v>
      </c>
      <c r="J297" s="36" t="e">
        <f t="shared" si="46"/>
        <v>#REF!</v>
      </c>
    </row>
    <row r="298" spans="2:10" ht="15.6" x14ac:dyDescent="0.25">
      <c r="B298" s="59"/>
      <c r="C298" s="69" t="s">
        <v>680</v>
      </c>
      <c r="D298" s="61" t="s">
        <v>2</v>
      </c>
      <c r="E298" s="62" t="e">
        <f t="shared" si="47"/>
        <v>#REF!</v>
      </c>
      <c r="F298" s="63">
        <f>'Прайс для расчета'!E310</f>
        <v>5040</v>
      </c>
      <c r="G298" s="64" t="e">
        <f t="shared" si="45"/>
        <v>#REF!</v>
      </c>
      <c r="I298" s="135">
        <f>'Прайс для расчета (М)'!E310</f>
        <v>2520</v>
      </c>
      <c r="J298" s="36" t="e">
        <f t="shared" si="46"/>
        <v>#REF!</v>
      </c>
    </row>
    <row r="299" spans="2:10" ht="15.6" x14ac:dyDescent="0.25">
      <c r="B299" s="59"/>
      <c r="C299" s="69" t="s">
        <v>679</v>
      </c>
      <c r="D299" s="61" t="s">
        <v>2</v>
      </c>
      <c r="E299" s="62" t="e">
        <f t="shared" si="47"/>
        <v>#REF!</v>
      </c>
      <c r="F299" s="63">
        <f>'Прайс для расчета'!E297</f>
        <v>1044.75</v>
      </c>
      <c r="G299" s="64" t="e">
        <f t="shared" si="45"/>
        <v>#REF!</v>
      </c>
      <c r="I299" s="135">
        <f>'Прайс для расчета (М)'!E297</f>
        <v>522.375</v>
      </c>
      <c r="J299" s="36" t="e">
        <f t="shared" si="46"/>
        <v>#REF!</v>
      </c>
    </row>
    <row r="300" spans="2:10" ht="15.6" x14ac:dyDescent="0.25">
      <c r="B300" s="59"/>
      <c r="C300" s="69" t="s">
        <v>895</v>
      </c>
      <c r="D300" s="61" t="s">
        <v>2</v>
      </c>
      <c r="E300" s="62" t="e">
        <f t="shared" si="47"/>
        <v>#REF!</v>
      </c>
      <c r="F300" s="63">
        <f>'Прайс для расчета'!E298</f>
        <v>593.25</v>
      </c>
      <c r="G300" s="64" t="e">
        <f t="shared" si="45"/>
        <v>#REF!</v>
      </c>
      <c r="I300" s="135">
        <f>'Прайс для расчета (М)'!E298</f>
        <v>296.625</v>
      </c>
      <c r="J300" s="36" t="e">
        <f t="shared" si="46"/>
        <v>#REF!</v>
      </c>
    </row>
    <row r="301" spans="2:10" ht="15.6" x14ac:dyDescent="0.25">
      <c r="B301" s="59"/>
      <c r="C301" s="69" t="s">
        <v>947</v>
      </c>
      <c r="D301" s="61" t="s">
        <v>2</v>
      </c>
      <c r="E301" s="62" t="e">
        <f t="shared" si="47"/>
        <v>#REF!</v>
      </c>
      <c r="F301" s="63">
        <f>'Прайс для расчета'!E299</f>
        <v>635.25</v>
      </c>
      <c r="G301" s="64" t="e">
        <f t="shared" si="45"/>
        <v>#REF!</v>
      </c>
      <c r="I301" s="135">
        <f>'Прайс для расчета (М)'!E299</f>
        <v>317.625</v>
      </c>
      <c r="J301" s="36" t="e">
        <f t="shared" si="46"/>
        <v>#REF!</v>
      </c>
    </row>
    <row r="302" spans="2:10" ht="31.2" x14ac:dyDescent="0.25">
      <c r="B302" s="59"/>
      <c r="C302" s="69" t="s">
        <v>1074</v>
      </c>
      <c r="D302" s="86" t="s">
        <v>2</v>
      </c>
      <c r="E302" s="62" t="e">
        <f t="shared" si="47"/>
        <v>#REF!</v>
      </c>
      <c r="F302" s="63">
        <f>'Прайс для расчета'!E300</f>
        <v>1181.25</v>
      </c>
      <c r="G302" s="64" t="e">
        <f t="shared" si="45"/>
        <v>#REF!</v>
      </c>
      <c r="I302" s="135">
        <f>'Прайс для расчета (М)'!E300</f>
        <v>590.625</v>
      </c>
      <c r="J302" s="36" t="e">
        <f t="shared" si="46"/>
        <v>#REF!</v>
      </c>
    </row>
    <row r="303" spans="2:10" ht="15.6" x14ac:dyDescent="0.25">
      <c r="B303" s="59"/>
      <c r="C303" s="69" t="s">
        <v>896</v>
      </c>
      <c r="D303" s="61" t="s">
        <v>2</v>
      </c>
      <c r="E303" s="62" t="e">
        <f t="shared" si="47"/>
        <v>#REF!</v>
      </c>
      <c r="F303" s="63">
        <f>'Прайс для расчета'!E301</f>
        <v>635.25</v>
      </c>
      <c r="G303" s="64" t="e">
        <f t="shared" si="45"/>
        <v>#REF!</v>
      </c>
      <c r="I303" s="135">
        <f>'Прайс для расчета (М)'!E301</f>
        <v>317.625</v>
      </c>
      <c r="J303" s="36" t="e">
        <f t="shared" si="46"/>
        <v>#REF!</v>
      </c>
    </row>
    <row r="304" spans="2:10" ht="15.6" x14ac:dyDescent="0.25">
      <c r="B304" s="59"/>
      <c r="C304" s="69" t="s">
        <v>897</v>
      </c>
      <c r="D304" s="61" t="s">
        <v>2</v>
      </c>
      <c r="E304" s="62" t="e">
        <f t="shared" si="47"/>
        <v>#REF!</v>
      </c>
      <c r="F304" s="63">
        <f>'Прайс для расчета'!E302</f>
        <v>498.75</v>
      </c>
      <c r="G304" s="64" t="e">
        <f t="shared" si="45"/>
        <v>#REF!</v>
      </c>
      <c r="I304" s="135">
        <f>'Прайс для расчета (М)'!E302</f>
        <v>249.375</v>
      </c>
      <c r="J304" s="36" t="e">
        <f t="shared" si="46"/>
        <v>#REF!</v>
      </c>
    </row>
    <row r="305" spans="2:10" ht="15.6" x14ac:dyDescent="0.25">
      <c r="B305" s="59"/>
      <c r="C305" s="69" t="s">
        <v>898</v>
      </c>
      <c r="D305" s="61" t="s">
        <v>3</v>
      </c>
      <c r="E305" s="62" t="e">
        <f t="shared" si="47"/>
        <v>#REF!</v>
      </c>
      <c r="F305" s="63">
        <f>'Прайс для расчета'!E303</f>
        <v>183.75</v>
      </c>
      <c r="G305" s="64" t="e">
        <f t="shared" si="45"/>
        <v>#REF!</v>
      </c>
      <c r="I305" s="135">
        <f>'Прайс для расчета (М)'!E303</f>
        <v>91.875</v>
      </c>
      <c r="J305" s="36" t="e">
        <f t="shared" si="46"/>
        <v>#REF!</v>
      </c>
    </row>
    <row r="306" spans="2:10" ht="15.6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5"/>
        <v>#REF!</v>
      </c>
      <c r="I306" s="135">
        <f>'Прайс для расчета (М)'!E304</f>
        <v>590.625</v>
      </c>
      <c r="J306" s="36" t="e">
        <f t="shared" si="46"/>
        <v>#REF!</v>
      </c>
    </row>
    <row r="307" spans="2:10" ht="15.6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5"/>
        <v>#REF!</v>
      </c>
      <c r="I307" s="135">
        <f>'Прайс для расчета (М)'!E305</f>
        <v>527.625</v>
      </c>
      <c r="J307" s="36" t="e">
        <f t="shared" si="46"/>
        <v>#REF!</v>
      </c>
    </row>
    <row r="308" spans="2:10" ht="15.6" x14ac:dyDescent="0.25">
      <c r="B308" s="59"/>
      <c r="C308" s="69" t="s">
        <v>528</v>
      </c>
      <c r="D308" s="61" t="s">
        <v>2</v>
      </c>
      <c r="E308" s="62" t="e">
        <f t="shared" ref="E308:E309" si="49">$A$6</f>
        <v>#REF!</v>
      </c>
      <c r="F308" s="63">
        <f>'Прайс для расчета'!E306</f>
        <v>3990</v>
      </c>
      <c r="G308" s="64" t="e">
        <f t="shared" si="45"/>
        <v>#REF!</v>
      </c>
      <c r="I308" s="135">
        <f>'Прайс для расчета (М)'!E306</f>
        <v>1995</v>
      </c>
      <c r="J308" s="36" t="e">
        <f t="shared" si="46"/>
        <v>#REF!</v>
      </c>
    </row>
    <row r="309" spans="2:10" ht="15.6" x14ac:dyDescent="0.25">
      <c r="B309" s="59"/>
      <c r="C309" s="69" t="s">
        <v>429</v>
      </c>
      <c r="D309" s="61" t="s">
        <v>2</v>
      </c>
      <c r="E309" s="62" t="e">
        <f t="shared" si="49"/>
        <v>#REF!</v>
      </c>
      <c r="F309" s="63">
        <f>'Прайс для расчета'!E307</f>
        <v>472.5</v>
      </c>
      <c r="G309" s="64" t="e">
        <f t="shared" si="45"/>
        <v>#REF!</v>
      </c>
      <c r="I309" s="135">
        <f>'Прайс для расчета (М)'!E307</f>
        <v>236.25</v>
      </c>
      <c r="J309" s="36" t="e">
        <f t="shared" si="46"/>
        <v>#REF!</v>
      </c>
    </row>
    <row r="310" spans="2:10" ht="15.6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5"/>
        <v>#REF!</v>
      </c>
      <c r="I310" s="135">
        <f>'Прайс для расчета (М)'!E308</f>
        <v>393.75</v>
      </c>
      <c r="J310" s="36" t="e">
        <f t="shared" si="46"/>
        <v>#REF!</v>
      </c>
    </row>
    <row r="311" spans="2:10" ht="15.6" x14ac:dyDescent="0.25">
      <c r="B311" s="59"/>
      <c r="C311" s="69" t="s">
        <v>430</v>
      </c>
      <c r="D311" s="61" t="s">
        <v>2</v>
      </c>
      <c r="E311" s="62" t="e">
        <f>$A$6</f>
        <v>#REF!</v>
      </c>
      <c r="F311" s="63">
        <f>'Прайс для расчета'!E309</f>
        <v>420</v>
      </c>
      <c r="G311" s="64" t="e">
        <f t="shared" si="45"/>
        <v>#REF!</v>
      </c>
      <c r="I311" s="135">
        <f>'Прайс для расчета (М)'!E309</f>
        <v>210</v>
      </c>
      <c r="J311" s="36" t="e">
        <f t="shared" si="46"/>
        <v>#REF!</v>
      </c>
    </row>
    <row r="312" spans="2:10" ht="15.6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50">F313*E313</f>
        <v>315</v>
      </c>
      <c r="I313" s="135">
        <f>'Прайс для расчета (М)'!E311</f>
        <v>157.5</v>
      </c>
      <c r="J313" s="36">
        <f t="shared" ref="J313:J319" si="51">I313*E313</f>
        <v>157.5</v>
      </c>
    </row>
    <row r="314" spans="2:10" ht="15.6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50"/>
        <v>367.5</v>
      </c>
      <c r="I314" s="135">
        <f>'Прайс для расчета (М)'!E312</f>
        <v>183.75</v>
      </c>
      <c r="J314" s="36">
        <f t="shared" si="51"/>
        <v>183.75</v>
      </c>
    </row>
    <row r="315" spans="2:10" ht="15.6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50"/>
        <v>194.25</v>
      </c>
      <c r="I315" s="135">
        <f>'Прайс для расчета (М)'!E313</f>
        <v>97.125</v>
      </c>
      <c r="J315" s="36">
        <f t="shared" si="51"/>
        <v>97.125</v>
      </c>
    </row>
    <row r="316" spans="2:10" ht="15.6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50"/>
        <v>735</v>
      </c>
      <c r="I316" s="135">
        <f>'Прайс для расчета (М)'!E314</f>
        <v>367.5</v>
      </c>
      <c r="J316" s="36">
        <f t="shared" si="51"/>
        <v>367.5</v>
      </c>
    </row>
    <row r="317" spans="2:10" ht="15.6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50"/>
        <v>1349.25</v>
      </c>
      <c r="I317" s="135">
        <f>'Прайс для расчета (М)'!E315</f>
        <v>674.625</v>
      </c>
      <c r="J317" s="36">
        <f t="shared" si="51"/>
        <v>674.625</v>
      </c>
    </row>
    <row r="318" spans="2:10" ht="15.6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50"/>
        <v>0</v>
      </c>
      <c r="I318" s="135">
        <f>'Прайс для расчета (М)'!E316</f>
        <v>0</v>
      </c>
      <c r="J318" s="36">
        <f t="shared" si="51"/>
        <v>0</v>
      </c>
    </row>
    <row r="319" spans="2:10" ht="15.6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50"/>
        <v>1464.75</v>
      </c>
      <c r="I319" s="135">
        <f>'Прайс для расчета (М)'!E317</f>
        <v>732.375</v>
      </c>
      <c r="J319" s="36">
        <f t="shared" si="51"/>
        <v>732.375</v>
      </c>
    </row>
    <row r="320" spans="2:10" ht="15.6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x14ac:dyDescent="0.25">
      <c r="B321" s="59"/>
      <c r="C321" s="65" t="s">
        <v>436</v>
      </c>
      <c r="D321" s="61" t="s">
        <v>2</v>
      </c>
      <c r="E321" s="62">
        <f>$A$4</f>
        <v>0</v>
      </c>
      <c r="F321" s="63">
        <f>'Прайс для расчета'!E318</f>
        <v>577.5</v>
      </c>
      <c r="G321" s="64">
        <f t="shared" ref="G321:G333" si="52">F321*E321</f>
        <v>0</v>
      </c>
      <c r="I321" s="135">
        <f>'Прайс для расчета (М)'!E318</f>
        <v>288.75</v>
      </c>
      <c r="J321" s="36">
        <f t="shared" ref="J321:J333" si="53">I321*E321</f>
        <v>0</v>
      </c>
    </row>
    <row r="322" spans="2:10" ht="15.6" x14ac:dyDescent="0.25">
      <c r="B322" s="59"/>
      <c r="C322" s="65" t="s">
        <v>437</v>
      </c>
      <c r="D322" s="61" t="s">
        <v>2</v>
      </c>
      <c r="E322" s="62">
        <f>$A$4</f>
        <v>0</v>
      </c>
      <c r="F322" s="63">
        <f>'Прайс для расчета'!E319</f>
        <v>1396.5</v>
      </c>
      <c r="G322" s="64">
        <f t="shared" si="52"/>
        <v>0</v>
      </c>
      <c r="I322" s="135">
        <f>'Прайс для расчета (М)'!E319</f>
        <v>698.25</v>
      </c>
      <c r="J322" s="36">
        <f t="shared" si="53"/>
        <v>0</v>
      </c>
    </row>
    <row r="323" spans="2:10" ht="15.6" x14ac:dyDescent="0.25">
      <c r="B323" s="59"/>
      <c r="C323" s="65" t="s">
        <v>438</v>
      </c>
      <c r="D323" s="61" t="s">
        <v>2</v>
      </c>
      <c r="E323" s="62">
        <f>$A$4</f>
        <v>0</v>
      </c>
      <c r="F323" s="63">
        <f>'Прайс для расчета'!E320</f>
        <v>1291.5</v>
      </c>
      <c r="G323" s="64">
        <f t="shared" si="52"/>
        <v>0</v>
      </c>
      <c r="I323" s="135">
        <f>'Прайс для расчета (М)'!E320</f>
        <v>645.75</v>
      </c>
      <c r="J323" s="36">
        <f t="shared" si="53"/>
        <v>0</v>
      </c>
    </row>
    <row r="324" spans="2:10" ht="15.6" x14ac:dyDescent="0.25">
      <c r="B324" s="59"/>
      <c r="C324" s="65" t="s">
        <v>439</v>
      </c>
      <c r="D324" s="61" t="s">
        <v>2</v>
      </c>
      <c r="E324" s="62">
        <f>$A$4</f>
        <v>0</v>
      </c>
      <c r="F324" s="63">
        <f>'Прайс для расчета'!E321</f>
        <v>1386</v>
      </c>
      <c r="G324" s="64">
        <f t="shared" si="52"/>
        <v>0</v>
      </c>
      <c r="I324" s="135">
        <f>'Прайс для расчета (М)'!E321</f>
        <v>693</v>
      </c>
      <c r="J324" s="36">
        <f t="shared" si="53"/>
        <v>0</v>
      </c>
    </row>
    <row r="325" spans="2:10" ht="15.6" x14ac:dyDescent="0.25">
      <c r="B325" s="59"/>
      <c r="C325" s="65" t="s">
        <v>440</v>
      </c>
      <c r="D325" s="61" t="s">
        <v>2</v>
      </c>
      <c r="E325" s="62">
        <f>$A$4</f>
        <v>0</v>
      </c>
      <c r="F325" s="63">
        <f>'Прайс для расчета'!E322</f>
        <v>1281</v>
      </c>
      <c r="G325" s="64">
        <f t="shared" si="52"/>
        <v>0</v>
      </c>
      <c r="I325" s="135">
        <f>'Прайс для расчета (М)'!E322</f>
        <v>640.5</v>
      </c>
      <c r="J325" s="36">
        <f t="shared" si="53"/>
        <v>0</v>
      </c>
    </row>
    <row r="326" spans="2:10" ht="15.6" x14ac:dyDescent="0.25">
      <c r="B326" s="59"/>
      <c r="C326" s="65" t="s">
        <v>441</v>
      </c>
      <c r="D326" s="61" t="s">
        <v>645</v>
      </c>
      <c r="E326" s="62">
        <f>$A$2</f>
        <v>0</v>
      </c>
      <c r="F326" s="63">
        <f>'Прайс для расчета'!E323</f>
        <v>330.75</v>
      </c>
      <c r="G326" s="64">
        <f t="shared" si="52"/>
        <v>0</v>
      </c>
      <c r="I326" s="135">
        <f>'Прайс для расчета (М)'!E323</f>
        <v>165.375</v>
      </c>
      <c r="J326" s="36">
        <f t="shared" si="53"/>
        <v>0</v>
      </c>
    </row>
    <row r="327" spans="2:10" ht="15.6" x14ac:dyDescent="0.25">
      <c r="B327" s="59"/>
      <c r="C327" s="65" t="s">
        <v>531</v>
      </c>
      <c r="D327" s="61" t="s">
        <v>645</v>
      </c>
      <c r="E327" s="62">
        <f>$A$2</f>
        <v>0</v>
      </c>
      <c r="F327" s="63">
        <f>'Прайс для расчета'!E324</f>
        <v>866.25</v>
      </c>
      <c r="G327" s="64">
        <f t="shared" si="52"/>
        <v>0</v>
      </c>
      <c r="I327" s="135">
        <f>'Прайс для расчета (М)'!E324</f>
        <v>433.125</v>
      </c>
      <c r="J327" s="36">
        <f t="shared" si="53"/>
        <v>0</v>
      </c>
    </row>
    <row r="328" spans="2:10" ht="15.6" x14ac:dyDescent="0.25">
      <c r="B328" s="59"/>
      <c r="C328" s="65" t="s">
        <v>532</v>
      </c>
      <c r="D328" s="61" t="s">
        <v>645</v>
      </c>
      <c r="E328" s="62">
        <f>$A$2</f>
        <v>0</v>
      </c>
      <c r="F328" s="63">
        <f>'Прайс для расчета'!E325</f>
        <v>1097.376</v>
      </c>
      <c r="G328" s="64">
        <f t="shared" si="52"/>
        <v>0</v>
      </c>
      <c r="I328" s="135">
        <f>'Прайс для расчета (М)'!E325</f>
        <v>548.68799999999999</v>
      </c>
      <c r="J328" s="36">
        <f t="shared" si="53"/>
        <v>0</v>
      </c>
    </row>
    <row r="329" spans="2:10" ht="15.6" x14ac:dyDescent="0.25">
      <c r="B329" s="59"/>
      <c r="C329" s="65" t="s">
        <v>533</v>
      </c>
      <c r="D329" s="61" t="s">
        <v>645</v>
      </c>
      <c r="E329" s="62">
        <f>$A$2</f>
        <v>0</v>
      </c>
      <c r="F329" s="63">
        <f>'Прайс для расчета'!E326</f>
        <v>852.6</v>
      </c>
      <c r="G329" s="64">
        <f t="shared" si="52"/>
        <v>0</v>
      </c>
      <c r="I329" s="135">
        <f>'Прайс для расчета (М)'!E326</f>
        <v>426.3</v>
      </c>
      <c r="J329" s="36">
        <f t="shared" si="53"/>
        <v>0</v>
      </c>
    </row>
    <row r="330" spans="2:10" ht="15.6" x14ac:dyDescent="0.25">
      <c r="B330" s="59"/>
      <c r="C330" s="65" t="s">
        <v>442</v>
      </c>
      <c r="D330" s="61" t="s">
        <v>645</v>
      </c>
      <c r="E330" s="62">
        <f>$A$2</f>
        <v>0</v>
      </c>
      <c r="F330" s="63">
        <f>'Прайс для расчета'!E327</f>
        <v>225.75</v>
      </c>
      <c r="G330" s="64">
        <f t="shared" si="52"/>
        <v>0</v>
      </c>
      <c r="I330" s="135">
        <f>'Прайс для расчета (М)'!E327</f>
        <v>112.875</v>
      </c>
      <c r="J330" s="36">
        <f t="shared" si="53"/>
        <v>0</v>
      </c>
    </row>
    <row r="331" spans="2:10" ht="15.6" x14ac:dyDescent="0.25">
      <c r="B331" s="59"/>
      <c r="C331" s="65" t="s">
        <v>443</v>
      </c>
      <c r="D331" s="61" t="s">
        <v>2</v>
      </c>
      <c r="E331" s="62">
        <f>$A$4</f>
        <v>0</v>
      </c>
      <c r="F331" s="63">
        <f>'Прайс для расчета'!E328</f>
        <v>462</v>
      </c>
      <c r="G331" s="64">
        <f t="shared" si="52"/>
        <v>0</v>
      </c>
      <c r="I331" s="135">
        <f>'Прайс для расчета (М)'!E328</f>
        <v>231</v>
      </c>
      <c r="J331" s="36">
        <f t="shared" si="53"/>
        <v>0</v>
      </c>
    </row>
    <row r="332" spans="2:10" ht="15.6" x14ac:dyDescent="0.25">
      <c r="B332" s="59"/>
      <c r="C332" s="65" t="s">
        <v>534</v>
      </c>
      <c r="D332" s="61" t="s">
        <v>2</v>
      </c>
      <c r="E332" s="62">
        <f>$A$4</f>
        <v>0</v>
      </c>
      <c r="F332" s="63">
        <f>'Прайс для расчета'!E329</f>
        <v>1060.5</v>
      </c>
      <c r="G332" s="64">
        <f t="shared" si="52"/>
        <v>0</v>
      </c>
      <c r="I332" s="135">
        <f>'Прайс для расчета (М)'!E329</f>
        <v>530.25</v>
      </c>
      <c r="J332" s="36">
        <f t="shared" si="53"/>
        <v>0</v>
      </c>
    </row>
    <row r="333" spans="2:10" ht="15.6" x14ac:dyDescent="0.25">
      <c r="B333" s="59"/>
      <c r="C333" s="65" t="s">
        <v>444</v>
      </c>
      <c r="D333" s="61" t="s">
        <v>2</v>
      </c>
      <c r="E333" s="62">
        <f>$A$4</f>
        <v>0</v>
      </c>
      <c r="F333" s="63">
        <f>'Прайс для расчета'!E330</f>
        <v>735</v>
      </c>
      <c r="G333" s="64">
        <f t="shared" si="52"/>
        <v>0</v>
      </c>
      <c r="I333" s="135">
        <f>'Прайс для расчета (М)'!E330</f>
        <v>367.5</v>
      </c>
      <c r="J333" s="36">
        <f t="shared" si="53"/>
        <v>0</v>
      </c>
    </row>
    <row r="334" spans="2:10" ht="15.6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54">F335*E335</f>
        <v>525</v>
      </c>
      <c r="I335" s="135">
        <f>'Прайс для расчета (М)'!E331</f>
        <v>262.5</v>
      </c>
      <c r="J335" s="36">
        <f t="shared" ref="J335:J353" si="55">I335*E335</f>
        <v>262.5</v>
      </c>
    </row>
    <row r="336" spans="2:10" ht="15.6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54"/>
        <v>945</v>
      </c>
      <c r="I336" s="135">
        <f>'Прайс для расчета (М)'!E332</f>
        <v>472.5</v>
      </c>
      <c r="J336" s="36">
        <f t="shared" si="55"/>
        <v>472.5</v>
      </c>
    </row>
    <row r="337" spans="2:10" ht="15.6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54"/>
        <v>1575</v>
      </c>
      <c r="I337" s="135">
        <f>'Прайс для расчета (М)'!E333</f>
        <v>787.5</v>
      </c>
      <c r="J337" s="36">
        <f t="shared" si="55"/>
        <v>787.5</v>
      </c>
    </row>
    <row r="338" spans="2:10" ht="15.6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54"/>
        <v>840</v>
      </c>
      <c r="I338" s="135">
        <f>'Прайс для расчета (М)'!E334</f>
        <v>420</v>
      </c>
      <c r="J338" s="36">
        <f t="shared" si="55"/>
        <v>420</v>
      </c>
    </row>
    <row r="339" spans="2:10" ht="15.6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54"/>
        <v>273</v>
      </c>
      <c r="I339" s="135">
        <f>'Прайс для расчета (М)'!E335</f>
        <v>136.5</v>
      </c>
      <c r="J339" s="36">
        <f t="shared" si="55"/>
        <v>136.5</v>
      </c>
    </row>
    <row r="340" spans="2:10" ht="15.6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54"/>
        <v>1890</v>
      </c>
      <c r="I340" s="135">
        <f>'Прайс для расчета (М)'!E336</f>
        <v>945</v>
      </c>
      <c r="J340" s="36">
        <f t="shared" si="55"/>
        <v>945</v>
      </c>
    </row>
    <row r="341" spans="2:10" ht="15.6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54"/>
        <v>346.5</v>
      </c>
      <c r="I341" s="135">
        <f>'Прайс для расчета (М)'!E337</f>
        <v>173.25</v>
      </c>
      <c r="J341" s="36">
        <f t="shared" si="55"/>
        <v>173.25</v>
      </c>
    </row>
    <row r="342" spans="2:10" ht="15.6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54"/>
        <v>4179</v>
      </c>
      <c r="I342" s="135">
        <f>'Прайс для расчета (М)'!E338</f>
        <v>2089.5</v>
      </c>
      <c r="J342" s="36">
        <f t="shared" si="55"/>
        <v>2089.5</v>
      </c>
    </row>
    <row r="343" spans="2:10" ht="15.6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54"/>
        <v>3255</v>
      </c>
      <c r="I343" s="135">
        <f>'Прайс для расчета (М)'!E339</f>
        <v>1627.5</v>
      </c>
      <c r="J343" s="36">
        <f t="shared" si="55"/>
        <v>1627.5</v>
      </c>
    </row>
    <row r="344" spans="2:10" ht="15.6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54"/>
        <v>1176</v>
      </c>
      <c r="I344" s="135">
        <f>'Прайс для расчета (М)'!E340</f>
        <v>588</v>
      </c>
      <c r="J344" s="36">
        <f t="shared" si="55"/>
        <v>588</v>
      </c>
    </row>
    <row r="345" spans="2:10" ht="15.6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54"/>
        <v>367.5</v>
      </c>
      <c r="I345" s="135">
        <f>'Прайс для расчета (М)'!E341</f>
        <v>183.75</v>
      </c>
      <c r="J345" s="36">
        <f t="shared" si="55"/>
        <v>183.75</v>
      </c>
    </row>
    <row r="346" spans="2:10" ht="15.6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54"/>
        <v>199.5</v>
      </c>
      <c r="I346" s="135">
        <f>'Прайс для расчета (М)'!E342</f>
        <v>99.75</v>
      </c>
      <c r="J346" s="36">
        <f t="shared" si="55"/>
        <v>99.75</v>
      </c>
    </row>
    <row r="347" spans="2:10" ht="15.6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54"/>
        <v>1995</v>
      </c>
      <c r="I347" s="135">
        <f>'Прайс для расчета (М)'!E343</f>
        <v>997.5</v>
      </c>
      <c r="J347" s="36">
        <f t="shared" si="55"/>
        <v>997.5</v>
      </c>
    </row>
    <row r="348" spans="2:10" ht="15.6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54"/>
        <v>840</v>
      </c>
      <c r="I348" s="135">
        <f>'Прайс для расчета (М)'!E344</f>
        <v>420</v>
      </c>
      <c r="J348" s="36">
        <f t="shared" si="55"/>
        <v>420</v>
      </c>
    </row>
    <row r="349" spans="2:10" ht="15.6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54"/>
        <v>3097.5</v>
      </c>
      <c r="I349" s="135">
        <f>'Прайс для расчета (М)'!E345</f>
        <v>1548.75</v>
      </c>
      <c r="J349" s="36">
        <f t="shared" si="55"/>
        <v>1548.75</v>
      </c>
    </row>
    <row r="350" spans="2:10" ht="15.6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54"/>
        <v>1029</v>
      </c>
      <c r="I350" s="135">
        <f>'Прайс для расчета (М)'!E346</f>
        <v>514.5</v>
      </c>
      <c r="J350" s="36">
        <f t="shared" si="55"/>
        <v>514.5</v>
      </c>
    </row>
    <row r="351" spans="2:10" ht="15.6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54"/>
        <v>1627.5</v>
      </c>
      <c r="I351" s="135">
        <f>'Прайс для расчета (М)'!E347</f>
        <v>813.75</v>
      </c>
      <c r="J351" s="36">
        <f t="shared" si="55"/>
        <v>813.75</v>
      </c>
    </row>
    <row r="352" spans="2:10" ht="15.6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54"/>
        <v>1627.5</v>
      </c>
      <c r="I352" s="135">
        <f>'Прайс для расчета (М)'!E348</f>
        <v>813.75</v>
      </c>
      <c r="J352" s="36">
        <f t="shared" si="55"/>
        <v>813.75</v>
      </c>
    </row>
    <row r="353" spans="2:10" ht="15.6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54"/>
        <v>420</v>
      </c>
      <c r="I353" s="135">
        <f>'Прайс для расчета (М)'!E349</f>
        <v>210</v>
      </c>
      <c r="J353" s="36">
        <f t="shared" si="55"/>
        <v>210</v>
      </c>
    </row>
    <row r="354" spans="2:10" ht="15.6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6">F355*E355</f>
        <v>0</v>
      </c>
      <c r="I355" s="135">
        <f>'Прайс для расчета (М)'!E351</f>
        <v>202.125</v>
      </c>
      <c r="J355" s="36">
        <f t="shared" ref="J355:J361" si="57">I355*E355</f>
        <v>0</v>
      </c>
    </row>
    <row r="356" spans="2:10" ht="15.6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6"/>
        <v>3858.7080000000001</v>
      </c>
      <c r="I356" s="135">
        <f>'Прайс для расчета (М)'!E352</f>
        <v>1929.354</v>
      </c>
      <c r="J356" s="36">
        <f t="shared" si="57"/>
        <v>1929.354</v>
      </c>
    </row>
    <row r="357" spans="2:10" ht="15.6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6"/>
        <v>1044.75</v>
      </c>
      <c r="I357" s="135">
        <f>'Прайс для расчета (М)'!E353</f>
        <v>522.375</v>
      </c>
      <c r="J357" s="36">
        <f t="shared" si="57"/>
        <v>522.375</v>
      </c>
    </row>
    <row r="358" spans="2:10" ht="15.6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6"/>
        <v>1522.5</v>
      </c>
      <c r="I358" s="135">
        <f>'Прайс для расчета (М)'!E354</f>
        <v>761.25</v>
      </c>
      <c r="J358" s="36">
        <f t="shared" si="57"/>
        <v>761.25</v>
      </c>
    </row>
    <row r="359" spans="2:10" ht="15.6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6"/>
        <v>1522.5</v>
      </c>
      <c r="I359" s="135">
        <f>'Прайс для расчета (М)'!E355</f>
        <v>761.25</v>
      </c>
      <c r="J359" s="36">
        <f t="shared" si="57"/>
        <v>761.25</v>
      </c>
    </row>
    <row r="360" spans="2:10" ht="15.6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6"/>
        <v>577.5</v>
      </c>
      <c r="I360" s="135">
        <f>'Прайс для расчета (М)'!E356</f>
        <v>288.75</v>
      </c>
      <c r="J360" s="36">
        <f t="shared" si="57"/>
        <v>288.75</v>
      </c>
    </row>
    <row r="361" spans="2:10" ht="15.6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6"/>
        <v>210</v>
      </c>
      <c r="I361" s="135">
        <f>'Прайс для расчета (М)'!E357</f>
        <v>105</v>
      </c>
      <c r="J361" s="36">
        <f t="shared" si="57"/>
        <v>105</v>
      </c>
    </row>
    <row r="362" spans="2:10" ht="15.6" x14ac:dyDescent="0.25">
      <c r="B362" s="110">
        <f>IF(SUM(B250:B361)&gt;0,1,0)</f>
        <v>0</v>
      </c>
      <c r="C362" s="266" t="s">
        <v>540</v>
      </c>
      <c r="D362" s="266"/>
      <c r="E362" s="266"/>
      <c r="F362" s="266"/>
      <c r="G362" s="157">
        <f>SUMIF(B251:B361,1,G251:G361)</f>
        <v>0</v>
      </c>
      <c r="J362" s="36">
        <f>SUMIF(B251:B361,1,J251:J361)</f>
        <v>0</v>
      </c>
    </row>
    <row r="363" spans="2:10" ht="15.6" x14ac:dyDescent="0.25">
      <c r="B363" s="153">
        <f>IF(SUM(B364:B371)&gt;0,1,0)</f>
        <v>0</v>
      </c>
      <c r="C363" s="164" t="s">
        <v>715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/>
      <c r="C364" s="69" t="s">
        <v>1078</v>
      </c>
      <c r="D364" s="61" t="s">
        <v>2</v>
      </c>
      <c r="E364" s="62">
        <f>$A$4</f>
        <v>0</v>
      </c>
      <c r="F364" s="63">
        <f>'Прайс для расчета'!E412</f>
        <v>110.25</v>
      </c>
      <c r="G364" s="64">
        <f t="shared" ref="G364:G371" si="58">F364*E364</f>
        <v>0</v>
      </c>
      <c r="I364" s="135">
        <f>'Прайс для расчета (М)'!E412</f>
        <v>55.125</v>
      </c>
      <c r="J364" s="36">
        <f t="shared" ref="J364:J371" si="59">I364*E364</f>
        <v>0</v>
      </c>
    </row>
    <row r="365" spans="2:10" ht="15.6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8"/>
        <v>1714.65</v>
      </c>
      <c r="I365" s="135">
        <f>'Прайс для расчета (М)'!E413</f>
        <v>857.32500000000005</v>
      </c>
      <c r="J365" s="36">
        <f t="shared" si="59"/>
        <v>857.32500000000005</v>
      </c>
    </row>
    <row r="366" spans="2:10" ht="15.6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8"/>
        <v>2571.9749999999999</v>
      </c>
      <c r="I366" s="135">
        <f>'Прайс для расчета (М)'!E414</f>
        <v>1285.9875</v>
      </c>
      <c r="J366" s="36">
        <f t="shared" si="59"/>
        <v>1285.9875</v>
      </c>
    </row>
    <row r="367" spans="2:10" ht="15.6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8"/>
        <v>857.32500000000005</v>
      </c>
      <c r="I367" s="135">
        <f>'Прайс для расчета (М)'!E415</f>
        <v>428.66250000000002</v>
      </c>
      <c r="J367" s="36">
        <f t="shared" si="59"/>
        <v>428.66250000000002</v>
      </c>
    </row>
    <row r="368" spans="2:10" ht="15.6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8"/>
        <v>1470</v>
      </c>
      <c r="I368" s="135">
        <f>'Прайс для расчета (М)'!E416</f>
        <v>735</v>
      </c>
      <c r="J368" s="36">
        <f t="shared" si="59"/>
        <v>735</v>
      </c>
    </row>
    <row r="369" spans="2:10" ht="15.6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8"/>
        <v>315</v>
      </c>
      <c r="I369" s="135">
        <f>'Прайс для расчета (М)'!E417</f>
        <v>157.5</v>
      </c>
      <c r="J369" s="36">
        <f t="shared" si="59"/>
        <v>157.5</v>
      </c>
    </row>
    <row r="370" spans="2:10" ht="15.6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8"/>
        <v>1575</v>
      </c>
      <c r="I370" s="135">
        <f>'Прайс для расчета (М)'!E418</f>
        <v>787.5</v>
      </c>
      <c r="J370" s="36">
        <f t="shared" si="59"/>
        <v>787.5</v>
      </c>
    </row>
    <row r="371" spans="2:10" ht="15.6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8"/>
        <v>315</v>
      </c>
      <c r="I371" s="135">
        <f>'Прайс для расчета (М)'!E419</f>
        <v>157.5</v>
      </c>
      <c r="J371" s="36">
        <f t="shared" si="59"/>
        <v>157.5</v>
      </c>
    </row>
    <row r="372" spans="2:10" ht="15.6" x14ac:dyDescent="0.25">
      <c r="B372" s="110">
        <f>IF(SUM(B364:B371)&gt;0,1,0)</f>
        <v>0</v>
      </c>
      <c r="C372" s="266" t="s">
        <v>546</v>
      </c>
      <c r="D372" s="266"/>
      <c r="E372" s="266"/>
      <c r="F372" s="266"/>
      <c r="G372" s="157">
        <f>SUMIF(B364:B371,1,G364:G371)</f>
        <v>0</v>
      </c>
      <c r="J372" s="36">
        <f>SUMIF(B364:B371,1,J364:J371)</f>
        <v>0</v>
      </c>
    </row>
    <row r="373" spans="2:10" ht="15.6" x14ac:dyDescent="0.25">
      <c r="B373" s="153">
        <f>IF(SUM(B10:B372)&gt;0,1,0)</f>
        <v>0</v>
      </c>
      <c r="C373" s="265" t="s">
        <v>191</v>
      </c>
      <c r="D373" s="265"/>
      <c r="E373" s="265"/>
      <c r="F373" s="265"/>
      <c r="G373" s="155">
        <f>G137+G248+G362+G372</f>
        <v>0</v>
      </c>
      <c r="J373" s="36">
        <f>J137+J248+J362+J372</f>
        <v>0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1076</v>
      </c>
      <c r="D375" s="265"/>
      <c r="E375" s="265"/>
      <c r="F375" s="265"/>
      <c r="G375" s="155" t="e">
        <f>G373-(G373*G374)</f>
        <v>#REF!</v>
      </c>
      <c r="J375" s="36">
        <f>J373-(J373*J374)</f>
        <v>0</v>
      </c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</sheetData>
  <autoFilter ref="B9:H375"/>
  <mergeCells count="11">
    <mergeCell ref="C1:C4"/>
    <mergeCell ref="C5:G5"/>
    <mergeCell ref="C6:C7"/>
    <mergeCell ref="D8:G8"/>
    <mergeCell ref="C374:F374"/>
    <mergeCell ref="C375:F375"/>
    <mergeCell ref="C137:F137"/>
    <mergeCell ref="C248:F248"/>
    <mergeCell ref="C362:F362"/>
    <mergeCell ref="C372:F372"/>
    <mergeCell ref="C373:F373"/>
  </mergeCells>
  <phoneticPr fontId="8" type="noConversion"/>
  <conditionalFormatting sqref="B11:G11 B165:G165 B140:B164 B209:G209 B166:B208 B287:G287 B251:B286 G251:G286 B288:B311 B312:G312 B320:G320 B313:E319 G313:G319 B334:G334 B321:E333 G321:G333 B335:E353 G335:G353 B372:G375 B364:B371 G364:G371 G166:G208 B12:E32 G12:G32 B60:G60 B59 D59:E59 B33:G58 G59 B69:G69 B61:E68 G61:G68 B87:G87 B70:E86 G70:G86 B97:G97 B88:E96 G88:G96 B105:G105 B98:E104 G98:G104 B126:G126 B106:E125 G106:G125 B127:E136 G127:G136 B210:E235 G210:G247 B354:G354 B355:B361 G355:G361 G140:G164 G288:G311 B139:G139 B250:G250 B362:G362 B248:G248 B137:G137 B239:E246 B236:B238 D236:E238">
    <cfRule type="expression" dxfId="314" priority="53">
      <formula>$B11=0</formula>
    </cfRule>
  </conditionalFormatting>
  <conditionalFormatting sqref="B10:G10">
    <cfRule type="expression" dxfId="313" priority="52">
      <formula>$B10=0</formula>
    </cfRule>
  </conditionalFormatting>
  <conditionalFormatting sqref="B247:E247">
    <cfRule type="expression" dxfId="312" priority="51">
      <formula>$B247=0</formula>
    </cfRule>
  </conditionalFormatting>
  <conditionalFormatting sqref="C141">
    <cfRule type="expression" dxfId="311" priority="46">
      <formula>$B141=0</formula>
    </cfRule>
  </conditionalFormatting>
  <conditionalFormatting sqref="C144:C148">
    <cfRule type="expression" dxfId="310" priority="45">
      <formula>$B144=0</formula>
    </cfRule>
  </conditionalFormatting>
  <conditionalFormatting sqref="C302 C303:D305 E302:E305 C288:E293 C296:E301 D294:E295">
    <cfRule type="expression" dxfId="309" priority="37">
      <formula>$B288=0</formula>
    </cfRule>
  </conditionalFormatting>
  <conditionalFormatting sqref="E151">
    <cfRule type="expression" dxfId="308" priority="47">
      <formula>$B151=0</formula>
    </cfRule>
  </conditionalFormatting>
  <conditionalFormatting sqref="C270:E286 E251:E269">
    <cfRule type="expression" dxfId="307" priority="41">
      <formula>$B251=0</formula>
    </cfRule>
  </conditionalFormatting>
  <conditionalFormatting sqref="C251:C269">
    <cfRule type="expression" dxfId="306" priority="40">
      <formula>$B251=0</formula>
    </cfRule>
  </conditionalFormatting>
  <conditionalFormatting sqref="C166:E166 C172:E175 D167:E171 C187:E208 D176:E186">
    <cfRule type="expression" dxfId="305" priority="43">
      <formula>$B166=0</formula>
    </cfRule>
  </conditionalFormatting>
  <conditionalFormatting sqref="C140:E140 C152:E163 C151:D151 C149:E150 D141:E141 D148:E148 C142:E142 C143:D143 D144:D147 E143:E147">
    <cfRule type="expression" dxfId="304" priority="49">
      <formula>$B140=0</formula>
    </cfRule>
  </conditionalFormatting>
  <conditionalFormatting sqref="C164:E164">
    <cfRule type="expression" dxfId="303" priority="48">
      <formula>$B164=0</formula>
    </cfRule>
  </conditionalFormatting>
  <conditionalFormatting sqref="D251:D269">
    <cfRule type="expression" dxfId="302" priority="39">
      <formula>$B251=0</formula>
    </cfRule>
  </conditionalFormatting>
  <conditionalFormatting sqref="C306:E311">
    <cfRule type="expression" dxfId="301" priority="38">
      <formula>$B306=0</formula>
    </cfRule>
  </conditionalFormatting>
  <conditionalFormatting sqref="C364:F371">
    <cfRule type="expression" dxfId="300" priority="31">
      <formula>$B364=0</formula>
    </cfRule>
  </conditionalFormatting>
  <conditionalFormatting sqref="F12:F32">
    <cfRule type="expression" dxfId="299" priority="30">
      <formula>$B12=0</formula>
    </cfRule>
  </conditionalFormatting>
  <conditionalFormatting sqref="C59">
    <cfRule type="expression" dxfId="298" priority="29">
      <formula>$B59=0</formula>
    </cfRule>
  </conditionalFormatting>
  <conditionalFormatting sqref="F59">
    <cfRule type="expression" dxfId="297" priority="28">
      <formula>$B59=0</formula>
    </cfRule>
  </conditionalFormatting>
  <conditionalFormatting sqref="F61:F68">
    <cfRule type="expression" dxfId="296" priority="27">
      <formula>$B61=0</formula>
    </cfRule>
  </conditionalFormatting>
  <conditionalFormatting sqref="F70:F86">
    <cfRule type="expression" dxfId="295" priority="26">
      <formula>$B70=0</formula>
    </cfRule>
  </conditionalFormatting>
  <conditionalFormatting sqref="F88:F96">
    <cfRule type="expression" dxfId="294" priority="25">
      <formula>$B88=0</formula>
    </cfRule>
  </conditionalFormatting>
  <conditionalFormatting sqref="F98:F104">
    <cfRule type="expression" dxfId="293" priority="24">
      <formula>$B98=0</formula>
    </cfRule>
  </conditionalFormatting>
  <conditionalFormatting sqref="F106:F125">
    <cfRule type="expression" dxfId="292" priority="23">
      <formula>$B106=0</formula>
    </cfRule>
  </conditionalFormatting>
  <conditionalFormatting sqref="F127:F136">
    <cfRule type="expression" dxfId="291" priority="22">
      <formula>$B127=0</formula>
    </cfRule>
  </conditionalFormatting>
  <conditionalFormatting sqref="F140:F164">
    <cfRule type="expression" dxfId="290" priority="21">
      <formula>$B140=0</formula>
    </cfRule>
  </conditionalFormatting>
  <conditionalFormatting sqref="F166:F208">
    <cfRule type="expression" dxfId="289" priority="20">
      <formula>$B166=0</formula>
    </cfRule>
  </conditionalFormatting>
  <conditionalFormatting sqref="F210:F247">
    <cfRule type="expression" dxfId="288" priority="19">
      <formula>$B210=0</formula>
    </cfRule>
  </conditionalFormatting>
  <conditionalFormatting sqref="F251:F286">
    <cfRule type="expression" dxfId="287" priority="18">
      <formula>$B251=0</formula>
    </cfRule>
  </conditionalFormatting>
  <conditionalFormatting sqref="F288:F311">
    <cfRule type="expression" dxfId="286" priority="17">
      <formula>$B288=0</formula>
    </cfRule>
  </conditionalFormatting>
  <conditionalFormatting sqref="F335:F353">
    <cfRule type="expression" dxfId="285" priority="14">
      <formula>$B335=0</formula>
    </cfRule>
  </conditionalFormatting>
  <conditionalFormatting sqref="F313:F319">
    <cfRule type="expression" dxfId="284" priority="16">
      <formula>$B313=0</formula>
    </cfRule>
  </conditionalFormatting>
  <conditionalFormatting sqref="F321:F333">
    <cfRule type="expression" dxfId="283" priority="15">
      <formula>$B321=0</formula>
    </cfRule>
  </conditionalFormatting>
  <conditionalFormatting sqref="C355:F361">
    <cfRule type="expression" dxfId="282" priority="13">
      <formula>$B355=0</formula>
    </cfRule>
  </conditionalFormatting>
  <conditionalFormatting sqref="C294:C295">
    <cfRule type="expression" dxfId="281" priority="12">
      <formula>$B294=0</formula>
    </cfRule>
  </conditionalFormatting>
  <conditionalFormatting sqref="B138:G138">
    <cfRule type="expression" dxfId="280" priority="11">
      <formula>$B138=0</formula>
    </cfRule>
  </conditionalFormatting>
  <conditionalFormatting sqref="B249:G249">
    <cfRule type="expression" dxfId="279" priority="10">
      <formula>$B249=0</formula>
    </cfRule>
  </conditionalFormatting>
  <conditionalFormatting sqref="B363:G363">
    <cfRule type="expression" dxfId="278" priority="9">
      <formula>$B363=0</formula>
    </cfRule>
  </conditionalFormatting>
  <conditionalFormatting sqref="C183:C184">
    <cfRule type="expression" dxfId="277" priority="8">
      <formula>$B183=0</formula>
    </cfRule>
  </conditionalFormatting>
  <conditionalFormatting sqref="C167:C171">
    <cfRule type="expression" dxfId="276" priority="7">
      <formula>$B167=0</formula>
    </cfRule>
  </conditionalFormatting>
  <conditionalFormatting sqref="C186">
    <cfRule type="expression" dxfId="275" priority="6">
      <formula>$B186=0</formula>
    </cfRule>
  </conditionalFormatting>
  <conditionalFormatting sqref="C185">
    <cfRule type="expression" dxfId="274" priority="5">
      <formula>$B185=0</formula>
    </cfRule>
  </conditionalFormatting>
  <conditionalFormatting sqref="C176:C177 C179:C182">
    <cfRule type="expression" dxfId="273" priority="4">
      <formula>$B176=0</formula>
    </cfRule>
  </conditionalFormatting>
  <conditionalFormatting sqref="C178">
    <cfRule type="expression" dxfId="272" priority="3">
      <formula>$B178=0</formula>
    </cfRule>
  </conditionalFormatting>
  <conditionalFormatting sqref="C236:C237">
    <cfRule type="expression" dxfId="271" priority="2">
      <formula>$B236=0</formula>
    </cfRule>
  </conditionalFormatting>
  <conditionalFormatting sqref="C238">
    <cfRule type="expression" dxfId="270" priority="1">
      <formula>$B238=0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1111112" filterMode="1">
    <tabColor rgb="FF00B050"/>
    <pageSetUpPr fitToPage="1"/>
  </sheetPr>
  <dimension ref="A1:U380"/>
  <sheetViews>
    <sheetView topLeftCell="A169" zoomScaleNormal="100" zoomScalePageLayoutView="145" workbookViewId="0">
      <selection activeCell="C375" sqref="C375:F375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4" max="14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v>6.25</v>
      </c>
      <c r="C2" s="258"/>
      <c r="T2" s="35" t="e">
        <f>G248</f>
        <v>#REF!</v>
      </c>
      <c r="U2" s="35" t="e">
        <f>J248</f>
        <v>#REF!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G362</f>
        <v>14163.650000000001</v>
      </c>
      <c r="U3" s="35">
        <f>J362</f>
        <v>6960.6600000000008</v>
      </c>
    </row>
    <row r="4" spans="1:21" ht="21.9" customHeight="1" thickBot="1" x14ac:dyDescent="0.3">
      <c r="A4" s="19">
        <v>2.41</v>
      </c>
      <c r="C4" s="259"/>
      <c r="D4" s="267" t="s">
        <v>1164</v>
      </c>
      <c r="E4" s="267"/>
      <c r="F4" s="267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265.70250000000004</v>
      </c>
      <c r="U6" s="35">
        <f>J372</f>
        <v>132.85125000000002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1.8</v>
      </c>
      <c r="I7" s="36" t="e">
        <f>#REF!</f>
        <v>#REF!</v>
      </c>
      <c r="J7" s="36">
        <v>0</v>
      </c>
      <c r="T7" s="35" t="e">
        <f>G373</f>
        <v>#REF!</v>
      </c>
      <c r="U7" s="35" t="e">
        <f>J373</f>
        <v>#REF!</v>
      </c>
    </row>
    <row r="8" spans="1:21" x14ac:dyDescent="0.25">
      <c r="C8" s="55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 t="e">
        <f>J375</f>
        <v>#REF!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hidden="1" x14ac:dyDescent="0.25">
      <c r="B10" s="153">
        <f>IF(SUM(B11:B136)&gt;0,1,0)</f>
        <v>0</v>
      </c>
      <c r="C10" s="164" t="s">
        <v>1150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hidden="1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hidden="1" x14ac:dyDescent="0.25">
      <c r="B12" s="59"/>
      <c r="C12" s="65" t="s">
        <v>305</v>
      </c>
      <c r="D12" s="61" t="s">
        <v>3</v>
      </c>
      <c r="E12" s="62">
        <f>$A$2</f>
        <v>6.25</v>
      </c>
      <c r="F12" s="63">
        <f>'Прайс для расчета'!E5</f>
        <v>89.25</v>
      </c>
      <c r="G12" s="64">
        <f t="shared" ref="G12:G32" si="0">F12*E12</f>
        <v>557.8125</v>
      </c>
      <c r="I12" s="135">
        <f>'Прайс для расчета (М)'!E5</f>
        <v>44.625</v>
      </c>
      <c r="J12" s="36">
        <f t="shared" ref="J12:J32" si="1">I12*E12</f>
        <v>278.90625</v>
      </c>
    </row>
    <row r="13" spans="1:21" ht="15.6" hidden="1" x14ac:dyDescent="0.25">
      <c r="B13" s="59"/>
      <c r="C13" s="65" t="s">
        <v>306</v>
      </c>
      <c r="D13" s="61" t="s">
        <v>2</v>
      </c>
      <c r="E13" s="62">
        <f t="shared" ref="E13:E28" si="2">$A$4</f>
        <v>2.41</v>
      </c>
      <c r="F13" s="63">
        <f>'Прайс для расчета'!E6</f>
        <v>157.5</v>
      </c>
      <c r="G13" s="64">
        <f t="shared" si="0"/>
        <v>379.57500000000005</v>
      </c>
      <c r="I13" s="135">
        <f>'Прайс для расчета (М)'!E6</f>
        <v>78.75</v>
      </c>
      <c r="J13" s="36">
        <f t="shared" si="1"/>
        <v>189.78750000000002</v>
      </c>
    </row>
    <row r="14" spans="1:21" ht="15.6" hidden="1" x14ac:dyDescent="0.25">
      <c r="B14" s="59"/>
      <c r="C14" s="65" t="s">
        <v>307</v>
      </c>
      <c r="D14" s="61" t="s">
        <v>2</v>
      </c>
      <c r="E14" s="62">
        <f t="shared" si="2"/>
        <v>2.41</v>
      </c>
      <c r="F14" s="63">
        <f>'Прайс для расчета'!E7</f>
        <v>292.23599999999999</v>
      </c>
      <c r="G14" s="64">
        <f t="shared" si="0"/>
        <v>704.28876000000002</v>
      </c>
      <c r="I14" s="135">
        <f>'Прайс для расчета (М)'!E7</f>
        <v>146.11799999999999</v>
      </c>
      <c r="J14" s="36">
        <f t="shared" si="1"/>
        <v>352.14438000000001</v>
      </c>
    </row>
    <row r="15" spans="1:21" ht="15.6" hidden="1" x14ac:dyDescent="0.25">
      <c r="B15" s="59"/>
      <c r="C15" s="65" t="s">
        <v>308</v>
      </c>
      <c r="D15" s="61" t="s">
        <v>2</v>
      </c>
      <c r="E15" s="62">
        <f t="shared" si="2"/>
        <v>2.41</v>
      </c>
      <c r="F15" s="63">
        <f>'Прайс для расчета'!E8</f>
        <v>367.5</v>
      </c>
      <c r="G15" s="64">
        <f t="shared" si="0"/>
        <v>885.67500000000007</v>
      </c>
      <c r="I15" s="135">
        <f>'Прайс для расчета (М)'!E8</f>
        <v>183.75</v>
      </c>
      <c r="J15" s="36">
        <f t="shared" si="1"/>
        <v>442.83750000000003</v>
      </c>
    </row>
    <row r="16" spans="1:21" ht="15.6" hidden="1" x14ac:dyDescent="0.25">
      <c r="B16" s="59"/>
      <c r="C16" s="65" t="s">
        <v>309</v>
      </c>
      <c r="D16" s="61" t="s">
        <v>2</v>
      </c>
      <c r="E16" s="62">
        <f t="shared" si="2"/>
        <v>2.41</v>
      </c>
      <c r="F16" s="63">
        <f>'Прайс для расчета'!E9</f>
        <v>120.771</v>
      </c>
      <c r="G16" s="64">
        <f t="shared" si="0"/>
        <v>291.05811</v>
      </c>
      <c r="I16" s="135">
        <f>'Прайс для расчета (М)'!E9</f>
        <v>60.3855</v>
      </c>
      <c r="J16" s="36">
        <f t="shared" si="1"/>
        <v>145.529055</v>
      </c>
    </row>
    <row r="17" spans="2:10" ht="15.6" hidden="1" x14ac:dyDescent="0.25">
      <c r="B17" s="59"/>
      <c r="C17" s="65" t="s">
        <v>310</v>
      </c>
      <c r="D17" s="61" t="s">
        <v>2</v>
      </c>
      <c r="E17" s="62">
        <f t="shared" si="2"/>
        <v>2.41</v>
      </c>
      <c r="F17" s="63">
        <f>'Прайс для расчета'!E10</f>
        <v>102.87899999999999</v>
      </c>
      <c r="G17" s="64">
        <f t="shared" si="0"/>
        <v>247.93839</v>
      </c>
      <c r="I17" s="135">
        <f>'Прайс для расчета (М)'!E10</f>
        <v>51.439499999999995</v>
      </c>
      <c r="J17" s="36">
        <f t="shared" si="1"/>
        <v>123.969195</v>
      </c>
    </row>
    <row r="18" spans="2:10" ht="15.6" hidden="1" x14ac:dyDescent="0.25">
      <c r="B18" s="59"/>
      <c r="C18" s="65" t="s">
        <v>1002</v>
      </c>
      <c r="D18" s="61" t="s">
        <v>2</v>
      </c>
      <c r="E18" s="62">
        <f t="shared" si="2"/>
        <v>2.41</v>
      </c>
      <c r="F18" s="63">
        <f>'Прайс для расчета'!E11</f>
        <v>1837.5</v>
      </c>
      <c r="G18" s="64">
        <f t="shared" si="0"/>
        <v>4428.375</v>
      </c>
      <c r="I18" s="135">
        <f>'Прайс для расчета (М)'!E11</f>
        <v>918.75</v>
      </c>
      <c r="J18" s="36">
        <f t="shared" si="1"/>
        <v>2214.1875</v>
      </c>
    </row>
    <row r="19" spans="2:10" ht="15.6" hidden="1" x14ac:dyDescent="0.25">
      <c r="B19" s="59"/>
      <c r="C19" s="65" t="s">
        <v>1003</v>
      </c>
      <c r="D19" s="61" t="s">
        <v>2</v>
      </c>
      <c r="E19" s="62">
        <f t="shared" si="2"/>
        <v>2.41</v>
      </c>
      <c r="F19" s="63">
        <f>'Прайс для расчета'!E12</f>
        <v>2677.5</v>
      </c>
      <c r="G19" s="64">
        <f t="shared" si="0"/>
        <v>6452.7750000000005</v>
      </c>
      <c r="I19" s="135">
        <f>'Прайс для расчета (М)'!E12</f>
        <v>1338.75</v>
      </c>
      <c r="J19" s="36">
        <f t="shared" si="1"/>
        <v>3226.3875000000003</v>
      </c>
    </row>
    <row r="20" spans="2:10" ht="15.6" hidden="1" x14ac:dyDescent="0.25">
      <c r="B20" s="59"/>
      <c r="C20" s="65" t="s">
        <v>59</v>
      </c>
      <c r="D20" s="61" t="s">
        <v>2</v>
      </c>
      <c r="E20" s="62">
        <f t="shared" si="2"/>
        <v>2.41</v>
      </c>
      <c r="F20" s="63">
        <f>'Прайс для расчета'!E13</f>
        <v>367.5</v>
      </c>
      <c r="G20" s="64">
        <f t="shared" si="0"/>
        <v>885.67500000000007</v>
      </c>
      <c r="I20" s="135">
        <f>'Прайс для расчета (М)'!E13</f>
        <v>183.75</v>
      </c>
      <c r="J20" s="36">
        <f t="shared" si="1"/>
        <v>442.83750000000003</v>
      </c>
    </row>
    <row r="21" spans="2:10" ht="15.6" hidden="1" x14ac:dyDescent="0.25">
      <c r="B21" s="59"/>
      <c r="C21" s="65" t="s">
        <v>311</v>
      </c>
      <c r="D21" s="61" t="s">
        <v>2</v>
      </c>
      <c r="E21" s="62">
        <f t="shared" si="2"/>
        <v>2.41</v>
      </c>
      <c r="F21" s="63">
        <f>'Прайс для расчета'!E14</f>
        <v>315</v>
      </c>
      <c r="G21" s="64">
        <f t="shared" si="0"/>
        <v>759.15000000000009</v>
      </c>
      <c r="I21" s="135">
        <f>'Прайс для расчета (М)'!E14</f>
        <v>157.5</v>
      </c>
      <c r="J21" s="36">
        <f t="shared" si="1"/>
        <v>379.57500000000005</v>
      </c>
    </row>
    <row r="22" spans="2:10" ht="15.6" hidden="1" x14ac:dyDescent="0.25">
      <c r="B22" s="59"/>
      <c r="C22" s="65" t="s">
        <v>312</v>
      </c>
      <c r="D22" s="61" t="s">
        <v>2</v>
      </c>
      <c r="E22" s="62">
        <f t="shared" si="2"/>
        <v>2.41</v>
      </c>
      <c r="F22" s="63">
        <f>'Прайс для расчета'!E15</f>
        <v>162.75</v>
      </c>
      <c r="G22" s="64">
        <f t="shared" si="0"/>
        <v>392.22750000000002</v>
      </c>
      <c r="I22" s="135">
        <f>'Прайс для расчета (М)'!E15</f>
        <v>81.375</v>
      </c>
      <c r="J22" s="36">
        <f t="shared" si="1"/>
        <v>196.11375000000001</v>
      </c>
    </row>
    <row r="23" spans="2:10" ht="15.6" hidden="1" x14ac:dyDescent="0.25">
      <c r="B23" s="59"/>
      <c r="C23" s="65" t="s">
        <v>313</v>
      </c>
      <c r="D23" s="61" t="s">
        <v>2</v>
      </c>
      <c r="E23" s="62">
        <f t="shared" si="2"/>
        <v>2.41</v>
      </c>
      <c r="F23" s="63">
        <f>'Прайс для расчета'!E16</f>
        <v>162.75</v>
      </c>
      <c r="G23" s="64">
        <f t="shared" si="0"/>
        <v>392.22750000000002</v>
      </c>
      <c r="I23" s="135">
        <f>'Прайс для расчета (М)'!E16</f>
        <v>81.375</v>
      </c>
      <c r="J23" s="36">
        <f t="shared" si="1"/>
        <v>196.11375000000001</v>
      </c>
    </row>
    <row r="24" spans="2:10" ht="15.6" hidden="1" x14ac:dyDescent="0.25">
      <c r="B24" s="59"/>
      <c r="C24" s="65" t="s">
        <v>314</v>
      </c>
      <c r="D24" s="61" t="s">
        <v>2</v>
      </c>
      <c r="E24" s="62">
        <f t="shared" si="2"/>
        <v>2.41</v>
      </c>
      <c r="F24" s="63">
        <f>'Прайс для расчета'!E17</f>
        <v>335.47500000000002</v>
      </c>
      <c r="G24" s="64">
        <f t="shared" si="0"/>
        <v>808.49475000000007</v>
      </c>
      <c r="I24" s="135">
        <f>'Прайс для расчета (М)'!E17</f>
        <v>167.73750000000001</v>
      </c>
      <c r="J24" s="36">
        <f t="shared" si="1"/>
        <v>404.24737500000003</v>
      </c>
    </row>
    <row r="25" spans="2:10" ht="15.6" hidden="1" x14ac:dyDescent="0.25">
      <c r="B25" s="59"/>
      <c r="C25" s="65" t="s">
        <v>658</v>
      </c>
      <c r="D25" s="61" t="s">
        <v>2</v>
      </c>
      <c r="E25" s="62">
        <f t="shared" si="2"/>
        <v>2.41</v>
      </c>
      <c r="F25" s="63">
        <f>'Прайс для расчета'!E18</f>
        <v>73.5</v>
      </c>
      <c r="G25" s="64">
        <f t="shared" si="0"/>
        <v>177.13500000000002</v>
      </c>
      <c r="I25" s="135">
        <f>'Прайс для расчета (М)'!E18</f>
        <v>36.75</v>
      </c>
      <c r="J25" s="36">
        <f t="shared" si="1"/>
        <v>88.56750000000001</v>
      </c>
    </row>
    <row r="26" spans="2:10" ht="15.6" hidden="1" x14ac:dyDescent="0.25">
      <c r="B26" s="59"/>
      <c r="C26" s="65" t="s">
        <v>315</v>
      </c>
      <c r="D26" s="61" t="s">
        <v>2</v>
      </c>
      <c r="E26" s="62">
        <f t="shared" si="2"/>
        <v>2.41</v>
      </c>
      <c r="F26" s="63">
        <f>'Прайс для расчета'!E19</f>
        <v>420.46199999999999</v>
      </c>
      <c r="G26" s="64">
        <f t="shared" si="0"/>
        <v>1013.3134200000001</v>
      </c>
      <c r="I26" s="135">
        <f>'Прайс для расчета (М)'!E19</f>
        <v>210.23099999999999</v>
      </c>
      <c r="J26" s="36">
        <f t="shared" si="1"/>
        <v>506.65671000000003</v>
      </c>
    </row>
    <row r="27" spans="2:10" ht="15.6" hidden="1" x14ac:dyDescent="0.25">
      <c r="B27" s="59"/>
      <c r="C27" s="65" t="s">
        <v>316</v>
      </c>
      <c r="D27" s="61" t="s">
        <v>2</v>
      </c>
      <c r="E27" s="62">
        <f t="shared" si="2"/>
        <v>2.41</v>
      </c>
      <c r="F27" s="63">
        <f>'Прайс для расчета'!E20</f>
        <v>577.5</v>
      </c>
      <c r="G27" s="64">
        <f t="shared" si="0"/>
        <v>1391.7750000000001</v>
      </c>
      <c r="I27" s="135">
        <f>'Прайс для расчета (М)'!E20</f>
        <v>288.75</v>
      </c>
      <c r="J27" s="36">
        <f t="shared" si="1"/>
        <v>695.88750000000005</v>
      </c>
    </row>
    <row r="28" spans="2:10" ht="15.6" hidden="1" x14ac:dyDescent="0.25">
      <c r="B28" s="59"/>
      <c r="C28" s="65" t="s">
        <v>317</v>
      </c>
      <c r="D28" s="61" t="s">
        <v>2</v>
      </c>
      <c r="E28" s="62">
        <f t="shared" si="2"/>
        <v>2.41</v>
      </c>
      <c r="F28" s="63">
        <f>'Прайс для расчета'!E21</f>
        <v>262.5</v>
      </c>
      <c r="G28" s="64">
        <f t="shared" si="0"/>
        <v>632.625</v>
      </c>
      <c r="I28" s="135">
        <f>'Прайс для расчета (М)'!E21</f>
        <v>131.25</v>
      </c>
      <c r="J28" s="36">
        <f t="shared" si="1"/>
        <v>316.3125</v>
      </c>
    </row>
    <row r="29" spans="2:10" ht="15.6" hidden="1" x14ac:dyDescent="0.25">
      <c r="B29" s="59"/>
      <c r="C29" s="65" t="s">
        <v>318</v>
      </c>
      <c r="D29" s="61" t="s">
        <v>3</v>
      </c>
      <c r="E29" s="62">
        <f>$A$2</f>
        <v>6.25</v>
      </c>
      <c r="F29" s="63">
        <f>'Прайс для расчета'!E22</f>
        <v>644.11199999999997</v>
      </c>
      <c r="G29" s="64">
        <f t="shared" si="0"/>
        <v>4025.7</v>
      </c>
      <c r="I29" s="135">
        <f>'Прайс для расчета (М)'!E22</f>
        <v>322.05599999999998</v>
      </c>
      <c r="J29" s="36">
        <f t="shared" si="1"/>
        <v>2012.85</v>
      </c>
    </row>
    <row r="30" spans="2:10" ht="15.6" hidden="1" x14ac:dyDescent="0.25">
      <c r="B30" s="59"/>
      <c r="C30" s="65" t="s">
        <v>319</v>
      </c>
      <c r="D30" s="61" t="s">
        <v>3</v>
      </c>
      <c r="E30" s="62">
        <f>$A$2</f>
        <v>6.25</v>
      </c>
      <c r="F30" s="63">
        <f>'Прайс для расчета'!E23</f>
        <v>111.825</v>
      </c>
      <c r="G30" s="64">
        <f t="shared" si="0"/>
        <v>698.90625</v>
      </c>
      <c r="I30" s="135">
        <f>'Прайс для расчета (М)'!E23</f>
        <v>55.912500000000001</v>
      </c>
      <c r="J30" s="36">
        <f t="shared" si="1"/>
        <v>349.453125</v>
      </c>
    </row>
    <row r="31" spans="2:10" ht="15.6" hidden="1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hidden="1" x14ac:dyDescent="0.25">
      <c r="B32" s="59"/>
      <c r="C32" s="65" t="s">
        <v>219</v>
      </c>
      <c r="D32" s="61" t="s">
        <v>2</v>
      </c>
      <c r="E32" s="62">
        <f>$A$4</f>
        <v>2.41</v>
      </c>
      <c r="F32" s="63">
        <f>'Прайс для расчета'!E25</f>
        <v>335.47500000000002</v>
      </c>
      <c r="G32" s="64">
        <f t="shared" si="0"/>
        <v>808.49475000000007</v>
      </c>
      <c r="I32" s="135">
        <f>'Прайс для расчета (М)'!E25</f>
        <v>167.73750000000001</v>
      </c>
      <c r="J32" s="36">
        <f t="shared" si="1"/>
        <v>404.24737500000003</v>
      </c>
    </row>
    <row r="33" spans="2:10" ht="15.6" hidden="1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hidden="1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hidden="1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hidden="1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hidden="1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hidden="1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hidden="1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hidden="1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hidden="1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hidden="1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hidden="1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hidden="1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hidden="1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hidden="1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hidden="1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hidden="1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hidden="1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hidden="1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hidden="1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hidden="1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hidden="1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hidden="1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hidden="1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hidden="1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hidden="1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hidden="1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hidden="1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hidden="1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hidden="1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hidden="1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hidden="1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hidden="1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hidden="1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hidden="1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hidden="1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hidden="1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hidden="1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hidden="1" x14ac:dyDescent="0.25">
      <c r="B70" s="59"/>
      <c r="C70" s="65" t="s">
        <v>334</v>
      </c>
      <c r="D70" s="61" t="s">
        <v>3</v>
      </c>
      <c r="E70" s="62">
        <f>$A$2</f>
        <v>6.25</v>
      </c>
      <c r="F70" s="63">
        <f>'Прайс для расчета'!E62</f>
        <v>110.25</v>
      </c>
      <c r="G70" s="64">
        <f t="shared" ref="G70:G86" si="9">F70*E70</f>
        <v>689.0625</v>
      </c>
      <c r="I70" s="135">
        <f>'Прайс для расчета (М)'!E62</f>
        <v>55.125</v>
      </c>
      <c r="J70" s="36">
        <f t="shared" ref="J70:J86" si="10">I70*E70</f>
        <v>344.53125</v>
      </c>
    </row>
    <row r="71" spans="2:10" ht="15.6" hidden="1" x14ac:dyDescent="0.25">
      <c r="B71" s="59"/>
      <c r="C71" s="65" t="s">
        <v>335</v>
      </c>
      <c r="D71" s="61" t="s">
        <v>2</v>
      </c>
      <c r="E71" s="62">
        <f t="shared" ref="E71:E76" si="11">$A$4</f>
        <v>2.41</v>
      </c>
      <c r="F71" s="63">
        <f>'Прайс для расчета'!E63</f>
        <v>248.99699999999999</v>
      </c>
      <c r="G71" s="64">
        <f t="shared" si="9"/>
        <v>600.08276999999998</v>
      </c>
      <c r="I71" s="135">
        <f>'Прайс для расчета (М)'!E63</f>
        <v>124.49849999999999</v>
      </c>
      <c r="J71" s="36">
        <f t="shared" si="10"/>
        <v>300.04138499999999</v>
      </c>
    </row>
    <row r="72" spans="2:10" ht="15.6" hidden="1" x14ac:dyDescent="0.25">
      <c r="B72" s="59"/>
      <c r="C72" s="65" t="s">
        <v>336</v>
      </c>
      <c r="D72" s="61" t="s">
        <v>2</v>
      </c>
      <c r="E72" s="62">
        <f t="shared" si="11"/>
        <v>2.41</v>
      </c>
      <c r="F72" s="63">
        <f>'Прайс для расчета'!E64</f>
        <v>205.75799999999998</v>
      </c>
      <c r="G72" s="64">
        <f t="shared" si="9"/>
        <v>495.87678</v>
      </c>
      <c r="I72" s="135">
        <f>'Прайс для расчета (М)'!E64</f>
        <v>102.87899999999999</v>
      </c>
      <c r="J72" s="36">
        <f t="shared" si="10"/>
        <v>247.93839</v>
      </c>
    </row>
    <row r="73" spans="2:10" ht="15.6" hidden="1" x14ac:dyDescent="0.25">
      <c r="B73" s="59"/>
      <c r="C73" s="65" t="s">
        <v>481</v>
      </c>
      <c r="D73" s="61" t="s">
        <v>2</v>
      </c>
      <c r="E73" s="62">
        <f t="shared" si="11"/>
        <v>2.41</v>
      </c>
      <c r="F73" s="63">
        <f>'Прайс для расчета'!E65</f>
        <v>155.06400000000002</v>
      </c>
      <c r="G73" s="64">
        <f t="shared" si="9"/>
        <v>373.70424000000008</v>
      </c>
      <c r="I73" s="135">
        <f>'Прайс для расчета (М)'!E65</f>
        <v>77.532000000000011</v>
      </c>
      <c r="J73" s="36">
        <f t="shared" si="10"/>
        <v>186.85212000000004</v>
      </c>
    </row>
    <row r="74" spans="2:10" ht="15.6" hidden="1" x14ac:dyDescent="0.25">
      <c r="B74" s="59"/>
      <c r="C74" s="65" t="s">
        <v>482</v>
      </c>
      <c r="D74" s="61" t="s">
        <v>2</v>
      </c>
      <c r="E74" s="62">
        <f t="shared" si="11"/>
        <v>2.41</v>
      </c>
      <c r="F74" s="63">
        <f>'Прайс для расчета'!E66</f>
        <v>137.172</v>
      </c>
      <c r="G74" s="64">
        <f t="shared" si="9"/>
        <v>330.58452</v>
      </c>
      <c r="I74" s="135">
        <f>'Прайс для расчета (М)'!E66</f>
        <v>68.585999999999999</v>
      </c>
      <c r="J74" s="36">
        <f t="shared" si="10"/>
        <v>165.29226</v>
      </c>
    </row>
    <row r="75" spans="2:10" ht="15.6" hidden="1" x14ac:dyDescent="0.25">
      <c r="B75" s="59"/>
      <c r="C75" s="65" t="s">
        <v>483</v>
      </c>
      <c r="D75" s="61" t="s">
        <v>2</v>
      </c>
      <c r="E75" s="62">
        <f t="shared" si="11"/>
        <v>2.41</v>
      </c>
      <c r="F75" s="63">
        <f>'Прайс для расчета'!E67</f>
        <v>86.478000000000009</v>
      </c>
      <c r="G75" s="64">
        <f t="shared" si="9"/>
        <v>208.41198000000003</v>
      </c>
      <c r="I75" s="135">
        <f>'Прайс для расчета (М)'!E67</f>
        <v>43.239000000000004</v>
      </c>
      <c r="J75" s="36">
        <f t="shared" si="10"/>
        <v>104.20599000000001</v>
      </c>
    </row>
    <row r="76" spans="2:10" ht="15.6" hidden="1" x14ac:dyDescent="0.25">
      <c r="B76" s="59"/>
      <c r="C76" s="65" t="s">
        <v>484</v>
      </c>
      <c r="D76" s="61" t="s">
        <v>2</v>
      </c>
      <c r="E76" s="62">
        <f t="shared" si="11"/>
        <v>2.41</v>
      </c>
      <c r="F76" s="63">
        <f>'Прайс для расчета'!E68</f>
        <v>102.87899999999999</v>
      </c>
      <c r="G76" s="64">
        <f t="shared" si="9"/>
        <v>247.93839</v>
      </c>
      <c r="I76" s="135">
        <f>'Прайс для расчета (М)'!E68</f>
        <v>51.439499999999995</v>
      </c>
      <c r="J76" s="36">
        <f t="shared" si="10"/>
        <v>123.969195</v>
      </c>
    </row>
    <row r="77" spans="2:10" ht="15.6" hidden="1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hidden="1" x14ac:dyDescent="0.25">
      <c r="B78" s="59"/>
      <c r="C78" s="65" t="s">
        <v>661</v>
      </c>
      <c r="D78" s="61" t="s">
        <v>2</v>
      </c>
      <c r="E78" s="62">
        <f>$A$4</f>
        <v>2.41</v>
      </c>
      <c r="F78" s="63">
        <f>'Прайс для расчета'!E70</f>
        <v>377.22300000000001</v>
      </c>
      <c r="G78" s="64">
        <f t="shared" si="9"/>
        <v>909.10743000000014</v>
      </c>
      <c r="I78" s="135">
        <f>'Прайс для расчета (М)'!E70</f>
        <v>188.61150000000001</v>
      </c>
      <c r="J78" s="36">
        <f t="shared" si="10"/>
        <v>454.55371500000007</v>
      </c>
    </row>
    <row r="79" spans="2:10" ht="15.6" hidden="1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hidden="1" x14ac:dyDescent="0.25">
      <c r="B80" s="59"/>
      <c r="C80" s="65" t="s">
        <v>138</v>
      </c>
      <c r="D80" s="61" t="s">
        <v>3</v>
      </c>
      <c r="E80" s="62">
        <f t="shared" ref="E80:E86" si="12">$A$4</f>
        <v>2.41</v>
      </c>
      <c r="F80" s="63">
        <f>'Прайс для расчета'!E72</f>
        <v>204.75</v>
      </c>
      <c r="G80" s="64">
        <f t="shared" si="9"/>
        <v>493.44750000000005</v>
      </c>
      <c r="I80" s="135">
        <f>'Прайс для расчета (М)'!E72</f>
        <v>102.375</v>
      </c>
      <c r="J80" s="36">
        <f t="shared" si="10"/>
        <v>246.72375000000002</v>
      </c>
    </row>
    <row r="81" spans="2:10" ht="15.6" hidden="1" x14ac:dyDescent="0.25">
      <c r="B81" s="59"/>
      <c r="C81" s="65" t="s">
        <v>339</v>
      </c>
      <c r="D81" s="61" t="s">
        <v>2</v>
      </c>
      <c r="E81" s="62">
        <f t="shared" si="12"/>
        <v>2.41</v>
      </c>
      <c r="F81" s="63">
        <f>'Прайс для расчета'!E73</f>
        <v>274.34399999999999</v>
      </c>
      <c r="G81" s="64">
        <f t="shared" si="9"/>
        <v>661.16904</v>
      </c>
      <c r="I81" s="135">
        <f>'Прайс для расчета (М)'!E73</f>
        <v>137.172</v>
      </c>
      <c r="J81" s="36">
        <f t="shared" si="10"/>
        <v>330.58452</v>
      </c>
    </row>
    <row r="82" spans="2:10" ht="15.6" hidden="1" x14ac:dyDescent="0.25">
      <c r="B82" s="59"/>
      <c r="C82" s="65" t="s">
        <v>156</v>
      </c>
      <c r="D82" s="61" t="s">
        <v>2</v>
      </c>
      <c r="E82" s="62">
        <f t="shared" si="12"/>
        <v>2.41</v>
      </c>
      <c r="F82" s="63">
        <f>'Прайс для расчета'!E74</f>
        <v>223.65</v>
      </c>
      <c r="G82" s="64">
        <f t="shared" si="9"/>
        <v>538.99650000000008</v>
      </c>
      <c r="I82" s="135">
        <f>'Прайс для расчета (М)'!E74</f>
        <v>111.825</v>
      </c>
      <c r="J82" s="36">
        <f t="shared" si="10"/>
        <v>269.49825000000004</v>
      </c>
    </row>
    <row r="83" spans="2:10" ht="15.6" hidden="1" x14ac:dyDescent="0.25">
      <c r="B83" s="59"/>
      <c r="C83" s="65" t="s">
        <v>340</v>
      </c>
      <c r="D83" s="61" t="s">
        <v>2</v>
      </c>
      <c r="E83" s="62">
        <f t="shared" si="12"/>
        <v>2.41</v>
      </c>
      <c r="F83" s="63">
        <f>'Прайс для расчета'!E75</f>
        <v>506.94</v>
      </c>
      <c r="G83" s="64">
        <f t="shared" si="9"/>
        <v>1221.7254</v>
      </c>
      <c r="I83" s="135">
        <f>'Прайс для расчета (М)'!E75</f>
        <v>253.47</v>
      </c>
      <c r="J83" s="36">
        <f t="shared" si="10"/>
        <v>610.86270000000002</v>
      </c>
    </row>
    <row r="84" spans="2:10" ht="15.6" hidden="1" x14ac:dyDescent="0.25">
      <c r="B84" s="59"/>
      <c r="C84" s="65" t="s">
        <v>54</v>
      </c>
      <c r="D84" s="61" t="s">
        <v>2</v>
      </c>
      <c r="E84" s="62">
        <f t="shared" si="12"/>
        <v>2.41</v>
      </c>
      <c r="F84" s="63">
        <f>'Прайс для расчета'!E76</f>
        <v>591.92700000000002</v>
      </c>
      <c r="G84" s="64">
        <f t="shared" si="9"/>
        <v>1426.5440700000001</v>
      </c>
      <c r="I84" s="135">
        <f>'Прайс для расчета (М)'!E76</f>
        <v>295.96350000000001</v>
      </c>
      <c r="J84" s="36">
        <f t="shared" si="10"/>
        <v>713.27203500000007</v>
      </c>
    </row>
    <row r="85" spans="2:10" ht="15.6" hidden="1" x14ac:dyDescent="0.25">
      <c r="B85" s="59"/>
      <c r="C85" s="65" t="s">
        <v>221</v>
      </c>
      <c r="D85" s="61" t="s">
        <v>2</v>
      </c>
      <c r="E85" s="62">
        <f t="shared" si="12"/>
        <v>2.41</v>
      </c>
      <c r="F85" s="63">
        <f>'Прайс для расчета'!E77</f>
        <v>210</v>
      </c>
      <c r="G85" s="64">
        <f t="shared" si="9"/>
        <v>506.1</v>
      </c>
      <c r="I85" s="135">
        <f>'Прайс для расчета (М)'!E77</f>
        <v>105</v>
      </c>
      <c r="J85" s="36">
        <f t="shared" si="10"/>
        <v>253.05</v>
      </c>
    </row>
    <row r="86" spans="2:10" ht="15.6" hidden="1" x14ac:dyDescent="0.25">
      <c r="B86" s="59"/>
      <c r="C86" s="65" t="s">
        <v>157</v>
      </c>
      <c r="D86" s="61" t="s">
        <v>2</v>
      </c>
      <c r="E86" s="62">
        <f t="shared" si="12"/>
        <v>2.41</v>
      </c>
      <c r="F86" s="63">
        <f>'Прайс для расчета'!E78</f>
        <v>240.05099999999999</v>
      </c>
      <c r="G86" s="64">
        <f t="shared" si="9"/>
        <v>578.52291000000002</v>
      </c>
      <c r="I86" s="135">
        <f>'Прайс для расчета (М)'!E78</f>
        <v>120.02549999999999</v>
      </c>
      <c r="J86" s="36">
        <f t="shared" si="10"/>
        <v>289.26145500000001</v>
      </c>
    </row>
    <row r="87" spans="2:10" ht="15.6" hidden="1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hidden="1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hidden="1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hidden="1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hidden="1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hidden="1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hidden="1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hidden="1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hidden="1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hidden="1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hidden="1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hidden="1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hidden="1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hidden="1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hidden="1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hidden="1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hidden="1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hidden="1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hidden="1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hidden="1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hidden="1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hidden="1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hidden="1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hidden="1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hidden="1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hidden="1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hidden="1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hidden="1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hidden="1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hidden="1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hidden="1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hidden="1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hidden="1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hidden="1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hidden="1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hidden="1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hidden="1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hidden="1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hidden="1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hidden="1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hidden="1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hidden="1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hidden="1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hidden="1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hidden="1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hidden="1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hidden="1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hidden="1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hidden="1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hidden="1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hidden="1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1</v>
      </c>
      <c r="C138" s="164" t="s">
        <v>1151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1</v>
      </c>
      <c r="C139" s="67" t="s">
        <v>877</v>
      </c>
      <c r="D139" s="61"/>
      <c r="E139" s="62"/>
      <c r="F139" s="63"/>
      <c r="G139" s="64"/>
    </row>
    <row r="140" spans="2:10" ht="15.6" x14ac:dyDescent="0.3">
      <c r="B140" s="59">
        <v>1</v>
      </c>
      <c r="C140" s="78" t="s">
        <v>1018</v>
      </c>
      <c r="D140" s="74" t="s">
        <v>2</v>
      </c>
      <c r="E140" s="75">
        <f t="shared" ref="E140:E164" si="21">$A$4</f>
        <v>2.41</v>
      </c>
      <c r="F140" s="63">
        <f>'Прайс для расчета'!E125</f>
        <v>94.5</v>
      </c>
      <c r="G140" s="64">
        <f t="shared" ref="G140:G164" si="22">F140*E140</f>
        <v>227.745</v>
      </c>
      <c r="I140" s="135">
        <f>'Прайс для расчета (М)'!E125</f>
        <v>47.25</v>
      </c>
      <c r="J140" s="36">
        <f t="shared" ref="J140:J164" si="23">I140*E140</f>
        <v>113.8725</v>
      </c>
    </row>
    <row r="141" spans="2:10" ht="15.6" hidden="1" x14ac:dyDescent="0.3">
      <c r="B141" s="59"/>
      <c r="C141" s="69" t="s">
        <v>1128</v>
      </c>
      <c r="D141" s="74" t="s">
        <v>2</v>
      </c>
      <c r="E141" s="75">
        <f t="shared" si="21"/>
        <v>2.41</v>
      </c>
      <c r="F141" s="63">
        <f>'Прайс для расчета'!E126</f>
        <v>157.5</v>
      </c>
      <c r="G141" s="64">
        <f t="shared" si="22"/>
        <v>379.57500000000005</v>
      </c>
      <c r="I141" s="135">
        <f>'Прайс для расчета (М)'!E126</f>
        <v>78.75</v>
      </c>
      <c r="J141" s="36">
        <f t="shared" si="23"/>
        <v>189.78750000000002</v>
      </c>
    </row>
    <row r="142" spans="2:10" ht="15.6" hidden="1" x14ac:dyDescent="0.3">
      <c r="B142" s="59"/>
      <c r="C142" s="78" t="s">
        <v>1019</v>
      </c>
      <c r="D142" s="74" t="s">
        <v>2</v>
      </c>
      <c r="E142" s="75">
        <f t="shared" si="21"/>
        <v>2.41</v>
      </c>
      <c r="F142" s="63">
        <f>'Прайс для расчета'!E127</f>
        <v>114.45</v>
      </c>
      <c r="G142" s="64">
        <f t="shared" si="22"/>
        <v>275.8245</v>
      </c>
      <c r="I142" s="135">
        <f>'Прайс для расчета (М)'!E127</f>
        <v>57.225000000000001</v>
      </c>
      <c r="J142" s="36">
        <f t="shared" si="23"/>
        <v>137.91225</v>
      </c>
    </row>
    <row r="143" spans="2:10" ht="15.6" hidden="1" x14ac:dyDescent="0.3">
      <c r="B143" s="59"/>
      <c r="C143" s="78" t="s">
        <v>1034</v>
      </c>
      <c r="D143" s="74" t="s">
        <v>2</v>
      </c>
      <c r="E143" s="75">
        <f t="shared" si="21"/>
        <v>2.41</v>
      </c>
      <c r="F143" s="63">
        <f>'Прайс для расчета'!E128</f>
        <v>0</v>
      </c>
      <c r="G143" s="64">
        <f t="shared" si="22"/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x14ac:dyDescent="0.3">
      <c r="B144" s="59">
        <v>1</v>
      </c>
      <c r="C144" s="69" t="s">
        <v>930</v>
      </c>
      <c r="D144" s="74" t="s">
        <v>2</v>
      </c>
      <c r="E144" s="75">
        <f t="shared" si="21"/>
        <v>2.41</v>
      </c>
      <c r="F144" s="63">
        <f>'Прайс для расчета'!E129</f>
        <v>576.45000000000005</v>
      </c>
      <c r="G144" s="64">
        <f t="shared" si="22"/>
        <v>1389.2445000000002</v>
      </c>
      <c r="I144" s="135">
        <f>'Прайс для расчета (М)'!E129</f>
        <v>288.22500000000002</v>
      </c>
      <c r="J144" s="36">
        <f t="shared" si="23"/>
        <v>694.62225000000012</v>
      </c>
    </row>
    <row r="145" spans="2:10" ht="15.6" hidden="1" x14ac:dyDescent="0.3">
      <c r="B145" s="59"/>
      <c r="C145" s="69" t="s">
        <v>931</v>
      </c>
      <c r="D145" s="74" t="s">
        <v>2</v>
      </c>
      <c r="E145" s="75">
        <f t="shared" si="21"/>
        <v>2.41</v>
      </c>
      <c r="F145" s="63">
        <f>'Прайс для расчета'!E130</f>
        <v>681.45</v>
      </c>
      <c r="G145" s="64">
        <f t="shared" si="22"/>
        <v>1642.2945000000002</v>
      </c>
      <c r="I145" s="135">
        <f>'Прайс для расчета (М)'!E130</f>
        <v>340.72500000000002</v>
      </c>
      <c r="J145" s="36">
        <f t="shared" si="23"/>
        <v>821.1472500000001</v>
      </c>
    </row>
    <row r="146" spans="2:10" ht="15.6" hidden="1" x14ac:dyDescent="0.3">
      <c r="B146" s="59"/>
      <c r="C146" s="69" t="s">
        <v>932</v>
      </c>
      <c r="D146" s="74" t="s">
        <v>2</v>
      </c>
      <c r="E146" s="75">
        <f t="shared" si="21"/>
        <v>2.41</v>
      </c>
      <c r="F146" s="63">
        <f>'Прайс для расчета'!E131</f>
        <v>891.45</v>
      </c>
      <c r="G146" s="64">
        <f t="shared" si="22"/>
        <v>2148.3945000000003</v>
      </c>
      <c r="I146" s="135">
        <f>'Прайс для расчета (М)'!E131</f>
        <v>445.72500000000002</v>
      </c>
      <c r="J146" s="36">
        <f t="shared" si="23"/>
        <v>1074.1972500000002</v>
      </c>
    </row>
    <row r="147" spans="2:10" ht="15.6" x14ac:dyDescent="0.3">
      <c r="B147" s="59">
        <v>1</v>
      </c>
      <c r="C147" s="69" t="s">
        <v>357</v>
      </c>
      <c r="D147" s="74" t="s">
        <v>2</v>
      </c>
      <c r="E147" s="75">
        <f t="shared" si="21"/>
        <v>2.41</v>
      </c>
      <c r="F147" s="63">
        <f>'Прайс для расчета'!E132</f>
        <v>996.45</v>
      </c>
      <c r="G147" s="64">
        <f t="shared" si="22"/>
        <v>2401.4445000000001</v>
      </c>
      <c r="I147" s="135">
        <f>'Прайс для расчета (М)'!E132</f>
        <v>498.22500000000002</v>
      </c>
      <c r="J147" s="36">
        <f t="shared" si="23"/>
        <v>1200.72225</v>
      </c>
    </row>
    <row r="148" spans="2:10" ht="15.6" hidden="1" x14ac:dyDescent="0.3">
      <c r="B148" s="59"/>
      <c r="C148" s="69" t="s">
        <v>1127</v>
      </c>
      <c r="D148" s="74" t="s">
        <v>2</v>
      </c>
      <c r="E148" s="75">
        <f t="shared" si="21"/>
        <v>2.41</v>
      </c>
      <c r="F148" s="63">
        <f>'Прайс для расчета'!E133</f>
        <v>1101.45</v>
      </c>
      <c r="G148" s="64">
        <f t="shared" si="22"/>
        <v>2654.4945000000002</v>
      </c>
      <c r="I148" s="135">
        <f>'Прайс для расчета (М)'!E133</f>
        <v>550.72500000000002</v>
      </c>
      <c r="J148" s="36">
        <f t="shared" si="23"/>
        <v>1327.2472500000001</v>
      </c>
    </row>
    <row r="149" spans="2:10" ht="15.6" hidden="1" x14ac:dyDescent="0.3">
      <c r="B149" s="59"/>
      <c r="C149" s="78" t="s">
        <v>151</v>
      </c>
      <c r="D149" s="74" t="s">
        <v>2</v>
      </c>
      <c r="E149" s="75">
        <f t="shared" si="21"/>
        <v>2.41</v>
      </c>
      <c r="F149" s="63">
        <f>'Прайс для расчета'!E134</f>
        <v>271.95</v>
      </c>
      <c r="G149" s="64">
        <f t="shared" si="22"/>
        <v>655.39949999999999</v>
      </c>
      <c r="I149" s="135">
        <f>'Прайс для расчета (М)'!E134</f>
        <v>135.97499999999999</v>
      </c>
      <c r="J149" s="36">
        <f t="shared" si="23"/>
        <v>327.69974999999999</v>
      </c>
    </row>
    <row r="150" spans="2:10" ht="15.6" x14ac:dyDescent="0.3">
      <c r="B150" s="59">
        <v>1</v>
      </c>
      <c r="C150" s="78" t="s">
        <v>499</v>
      </c>
      <c r="D150" s="74" t="s">
        <v>2</v>
      </c>
      <c r="E150" s="75">
        <f t="shared" si="21"/>
        <v>2.41</v>
      </c>
      <c r="F150" s="63">
        <f>'Прайс для расчета'!E135</f>
        <v>262.5</v>
      </c>
      <c r="G150" s="64">
        <f t="shared" si="22"/>
        <v>632.625</v>
      </c>
      <c r="I150" s="135">
        <f>'Прайс для расчета (М)'!E135</f>
        <v>131.25</v>
      </c>
      <c r="J150" s="36">
        <f t="shared" si="23"/>
        <v>316.3125</v>
      </c>
    </row>
    <row r="151" spans="2:10" ht="15.6" x14ac:dyDescent="0.3">
      <c r="B151" s="59">
        <v>1</v>
      </c>
      <c r="C151" s="78" t="s">
        <v>500</v>
      </c>
      <c r="D151" s="74" t="s">
        <v>3</v>
      </c>
      <c r="E151" s="62">
        <f>$A$2</f>
        <v>6.25</v>
      </c>
      <c r="F151" s="63">
        <f>'Прайс для расчета'!E136</f>
        <v>250.95000000000002</v>
      </c>
      <c r="G151" s="64">
        <f t="shared" si="22"/>
        <v>1568.4375</v>
      </c>
      <c r="I151" s="135">
        <f>'Прайс для расчета (М)'!E136</f>
        <v>125.47500000000001</v>
      </c>
      <c r="J151" s="36">
        <f t="shared" si="23"/>
        <v>784.21875</v>
      </c>
    </row>
    <row r="152" spans="2:10" ht="15.6" hidden="1" x14ac:dyDescent="0.3">
      <c r="B152" s="59"/>
      <c r="C152" s="78" t="s">
        <v>1024</v>
      </c>
      <c r="D152" s="74" t="s">
        <v>2</v>
      </c>
      <c r="E152" s="75">
        <f t="shared" si="21"/>
        <v>2.41</v>
      </c>
      <c r="F152" s="63">
        <f>'Прайс для расчета'!E137</f>
        <v>204.75</v>
      </c>
      <c r="G152" s="64">
        <f t="shared" si="22"/>
        <v>493.44750000000005</v>
      </c>
      <c r="I152" s="135">
        <f>'Прайс для расчета (М)'!E137</f>
        <v>102.375</v>
      </c>
      <c r="J152" s="36">
        <f t="shared" si="23"/>
        <v>246.72375000000002</v>
      </c>
    </row>
    <row r="153" spans="2:10" ht="15.6" hidden="1" x14ac:dyDescent="0.3">
      <c r="B153" s="59"/>
      <c r="C153" s="78" t="s">
        <v>359</v>
      </c>
      <c r="D153" s="74" t="s">
        <v>2</v>
      </c>
      <c r="E153" s="75">
        <f t="shared" si="21"/>
        <v>2.41</v>
      </c>
      <c r="F153" s="63">
        <f>'Прайс для расчета'!E138</f>
        <v>299.25</v>
      </c>
      <c r="G153" s="64">
        <f t="shared" si="22"/>
        <v>721.1925</v>
      </c>
      <c r="I153" s="135">
        <f>'Прайс для расчета (М)'!E138</f>
        <v>149.625</v>
      </c>
      <c r="J153" s="36">
        <f t="shared" si="23"/>
        <v>360.59625</v>
      </c>
    </row>
    <row r="154" spans="2:10" ht="15.6" hidden="1" x14ac:dyDescent="0.3">
      <c r="B154" s="59"/>
      <c r="C154" s="78" t="s">
        <v>360</v>
      </c>
      <c r="D154" s="74" t="s">
        <v>2</v>
      </c>
      <c r="E154" s="75">
        <f t="shared" si="21"/>
        <v>2.41</v>
      </c>
      <c r="F154" s="63">
        <f>'Прайс для расчета'!E139</f>
        <v>104.36999999999999</v>
      </c>
      <c r="G154" s="64">
        <f t="shared" si="22"/>
        <v>251.5317</v>
      </c>
      <c r="I154" s="135">
        <f>'Прайс для расчета (М)'!E139</f>
        <v>52.184999999999995</v>
      </c>
      <c r="J154" s="36">
        <f t="shared" si="23"/>
        <v>125.76585</v>
      </c>
    </row>
    <row r="155" spans="2:10" ht="15.6" hidden="1" x14ac:dyDescent="0.3">
      <c r="B155" s="59"/>
      <c r="C155" s="78" t="s">
        <v>361</v>
      </c>
      <c r="D155" s="74" t="s">
        <v>2</v>
      </c>
      <c r="E155" s="75">
        <f t="shared" si="21"/>
        <v>2.41</v>
      </c>
      <c r="F155" s="63">
        <f>'Прайс для расчета'!E140</f>
        <v>498.75</v>
      </c>
      <c r="G155" s="64">
        <f t="shared" si="22"/>
        <v>1201.9875000000002</v>
      </c>
      <c r="I155" s="135">
        <f>'Прайс для расчета (М)'!E140</f>
        <v>249.375</v>
      </c>
      <c r="J155" s="36">
        <f t="shared" si="23"/>
        <v>600.99375000000009</v>
      </c>
    </row>
    <row r="156" spans="2:10" ht="15.6" hidden="1" x14ac:dyDescent="0.3">
      <c r="B156" s="59"/>
      <c r="C156" s="78" t="s">
        <v>501</v>
      </c>
      <c r="D156" s="74" t="s">
        <v>2</v>
      </c>
      <c r="E156" s="75">
        <f t="shared" si="21"/>
        <v>2.41</v>
      </c>
      <c r="F156" s="63">
        <f>'Прайс для расчета'!E141</f>
        <v>460.95000000000005</v>
      </c>
      <c r="G156" s="64">
        <f t="shared" si="22"/>
        <v>1110.8895000000002</v>
      </c>
      <c r="I156" s="135">
        <f>'Прайс для расчета (М)'!E141</f>
        <v>230.47500000000002</v>
      </c>
      <c r="J156" s="36">
        <f t="shared" si="23"/>
        <v>555.44475000000011</v>
      </c>
    </row>
    <row r="157" spans="2:10" ht="15.6" hidden="1" x14ac:dyDescent="0.3">
      <c r="B157" s="59"/>
      <c r="C157" s="78" t="s">
        <v>362</v>
      </c>
      <c r="D157" s="74" t="s">
        <v>2</v>
      </c>
      <c r="E157" s="75">
        <f t="shared" si="21"/>
        <v>2.41</v>
      </c>
      <c r="F157" s="63">
        <f>'Прайс для расчета'!E142</f>
        <v>1942.5</v>
      </c>
      <c r="G157" s="64">
        <f t="shared" si="22"/>
        <v>4681.4250000000002</v>
      </c>
      <c r="I157" s="135">
        <f>'Прайс для расчета (М)'!E142</f>
        <v>971.25</v>
      </c>
      <c r="J157" s="36">
        <f t="shared" si="23"/>
        <v>2340.7125000000001</v>
      </c>
    </row>
    <row r="158" spans="2:10" ht="15.6" hidden="1" x14ac:dyDescent="0.3">
      <c r="B158" s="59"/>
      <c r="C158" s="78" t="s">
        <v>227</v>
      </c>
      <c r="D158" s="74" t="s">
        <v>2</v>
      </c>
      <c r="E158" s="75">
        <f t="shared" si="21"/>
        <v>2.41</v>
      </c>
      <c r="F158" s="63">
        <f>'Прайс для расчета'!E143</f>
        <v>362.25</v>
      </c>
      <c r="G158" s="64">
        <f t="shared" si="22"/>
        <v>873.02250000000004</v>
      </c>
      <c r="I158" s="135">
        <f>'Прайс для расчета (М)'!E143</f>
        <v>181.125</v>
      </c>
      <c r="J158" s="36">
        <f t="shared" si="23"/>
        <v>436.51125000000002</v>
      </c>
    </row>
    <row r="159" spans="2:10" ht="15.6" hidden="1" x14ac:dyDescent="0.3">
      <c r="B159" s="59"/>
      <c r="C159" s="78" t="s">
        <v>224</v>
      </c>
      <c r="D159" s="74" t="s">
        <v>2</v>
      </c>
      <c r="E159" s="75">
        <f t="shared" si="21"/>
        <v>2.41</v>
      </c>
      <c r="F159" s="63">
        <f>'Прайс для расчета'!E144</f>
        <v>271.95</v>
      </c>
      <c r="G159" s="64">
        <f t="shared" si="22"/>
        <v>655.39949999999999</v>
      </c>
      <c r="I159" s="135">
        <f>'Прайс для расчета (М)'!E144</f>
        <v>135.97499999999999</v>
      </c>
      <c r="J159" s="36">
        <f t="shared" si="23"/>
        <v>327.69974999999999</v>
      </c>
    </row>
    <row r="160" spans="2:10" ht="15.6" x14ac:dyDescent="0.3">
      <c r="B160" s="59">
        <v>1</v>
      </c>
      <c r="C160" s="78" t="s">
        <v>1025</v>
      </c>
      <c r="D160" s="74" t="s">
        <v>2</v>
      </c>
      <c r="E160" s="75">
        <f t="shared" si="21"/>
        <v>2.41</v>
      </c>
      <c r="F160" s="63">
        <f>'Прайс для расчета'!E145</f>
        <v>509.25</v>
      </c>
      <c r="G160" s="64">
        <f t="shared" si="22"/>
        <v>1227.2925</v>
      </c>
      <c r="I160" s="135">
        <f>'Прайс для расчета (М)'!E145</f>
        <v>254.625</v>
      </c>
      <c r="J160" s="36">
        <f t="shared" si="23"/>
        <v>613.64625000000001</v>
      </c>
    </row>
    <row r="161" spans="2:10" ht="15.6" hidden="1" x14ac:dyDescent="0.3">
      <c r="B161" s="59"/>
      <c r="C161" s="78" t="s">
        <v>363</v>
      </c>
      <c r="D161" s="74" t="s">
        <v>3</v>
      </c>
      <c r="E161" s="75">
        <f t="shared" si="21"/>
        <v>2.41</v>
      </c>
      <c r="F161" s="63">
        <f>'Прайс для расчета'!E146</f>
        <v>472.5</v>
      </c>
      <c r="G161" s="64">
        <f t="shared" si="22"/>
        <v>1138.7250000000001</v>
      </c>
      <c r="I161" s="135">
        <f>'Прайс для расчета (М)'!E146</f>
        <v>236.25</v>
      </c>
      <c r="J161" s="36">
        <f t="shared" si="23"/>
        <v>569.36250000000007</v>
      </c>
    </row>
    <row r="162" spans="2:10" ht="15.6" hidden="1" x14ac:dyDescent="0.3">
      <c r="B162" s="59"/>
      <c r="C162" s="78" t="s">
        <v>364</v>
      </c>
      <c r="D162" s="74" t="s">
        <v>2</v>
      </c>
      <c r="E162" s="75">
        <f t="shared" si="21"/>
        <v>2.41</v>
      </c>
      <c r="F162" s="63">
        <f>'Прайс для расчета'!E147</f>
        <v>404.06100000000004</v>
      </c>
      <c r="G162" s="64">
        <f t="shared" si="22"/>
        <v>973.78701000000012</v>
      </c>
      <c r="I162" s="135">
        <f>'Прайс для расчета (М)'!E147</f>
        <v>202.03050000000002</v>
      </c>
      <c r="J162" s="36">
        <f t="shared" si="23"/>
        <v>486.89350500000006</v>
      </c>
    </row>
    <row r="163" spans="2:10" ht="15.6" hidden="1" x14ac:dyDescent="0.3">
      <c r="B163" s="59"/>
      <c r="C163" s="78" t="s">
        <v>365</v>
      </c>
      <c r="D163" s="74" t="s">
        <v>2</v>
      </c>
      <c r="E163" s="75">
        <f t="shared" si="21"/>
        <v>2.41</v>
      </c>
      <c r="F163" s="63">
        <f>'Прайс для расчета'!E148</f>
        <v>304.5</v>
      </c>
      <c r="G163" s="64">
        <f t="shared" si="22"/>
        <v>733.84500000000003</v>
      </c>
      <c r="I163" s="135">
        <f>'Прайс для расчета (М)'!E148</f>
        <v>152.25</v>
      </c>
      <c r="J163" s="36">
        <f t="shared" si="23"/>
        <v>366.92250000000001</v>
      </c>
    </row>
    <row r="164" spans="2:10" ht="15.6" hidden="1" x14ac:dyDescent="0.3">
      <c r="B164" s="59"/>
      <c r="C164" s="78" t="s">
        <v>366</v>
      </c>
      <c r="D164" s="74" t="s">
        <v>2</v>
      </c>
      <c r="E164" s="75">
        <f t="shared" si="21"/>
        <v>2.41</v>
      </c>
      <c r="F164" s="63">
        <f>'Прайс для расчета'!E149</f>
        <v>472.5</v>
      </c>
      <c r="G164" s="64">
        <f t="shared" si="22"/>
        <v>1138.7250000000001</v>
      </c>
      <c r="I164" s="135">
        <f>'Прайс для расчета (М)'!E149</f>
        <v>236.25</v>
      </c>
      <c r="J164" s="36">
        <f t="shared" si="23"/>
        <v>569.36250000000007</v>
      </c>
    </row>
    <row r="165" spans="2:10" ht="15.6" x14ac:dyDescent="0.25">
      <c r="B165" s="59">
        <f>IF(SUM(B166:B208)&gt;0,1,0)</f>
        <v>1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>
        <v>1</v>
      </c>
      <c r="C166" s="78" t="s">
        <v>1020</v>
      </c>
      <c r="D166" s="74" t="s">
        <v>2</v>
      </c>
      <c r="E166" s="75">
        <v>9.3000000000000007</v>
      </c>
      <c r="F166" s="63">
        <f>'Прайс для расчета'!E150</f>
        <v>124.95</v>
      </c>
      <c r="G166" s="64">
        <f>F166*E166</f>
        <v>1162.0350000000001</v>
      </c>
      <c r="I166" s="135">
        <f>'Прайс для расчета (М)'!E150</f>
        <v>62.475000000000001</v>
      </c>
      <c r="J166" s="36">
        <f t="shared" ref="J166:J208" si="24">I166*E166</f>
        <v>581.01750000000004</v>
      </c>
    </row>
    <row r="167" spans="2:10" ht="15.6" hidden="1" x14ac:dyDescent="0.3">
      <c r="B167" s="59"/>
      <c r="C167" s="69" t="s">
        <v>1107</v>
      </c>
      <c r="D167" s="74" t="s">
        <v>2</v>
      </c>
      <c r="E167" s="75" t="e">
        <f t="shared" ref="E167:E178" si="25">$A$6</f>
        <v>#REF!</v>
      </c>
      <c r="F167" s="63">
        <f>'Прайс для расчета'!E151</f>
        <v>892.5</v>
      </c>
      <c r="G167" s="64" t="e">
        <f>F167*E167</f>
        <v>#REF!</v>
      </c>
      <c r="I167" s="135">
        <f>'Прайс для расчета (М)'!E151</f>
        <v>446.25</v>
      </c>
      <c r="J167" s="36" t="e">
        <f t="shared" si="24"/>
        <v>#REF!</v>
      </c>
    </row>
    <row r="168" spans="2:10" ht="15.6" hidden="1" x14ac:dyDescent="0.3">
      <c r="B168" s="59"/>
      <c r="C168" s="69" t="s">
        <v>1108</v>
      </c>
      <c r="D168" s="74" t="s">
        <v>2</v>
      </c>
      <c r="E168" s="75" t="e">
        <f t="shared" si="25"/>
        <v>#REF!</v>
      </c>
      <c r="F168" s="63">
        <f>'Прайс для расчета'!E152</f>
        <v>1207.5</v>
      </c>
      <c r="G168" s="64" t="e">
        <f t="shared" ref="G168:G208" si="26">F168*E168</f>
        <v>#REF!</v>
      </c>
      <c r="I168" s="135">
        <f>'Прайс для расчета (М)'!E152</f>
        <v>603.75</v>
      </c>
      <c r="J168" s="36" t="e">
        <f t="shared" si="24"/>
        <v>#REF!</v>
      </c>
    </row>
    <row r="169" spans="2:10" ht="15.6" x14ac:dyDescent="0.3">
      <c r="B169" s="59">
        <v>1</v>
      </c>
      <c r="C169" s="69" t="s">
        <v>1109</v>
      </c>
      <c r="D169" s="74" t="s">
        <v>2</v>
      </c>
      <c r="E169" s="75" t="e">
        <f t="shared" si="25"/>
        <v>#REF!</v>
      </c>
      <c r="F169" s="63">
        <f>'Прайс для расчета'!E153</f>
        <v>624.75</v>
      </c>
      <c r="G169" s="64" t="e">
        <f t="shared" si="26"/>
        <v>#REF!</v>
      </c>
      <c r="I169" s="135">
        <f>'Прайс для расчета (М)'!E153</f>
        <v>312.375</v>
      </c>
      <c r="J169" s="36" t="e">
        <f t="shared" si="24"/>
        <v>#REF!</v>
      </c>
    </row>
    <row r="170" spans="2:10" ht="15.6" hidden="1" x14ac:dyDescent="0.3">
      <c r="B170" s="59"/>
      <c r="C170" s="69" t="s">
        <v>1110</v>
      </c>
      <c r="D170" s="74" t="s">
        <v>2</v>
      </c>
      <c r="E170" s="75" t="e">
        <f t="shared" si="25"/>
        <v>#REF!</v>
      </c>
      <c r="F170" s="63">
        <f>'Прайс для расчета'!E154</f>
        <v>729.75</v>
      </c>
      <c r="G170" s="64" t="e">
        <f t="shared" si="26"/>
        <v>#REF!</v>
      </c>
      <c r="I170" s="135">
        <f>'Прайс для расчета (М)'!E154</f>
        <v>364.875</v>
      </c>
      <c r="J170" s="36" t="e">
        <f t="shared" si="24"/>
        <v>#REF!</v>
      </c>
    </row>
    <row r="171" spans="2:10" ht="15.6" hidden="1" x14ac:dyDescent="0.3">
      <c r="B171" s="59"/>
      <c r="C171" s="69" t="s">
        <v>1115</v>
      </c>
      <c r="D171" s="74" t="s">
        <v>2</v>
      </c>
      <c r="E171" s="75" t="e">
        <f t="shared" si="25"/>
        <v>#REF!</v>
      </c>
      <c r="F171" s="63">
        <f>'Прайс для расчета'!E155</f>
        <v>943.95</v>
      </c>
      <c r="G171" s="64" t="e">
        <f t="shared" si="26"/>
        <v>#REF!</v>
      </c>
      <c r="I171" s="135">
        <f>'Прайс для расчета (М)'!E155</f>
        <v>471.97500000000002</v>
      </c>
      <c r="J171" s="36" t="e">
        <f t="shared" si="24"/>
        <v>#REF!</v>
      </c>
    </row>
    <row r="172" spans="2:10" ht="15.6" hidden="1" x14ac:dyDescent="0.3">
      <c r="B172" s="59"/>
      <c r="C172" s="78" t="s">
        <v>1028</v>
      </c>
      <c r="D172" s="74" t="s">
        <v>2</v>
      </c>
      <c r="E172" s="75" t="e">
        <f t="shared" si="25"/>
        <v>#REF!</v>
      </c>
      <c r="F172" s="63">
        <f>'Прайс для расчета'!E156</f>
        <v>787.5</v>
      </c>
      <c r="G172" s="64" t="e">
        <f t="shared" si="26"/>
        <v>#REF!</v>
      </c>
      <c r="I172" s="135">
        <f>'Прайс для расчета (М)'!E156</f>
        <v>393.75</v>
      </c>
      <c r="J172" s="36" t="e">
        <f t="shared" si="24"/>
        <v>#REF!</v>
      </c>
    </row>
    <row r="173" spans="2:10" ht="15.6" hidden="1" x14ac:dyDescent="0.3">
      <c r="B173" s="59"/>
      <c r="C173" s="78" t="s">
        <v>1029</v>
      </c>
      <c r="D173" s="74" t="s">
        <v>3</v>
      </c>
      <c r="E173" s="75" t="e">
        <f t="shared" si="25"/>
        <v>#REF!</v>
      </c>
      <c r="F173" s="63">
        <f>'Прайс для расчета'!E157</f>
        <v>651</v>
      </c>
      <c r="G173" s="64" t="e">
        <f t="shared" si="26"/>
        <v>#REF!</v>
      </c>
      <c r="I173" s="135">
        <f>'Прайс для расчета (М)'!E157</f>
        <v>325.5</v>
      </c>
      <c r="J173" s="36" t="e">
        <f t="shared" si="24"/>
        <v>#REF!</v>
      </c>
    </row>
    <row r="174" spans="2:10" ht="15.6" hidden="1" x14ac:dyDescent="0.3">
      <c r="B174" s="59"/>
      <c r="C174" s="78" t="s">
        <v>674</v>
      </c>
      <c r="D174" s="74" t="s">
        <v>2</v>
      </c>
      <c r="E174" s="75">
        <v>3.45</v>
      </c>
      <c r="F174" s="63">
        <f>'Прайс для расчета'!E158</f>
        <v>267.75</v>
      </c>
      <c r="G174" s="64">
        <f t="shared" si="26"/>
        <v>923.73750000000007</v>
      </c>
      <c r="I174" s="135">
        <f>'Прайс для расчета (М)'!E158</f>
        <v>133.875</v>
      </c>
      <c r="J174" s="36">
        <f t="shared" si="24"/>
        <v>461.86875000000003</v>
      </c>
    </row>
    <row r="175" spans="2:10" ht="15.6" hidden="1" x14ac:dyDescent="0.3">
      <c r="B175" s="59"/>
      <c r="C175" s="200" t="s">
        <v>1007</v>
      </c>
      <c r="D175" s="74" t="s">
        <v>2</v>
      </c>
      <c r="E175" s="75" t="e">
        <f t="shared" si="25"/>
        <v>#REF!</v>
      </c>
      <c r="F175" s="63">
        <f>'Прайс для расчета'!E159</f>
        <v>2992.5</v>
      </c>
      <c r="G175" s="64" t="e">
        <f t="shared" si="26"/>
        <v>#REF!</v>
      </c>
      <c r="I175" s="135">
        <f>'Прайс для расчета (М)'!E159</f>
        <v>1496.25</v>
      </c>
      <c r="J175" s="36" t="e">
        <f t="shared" si="24"/>
        <v>#REF!</v>
      </c>
    </row>
    <row r="176" spans="2:10" ht="15.6" hidden="1" x14ac:dyDescent="0.3">
      <c r="B176" s="59"/>
      <c r="C176" s="69" t="s">
        <v>1021</v>
      </c>
      <c r="D176" s="74" t="s">
        <v>2</v>
      </c>
      <c r="E176" s="75" t="e">
        <f t="shared" si="25"/>
        <v>#REF!</v>
      </c>
      <c r="F176" s="63">
        <f>'Прайс для расчета'!E160</f>
        <v>94.5</v>
      </c>
      <c r="G176" s="64" t="e">
        <f t="shared" si="26"/>
        <v>#REF!</v>
      </c>
      <c r="I176" s="135">
        <f>'Прайс для расчета (М)'!E160</f>
        <v>47.25</v>
      </c>
      <c r="J176" s="36" t="e">
        <f t="shared" si="24"/>
        <v>#REF!</v>
      </c>
    </row>
    <row r="177" spans="2:10" ht="15.6" x14ac:dyDescent="0.3">
      <c r="B177" s="59">
        <v>1</v>
      </c>
      <c r="C177" s="69" t="s">
        <v>1125</v>
      </c>
      <c r="D177" s="74" t="s">
        <v>2</v>
      </c>
      <c r="E177" s="75">
        <v>3.45</v>
      </c>
      <c r="F177" s="63">
        <f>'Прайс для расчета'!E161</f>
        <v>157.5</v>
      </c>
      <c r="G177" s="64">
        <f t="shared" si="26"/>
        <v>543.375</v>
      </c>
      <c r="I177" s="135">
        <f>'Прайс для расчета (М)'!E161</f>
        <v>78.75</v>
      </c>
      <c r="J177" s="36">
        <f t="shared" si="24"/>
        <v>271.6875</v>
      </c>
    </row>
    <row r="178" spans="2:10" ht="15.6" hidden="1" x14ac:dyDescent="0.3">
      <c r="B178" s="59"/>
      <c r="C178" s="69" t="s">
        <v>1126</v>
      </c>
      <c r="D178" s="74" t="s">
        <v>2</v>
      </c>
      <c r="E178" s="75" t="e">
        <f t="shared" si="25"/>
        <v>#REF!</v>
      </c>
      <c r="F178" s="63">
        <f>'Прайс для расчета'!E162</f>
        <v>519.75</v>
      </c>
      <c r="G178" s="64" t="e">
        <f t="shared" si="26"/>
        <v>#REF!</v>
      </c>
      <c r="I178" s="135">
        <f>'Прайс для расчета (М)'!E162</f>
        <v>259.875</v>
      </c>
      <c r="J178" s="36" t="e">
        <f t="shared" si="24"/>
        <v>#REF!</v>
      </c>
    </row>
    <row r="179" spans="2:10" ht="15.6" x14ac:dyDescent="0.3">
      <c r="B179" s="59">
        <v>1</v>
      </c>
      <c r="C179" s="69" t="s">
        <v>1119</v>
      </c>
      <c r="D179" s="74" t="s">
        <v>2</v>
      </c>
      <c r="E179" s="75">
        <v>3.45</v>
      </c>
      <c r="F179" s="63">
        <f>'Прайс для расчета'!E163</f>
        <v>687.75</v>
      </c>
      <c r="G179" s="64">
        <f t="shared" si="26"/>
        <v>2372.7375000000002</v>
      </c>
      <c r="I179" s="135">
        <f>'Прайс для расчета (М)'!E163</f>
        <v>343.875</v>
      </c>
      <c r="J179" s="36">
        <f t="shared" si="24"/>
        <v>1186.3687500000001</v>
      </c>
    </row>
    <row r="180" spans="2:10" ht="15.6" hidden="1" x14ac:dyDescent="0.3">
      <c r="B180" s="59"/>
      <c r="C180" s="69" t="s">
        <v>1121</v>
      </c>
      <c r="D180" s="74" t="s">
        <v>2</v>
      </c>
      <c r="E180" s="75">
        <v>3.45</v>
      </c>
      <c r="F180" s="63">
        <f>'Прайс для расчета'!E164</f>
        <v>420</v>
      </c>
      <c r="G180" s="64">
        <f t="shared" si="26"/>
        <v>1449</v>
      </c>
      <c r="I180" s="135">
        <f>'Прайс для расчета (М)'!E164</f>
        <v>210</v>
      </c>
      <c r="J180" s="36">
        <f t="shared" si="24"/>
        <v>724.5</v>
      </c>
    </row>
    <row r="181" spans="2:10" ht="15.6" hidden="1" x14ac:dyDescent="0.3">
      <c r="B181" s="59"/>
      <c r="C181" s="69" t="s">
        <v>1122</v>
      </c>
      <c r="D181" s="74" t="s">
        <v>2</v>
      </c>
      <c r="E181" s="75">
        <v>3.45</v>
      </c>
      <c r="F181" s="63">
        <f>'Прайс для расчета'!E165</f>
        <v>829.5</v>
      </c>
      <c r="G181" s="64">
        <f t="shared" si="26"/>
        <v>2861.7750000000001</v>
      </c>
      <c r="I181" s="135">
        <f>'Прайс для расчета (М)'!E165</f>
        <v>414.75</v>
      </c>
      <c r="J181" s="36">
        <f t="shared" si="24"/>
        <v>1430.8875</v>
      </c>
    </row>
    <row r="182" spans="2:10" ht="15.6" x14ac:dyDescent="0.3">
      <c r="B182" s="59">
        <v>1</v>
      </c>
      <c r="C182" s="69" t="s">
        <v>1120</v>
      </c>
      <c r="D182" s="74" t="s">
        <v>2</v>
      </c>
      <c r="E182" s="75">
        <v>3.45</v>
      </c>
      <c r="F182" s="63">
        <f>'Прайс для расчета'!E166</f>
        <v>204.75</v>
      </c>
      <c r="G182" s="64">
        <f t="shared" si="26"/>
        <v>706.38750000000005</v>
      </c>
      <c r="I182" s="135">
        <f>'Прайс для расчета (М)'!E166</f>
        <v>102.375</v>
      </c>
      <c r="J182" s="36">
        <f t="shared" si="24"/>
        <v>353.19375000000002</v>
      </c>
    </row>
    <row r="183" spans="2:10" ht="15.6" x14ac:dyDescent="0.3">
      <c r="B183" s="59">
        <v>1</v>
      </c>
      <c r="C183" s="69" t="s">
        <v>1105</v>
      </c>
      <c r="D183" s="74" t="s">
        <v>3</v>
      </c>
      <c r="E183" s="75">
        <v>15.2</v>
      </c>
      <c r="F183" s="63">
        <f>'Прайс для расчета'!E167</f>
        <v>157.5</v>
      </c>
      <c r="G183" s="64">
        <f t="shared" si="26"/>
        <v>2394</v>
      </c>
      <c r="I183" s="135">
        <f>'Прайс для расчета (М)'!E167</f>
        <v>78.75</v>
      </c>
      <c r="J183" s="36">
        <f t="shared" si="24"/>
        <v>1197</v>
      </c>
    </row>
    <row r="184" spans="2:10" ht="15.6" x14ac:dyDescent="0.3">
      <c r="B184" s="59">
        <v>1</v>
      </c>
      <c r="C184" s="69" t="s">
        <v>1106</v>
      </c>
      <c r="D184" s="74" t="s">
        <v>3</v>
      </c>
      <c r="E184" s="75">
        <v>15.2</v>
      </c>
      <c r="F184" s="63">
        <f>'Прайс для расчета'!E168</f>
        <v>157.5</v>
      </c>
      <c r="G184" s="64">
        <f t="shared" si="26"/>
        <v>2394</v>
      </c>
      <c r="I184" s="135">
        <f>'Прайс для расчета (М)'!E168</f>
        <v>78.75</v>
      </c>
      <c r="J184" s="36">
        <f t="shared" si="24"/>
        <v>1197</v>
      </c>
    </row>
    <row r="185" spans="2:10" ht="15.6" hidden="1" x14ac:dyDescent="0.3">
      <c r="B185" s="59"/>
      <c r="C185" s="69" t="s">
        <v>1117</v>
      </c>
      <c r="D185" s="74" t="s">
        <v>2</v>
      </c>
      <c r="E185" s="75" t="e">
        <f t="shared" ref="E185:E191" si="27">$A$6</f>
        <v>#REF!</v>
      </c>
      <c r="F185" s="63">
        <f>'Прайс для расчета'!E169</f>
        <v>204.75</v>
      </c>
      <c r="G185" s="64" t="e">
        <f t="shared" si="26"/>
        <v>#REF!</v>
      </c>
      <c r="I185" s="135">
        <f>'Прайс для расчета (М)'!E169</f>
        <v>102.375</v>
      </c>
      <c r="J185" s="36" t="e">
        <f t="shared" si="24"/>
        <v>#REF!</v>
      </c>
    </row>
    <row r="186" spans="2:10" ht="15.6" x14ac:dyDescent="0.3">
      <c r="B186" s="59">
        <v>1</v>
      </c>
      <c r="C186" s="69" t="s">
        <v>1116</v>
      </c>
      <c r="D186" s="74" t="s">
        <v>2</v>
      </c>
      <c r="E186" s="75">
        <v>9.3000000000000007</v>
      </c>
      <c r="F186" s="63">
        <f>'Прайс для расчета'!E170</f>
        <v>204.75</v>
      </c>
      <c r="G186" s="64">
        <f t="shared" si="26"/>
        <v>1904.1750000000002</v>
      </c>
      <c r="I186" s="135">
        <f>'Прайс для расчета (М)'!E170</f>
        <v>102.375</v>
      </c>
      <c r="J186" s="36">
        <f t="shared" si="24"/>
        <v>952.08750000000009</v>
      </c>
    </row>
    <row r="187" spans="2:10" ht="15.6" hidden="1" x14ac:dyDescent="0.3">
      <c r="B187" s="59"/>
      <c r="C187" s="78" t="s">
        <v>376</v>
      </c>
      <c r="D187" s="74" t="s">
        <v>2</v>
      </c>
      <c r="E187" s="75" t="e">
        <f t="shared" si="27"/>
        <v>#REF!</v>
      </c>
      <c r="F187" s="63">
        <f>'Прайс для расчета'!E171</f>
        <v>1559.586</v>
      </c>
      <c r="G187" s="64" t="e">
        <f t="shared" si="26"/>
        <v>#REF!</v>
      </c>
      <c r="I187" s="135">
        <f>'Прайс для расчета (М)'!E171</f>
        <v>779.79300000000001</v>
      </c>
      <c r="J187" s="36" t="e">
        <f t="shared" si="24"/>
        <v>#REF!</v>
      </c>
    </row>
    <row r="188" spans="2:10" ht="15.6" hidden="1" x14ac:dyDescent="0.3">
      <c r="B188" s="59"/>
      <c r="C188" s="78" t="s">
        <v>377</v>
      </c>
      <c r="D188" s="74" t="s">
        <v>2</v>
      </c>
      <c r="E188" s="75" t="e">
        <f t="shared" si="27"/>
        <v>#REF!</v>
      </c>
      <c r="F188" s="63">
        <f>'Прайс для расчета'!E172</f>
        <v>1616.2440000000001</v>
      </c>
      <c r="G188" s="64" t="e">
        <f t="shared" si="26"/>
        <v>#REF!</v>
      </c>
      <c r="I188" s="135">
        <f>'Прайс для расчета (М)'!E172</f>
        <v>808.12200000000007</v>
      </c>
      <c r="J188" s="36" t="e">
        <f t="shared" si="24"/>
        <v>#REF!</v>
      </c>
    </row>
    <row r="189" spans="2:10" ht="15.6" hidden="1" x14ac:dyDescent="0.3">
      <c r="B189" s="59"/>
      <c r="C189" s="78" t="s">
        <v>378</v>
      </c>
      <c r="D189" s="74" t="s">
        <v>2</v>
      </c>
      <c r="E189" s="75" t="e">
        <f t="shared" si="27"/>
        <v>#REF!</v>
      </c>
      <c r="F189" s="63">
        <f>'Прайс для расчета'!E173</f>
        <v>1131.6690000000001</v>
      </c>
      <c r="G189" s="64" t="e">
        <f t="shared" si="26"/>
        <v>#REF!</v>
      </c>
      <c r="I189" s="135">
        <f>'Прайс для расчета (М)'!E173</f>
        <v>565.83450000000005</v>
      </c>
      <c r="J189" s="36" t="e">
        <f t="shared" si="24"/>
        <v>#REF!</v>
      </c>
    </row>
    <row r="190" spans="2:10" ht="15.6" hidden="1" x14ac:dyDescent="0.3">
      <c r="B190" s="59"/>
      <c r="C190" s="78" t="s">
        <v>379</v>
      </c>
      <c r="D190" s="74" t="s">
        <v>2</v>
      </c>
      <c r="E190" s="75" t="e">
        <f t="shared" si="27"/>
        <v>#REF!</v>
      </c>
      <c r="F190" s="63">
        <f>'Прайс для расчета'!E174</f>
        <v>1191.309</v>
      </c>
      <c r="G190" s="64" t="e">
        <f t="shared" si="26"/>
        <v>#REF!</v>
      </c>
      <c r="I190" s="135">
        <f>'Прайс для расчета (М)'!E174</f>
        <v>595.65449999999998</v>
      </c>
      <c r="J190" s="36" t="e">
        <f t="shared" si="24"/>
        <v>#REF!</v>
      </c>
    </row>
    <row r="191" spans="2:10" ht="15.6" hidden="1" x14ac:dyDescent="0.3">
      <c r="B191" s="59"/>
      <c r="C191" s="78" t="s">
        <v>380</v>
      </c>
      <c r="D191" s="74" t="s">
        <v>2</v>
      </c>
      <c r="E191" s="75" t="e">
        <f t="shared" si="27"/>
        <v>#REF!</v>
      </c>
      <c r="F191" s="63">
        <f>'Прайс для расчета'!E175</f>
        <v>1265.8589999999999</v>
      </c>
      <c r="G191" s="64" t="e">
        <f t="shared" si="26"/>
        <v>#REF!</v>
      </c>
      <c r="I191" s="135">
        <f>'Прайс для расчета (М)'!E175</f>
        <v>632.92949999999996</v>
      </c>
      <c r="J191" s="36" t="e">
        <f t="shared" si="24"/>
        <v>#REF!</v>
      </c>
    </row>
    <row r="192" spans="2:10" ht="15.6" hidden="1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6"/>
        <v>1417.5</v>
      </c>
      <c r="I192" s="135">
        <f>'Прайс для расчета (М)'!E176</f>
        <v>708.75</v>
      </c>
      <c r="J192" s="36">
        <f t="shared" si="24"/>
        <v>708.75</v>
      </c>
    </row>
    <row r="193" spans="2:10" ht="15.6" hidden="1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6"/>
        <v>1837.5</v>
      </c>
      <c r="I193" s="135">
        <f>'Прайс для расчета (М)'!E177</f>
        <v>918.75</v>
      </c>
      <c r="J193" s="36">
        <f t="shared" si="24"/>
        <v>918.75</v>
      </c>
    </row>
    <row r="194" spans="2:10" ht="15.6" hidden="1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6"/>
        <v>183.75</v>
      </c>
      <c r="I194" s="135">
        <f>'Прайс для расчета (М)'!E178</f>
        <v>91.875</v>
      </c>
      <c r="J194" s="36">
        <f t="shared" si="24"/>
        <v>91.875</v>
      </c>
    </row>
    <row r="195" spans="2:10" ht="15.6" hidden="1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6"/>
        <v>367.5</v>
      </c>
      <c r="I195" s="135">
        <f>'Прайс для расчета (М)'!E179</f>
        <v>183.75</v>
      </c>
      <c r="J195" s="36">
        <f t="shared" si="24"/>
        <v>183.75</v>
      </c>
    </row>
    <row r="196" spans="2:10" ht="15.6" hidden="1" x14ac:dyDescent="0.3">
      <c r="B196" s="59"/>
      <c r="C196" s="78" t="s">
        <v>508</v>
      </c>
      <c r="D196" s="74" t="s">
        <v>2</v>
      </c>
      <c r="E196" s="75" t="e">
        <f t="shared" ref="E196:E201" si="28">$A$6</f>
        <v>#REF!</v>
      </c>
      <c r="F196" s="63">
        <f>'Прайс для расчета'!E180</f>
        <v>481.95000000000005</v>
      </c>
      <c r="G196" s="64" t="e">
        <f t="shared" si="26"/>
        <v>#REF!</v>
      </c>
      <c r="I196" s="135">
        <f>'Прайс для расчета (М)'!E180</f>
        <v>240.97500000000002</v>
      </c>
      <c r="J196" s="36" t="e">
        <f t="shared" si="24"/>
        <v>#REF!</v>
      </c>
    </row>
    <row r="197" spans="2:10" ht="15.6" hidden="1" x14ac:dyDescent="0.3">
      <c r="B197" s="59"/>
      <c r="C197" s="78" t="s">
        <v>383</v>
      </c>
      <c r="D197" s="74" t="s">
        <v>2</v>
      </c>
      <c r="E197" s="75" t="e">
        <f t="shared" si="28"/>
        <v>#REF!</v>
      </c>
      <c r="F197" s="63">
        <f>'Прайс для расчета'!E181</f>
        <v>1506.75</v>
      </c>
      <c r="G197" s="64" t="e">
        <f t="shared" si="26"/>
        <v>#REF!</v>
      </c>
      <c r="I197" s="135">
        <f>'Прайс для расчета (М)'!E181</f>
        <v>753.375</v>
      </c>
      <c r="J197" s="36" t="e">
        <f t="shared" si="24"/>
        <v>#REF!</v>
      </c>
    </row>
    <row r="198" spans="2:10" ht="15.6" hidden="1" x14ac:dyDescent="0.3">
      <c r="B198" s="59"/>
      <c r="C198" s="78" t="s">
        <v>384</v>
      </c>
      <c r="D198" s="74" t="s">
        <v>2</v>
      </c>
      <c r="E198" s="75" t="e">
        <f t="shared" si="28"/>
        <v>#REF!</v>
      </c>
      <c r="F198" s="63">
        <f>'Прайс для расчета'!E182</f>
        <v>1821.75</v>
      </c>
      <c r="G198" s="64" t="e">
        <f t="shared" si="26"/>
        <v>#REF!</v>
      </c>
      <c r="I198" s="135">
        <f>'Прайс для расчета (М)'!E182</f>
        <v>910.875</v>
      </c>
      <c r="J198" s="36" t="e">
        <f t="shared" si="24"/>
        <v>#REF!</v>
      </c>
    </row>
    <row r="199" spans="2:10" ht="15.6" hidden="1" x14ac:dyDescent="0.3">
      <c r="B199" s="59"/>
      <c r="C199" s="78" t="s">
        <v>385</v>
      </c>
      <c r="D199" s="74" t="s">
        <v>2</v>
      </c>
      <c r="E199" s="75" t="e">
        <f t="shared" si="28"/>
        <v>#REF!</v>
      </c>
      <c r="F199" s="63">
        <f>'Прайс для расчета'!E183</f>
        <v>1149.75</v>
      </c>
      <c r="G199" s="64" t="e">
        <f t="shared" si="26"/>
        <v>#REF!</v>
      </c>
      <c r="I199" s="135">
        <f>'Прайс для расчета (М)'!E183</f>
        <v>574.875</v>
      </c>
      <c r="J199" s="36" t="e">
        <f t="shared" si="24"/>
        <v>#REF!</v>
      </c>
    </row>
    <row r="200" spans="2:10" ht="15.6" hidden="1" x14ac:dyDescent="0.3">
      <c r="B200" s="59"/>
      <c r="C200" s="78" t="s">
        <v>509</v>
      </c>
      <c r="D200" s="74" t="s">
        <v>2</v>
      </c>
      <c r="E200" s="75" t="e">
        <f t="shared" si="28"/>
        <v>#REF!</v>
      </c>
      <c r="F200" s="63">
        <f>'Прайс для расчета'!E184</f>
        <v>1527.75</v>
      </c>
      <c r="G200" s="64" t="e">
        <f t="shared" si="26"/>
        <v>#REF!</v>
      </c>
      <c r="I200" s="135">
        <f>'Прайс для расчета (М)'!E184</f>
        <v>763.875</v>
      </c>
      <c r="J200" s="36" t="e">
        <f t="shared" si="24"/>
        <v>#REF!</v>
      </c>
    </row>
    <row r="201" spans="2:10" ht="15.6" hidden="1" x14ac:dyDescent="0.3">
      <c r="B201" s="59"/>
      <c r="C201" s="78" t="s">
        <v>510</v>
      </c>
      <c r="D201" s="74" t="s">
        <v>2</v>
      </c>
      <c r="E201" s="75" t="e">
        <f t="shared" si="28"/>
        <v>#REF!</v>
      </c>
      <c r="F201" s="63">
        <f>'Прайс для расчета'!E185</f>
        <v>1737.75</v>
      </c>
      <c r="G201" s="64" t="e">
        <f t="shared" si="26"/>
        <v>#REF!</v>
      </c>
      <c r="I201" s="135">
        <f>'Прайс для расчета (М)'!E185</f>
        <v>868.875</v>
      </c>
      <c r="J201" s="36" t="e">
        <f t="shared" si="24"/>
        <v>#REF!</v>
      </c>
    </row>
    <row r="202" spans="2:10" ht="15.6" hidden="1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6"/>
        <v>#REF!</v>
      </c>
      <c r="I202" s="135">
        <f>'Прайс для расчета (М)'!E186</f>
        <v>97.125</v>
      </c>
      <c r="J202" s="36" t="e">
        <f t="shared" si="24"/>
        <v>#REF!</v>
      </c>
    </row>
    <row r="203" spans="2:10" ht="15.6" hidden="1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6"/>
        <v>2089.5</v>
      </c>
      <c r="I203" s="135">
        <f>'Прайс для расчета (М)'!E187</f>
        <v>1044.75</v>
      </c>
      <c r="J203" s="36">
        <f t="shared" si="24"/>
        <v>1044.75</v>
      </c>
    </row>
    <row r="204" spans="2:10" ht="15.6" hidden="1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6"/>
        <v>3097.5</v>
      </c>
      <c r="I204" s="135">
        <f>'Прайс для расчета (М)'!E188</f>
        <v>1548.75</v>
      </c>
      <c r="J204" s="36">
        <f t="shared" si="24"/>
        <v>1548.75</v>
      </c>
    </row>
    <row r="205" spans="2:10" ht="15.6" hidden="1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6"/>
        <v>2992.5</v>
      </c>
      <c r="I205" s="135">
        <f>'Прайс для расчета (М)'!E189</f>
        <v>1496.25</v>
      </c>
      <c r="J205" s="36">
        <f t="shared" si="24"/>
        <v>1496.25</v>
      </c>
    </row>
    <row r="206" spans="2:10" ht="15.6" hidden="1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6"/>
        <v>#REF!</v>
      </c>
      <c r="I206" s="135">
        <f>'Прайс для расчета (М)'!E190</f>
        <v>202.03050000000002</v>
      </c>
      <c r="J206" s="36" t="e">
        <f t="shared" si="24"/>
        <v>#REF!</v>
      </c>
    </row>
    <row r="207" spans="2:10" ht="15.6" hidden="1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6"/>
        <v>#REF!</v>
      </c>
      <c r="I207" s="135">
        <f>'Прайс для расчета (М)'!E191</f>
        <v>141.22499999999999</v>
      </c>
      <c r="J207" s="36" t="e">
        <f t="shared" si="24"/>
        <v>#REF!</v>
      </c>
    </row>
    <row r="208" spans="2:10" ht="15.6" hidden="1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6"/>
        <v>#REF!</v>
      </c>
      <c r="I208" s="135">
        <f>'Прайс для расчета (М)'!E192</f>
        <v>307.125</v>
      </c>
      <c r="J208" s="36" t="e">
        <f t="shared" si="24"/>
        <v>#REF!</v>
      </c>
    </row>
    <row r="209" spans="2:10" ht="15.6" hidden="1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hidden="1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29">F210*E210</f>
        <v>84</v>
      </c>
      <c r="I210" s="135">
        <f>'Прайс для расчета (М)'!E193</f>
        <v>42</v>
      </c>
      <c r="J210" s="36">
        <f t="shared" ref="J210:J218" si="30">I210*E210</f>
        <v>42</v>
      </c>
    </row>
    <row r="211" spans="2:10" ht="15.6" hidden="1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29"/>
        <v>787.5</v>
      </c>
      <c r="I211" s="135">
        <f>'Прайс для расчета (М)'!E194</f>
        <v>393.75</v>
      </c>
      <c r="J211" s="36">
        <f t="shared" si="30"/>
        <v>393.75</v>
      </c>
    </row>
    <row r="212" spans="2:10" ht="15.6" hidden="1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29"/>
        <v>892.5</v>
      </c>
      <c r="I212" s="135">
        <f>'Прайс для расчета (М)'!E195</f>
        <v>446.25</v>
      </c>
      <c r="J212" s="36">
        <f t="shared" si="30"/>
        <v>446.25</v>
      </c>
    </row>
    <row r="213" spans="2:10" ht="15.6" hidden="1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29"/>
        <v>997.5</v>
      </c>
      <c r="I213" s="135">
        <f>'Прайс для расчета (М)'!E196</f>
        <v>498.75</v>
      </c>
      <c r="J213" s="36">
        <f t="shared" si="30"/>
        <v>498.75</v>
      </c>
    </row>
    <row r="214" spans="2:10" ht="15.6" hidden="1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29"/>
        <v>787.5</v>
      </c>
      <c r="I214" s="135">
        <f>'Прайс для расчета (М)'!E197</f>
        <v>393.75</v>
      </c>
      <c r="J214" s="36">
        <f t="shared" si="30"/>
        <v>393.75</v>
      </c>
    </row>
    <row r="215" spans="2:10" ht="15.6" hidden="1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29"/>
        <v>204.75</v>
      </c>
      <c r="I215" s="135">
        <f>'Прайс для расчета (М)'!E198</f>
        <v>102.375</v>
      </c>
      <c r="J215" s="36">
        <f t="shared" si="30"/>
        <v>102.375</v>
      </c>
    </row>
    <row r="216" spans="2:10" ht="15.6" hidden="1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29"/>
        <v>194.25</v>
      </c>
      <c r="I216" s="135">
        <f>'Прайс для расчета (М)'!E199</f>
        <v>97.125</v>
      </c>
      <c r="J216" s="36">
        <f t="shared" si="30"/>
        <v>97.125</v>
      </c>
    </row>
    <row r="217" spans="2:10" ht="15.6" hidden="1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29"/>
        <v>866.25</v>
      </c>
      <c r="I217" s="135">
        <f>'Прайс для расчета (М)'!E200</f>
        <v>433.125</v>
      </c>
      <c r="J217" s="36">
        <f t="shared" si="30"/>
        <v>433.125</v>
      </c>
    </row>
    <row r="218" spans="2:10" ht="15.6" hidden="1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29"/>
        <v>262.5</v>
      </c>
      <c r="I218" s="135">
        <f>'Прайс для расчета (М)'!E201</f>
        <v>131.25</v>
      </c>
      <c r="J218" s="36">
        <f t="shared" si="30"/>
        <v>131.25</v>
      </c>
    </row>
    <row r="219" spans="2:10" ht="15.6" hidden="1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hidden="1" x14ac:dyDescent="0.25">
      <c r="B220" s="59"/>
      <c r="C220" s="65" t="s">
        <v>1022</v>
      </c>
      <c r="D220" s="61" t="s">
        <v>2</v>
      </c>
      <c r="E220" s="62">
        <f t="shared" ref="E220:E226" si="31">$A$4</f>
        <v>2.41</v>
      </c>
      <c r="F220" s="63">
        <f>'Прайс для расчета'!E202</f>
        <v>135.45000000000002</v>
      </c>
      <c r="G220" s="64">
        <f t="shared" ref="G220:G247" si="32">F220*E220</f>
        <v>326.43450000000007</v>
      </c>
      <c r="I220" s="135">
        <f>'Прайс для расчета (М)'!E202</f>
        <v>67.725000000000009</v>
      </c>
      <c r="J220" s="36">
        <f t="shared" ref="J220:J247" si="33">I220*E220</f>
        <v>163.21725000000004</v>
      </c>
    </row>
    <row r="221" spans="2:10" ht="15.6" hidden="1" x14ac:dyDescent="0.25">
      <c r="B221" s="59"/>
      <c r="C221" s="65" t="s">
        <v>1105</v>
      </c>
      <c r="D221" s="61" t="s">
        <v>3</v>
      </c>
      <c r="E221" s="62">
        <f t="shared" si="31"/>
        <v>2.41</v>
      </c>
      <c r="F221" s="63">
        <f>'Прайс для расчета'!E203</f>
        <v>210</v>
      </c>
      <c r="G221" s="64">
        <f t="shared" si="32"/>
        <v>506.1</v>
      </c>
      <c r="I221" s="135">
        <f>'Прайс для расчета (М)'!E203</f>
        <v>105</v>
      </c>
      <c r="J221" s="36">
        <f t="shared" si="33"/>
        <v>253.05</v>
      </c>
    </row>
    <row r="222" spans="2:10" ht="15.6" hidden="1" x14ac:dyDescent="0.25">
      <c r="B222" s="59"/>
      <c r="C222" s="65" t="s">
        <v>1032</v>
      </c>
      <c r="D222" s="61" t="s">
        <v>2</v>
      </c>
      <c r="E222" s="62">
        <f t="shared" si="31"/>
        <v>2.41</v>
      </c>
      <c r="F222" s="63">
        <f>'Прайс для расчета'!E204</f>
        <v>892.5</v>
      </c>
      <c r="G222" s="64">
        <f t="shared" si="32"/>
        <v>2150.9250000000002</v>
      </c>
      <c r="I222" s="135">
        <f>'Прайс для расчета (М)'!E204</f>
        <v>446.25</v>
      </c>
      <c r="J222" s="36">
        <f t="shared" si="33"/>
        <v>1075.4625000000001</v>
      </c>
    </row>
    <row r="223" spans="2:10" ht="15.6" hidden="1" x14ac:dyDescent="0.25">
      <c r="B223" s="59"/>
      <c r="C223" s="65" t="s">
        <v>1030</v>
      </c>
      <c r="D223" s="61" t="s">
        <v>2</v>
      </c>
      <c r="E223" s="62">
        <f t="shared" si="31"/>
        <v>2.41</v>
      </c>
      <c r="F223" s="63">
        <f>'Прайс для расчета'!E205</f>
        <v>1102.5</v>
      </c>
      <c r="G223" s="64">
        <f t="shared" si="32"/>
        <v>2657.0250000000001</v>
      </c>
      <c r="I223" s="135">
        <f>'Прайс для расчета (М)'!E205</f>
        <v>551.25</v>
      </c>
      <c r="J223" s="36">
        <f t="shared" si="33"/>
        <v>1328.5125</v>
      </c>
    </row>
    <row r="224" spans="2:10" ht="15.6" hidden="1" x14ac:dyDescent="0.25">
      <c r="B224" s="59"/>
      <c r="C224" s="65" t="s">
        <v>1031</v>
      </c>
      <c r="D224" s="61" t="s">
        <v>2</v>
      </c>
      <c r="E224" s="62">
        <f t="shared" si="31"/>
        <v>2.41</v>
      </c>
      <c r="F224" s="63">
        <f>'Прайс для расчета'!E206</f>
        <v>892.5</v>
      </c>
      <c r="G224" s="64">
        <f t="shared" si="32"/>
        <v>2150.9250000000002</v>
      </c>
      <c r="I224" s="135">
        <f>'Прайс для расчета (М)'!E206</f>
        <v>446.25</v>
      </c>
      <c r="J224" s="36">
        <f t="shared" si="33"/>
        <v>1075.4625000000001</v>
      </c>
    </row>
    <row r="225" spans="2:10" ht="15.6" hidden="1" x14ac:dyDescent="0.25">
      <c r="B225" s="59"/>
      <c r="C225" s="65" t="s">
        <v>1106</v>
      </c>
      <c r="D225" s="61" t="s">
        <v>3</v>
      </c>
      <c r="E225" s="62">
        <f t="shared" si="31"/>
        <v>2.41</v>
      </c>
      <c r="F225" s="63">
        <f>'Прайс для расчета'!E207</f>
        <v>210</v>
      </c>
      <c r="G225" s="64">
        <f t="shared" si="32"/>
        <v>506.1</v>
      </c>
      <c r="I225" s="135">
        <f>'Прайс для расчета (М)'!E207</f>
        <v>105</v>
      </c>
      <c r="J225" s="36">
        <f t="shared" si="33"/>
        <v>253.05</v>
      </c>
    </row>
    <row r="226" spans="2:10" ht="15.6" hidden="1" x14ac:dyDescent="0.25">
      <c r="B226" s="59"/>
      <c r="C226" s="202" t="s">
        <v>1009</v>
      </c>
      <c r="D226" s="61" t="s">
        <v>2</v>
      </c>
      <c r="E226" s="62">
        <f t="shared" si="31"/>
        <v>2.41</v>
      </c>
      <c r="F226" s="63">
        <f>'Прайс для расчета'!E208</f>
        <v>3097.5</v>
      </c>
      <c r="G226" s="64">
        <f t="shared" si="32"/>
        <v>7464.9750000000004</v>
      </c>
      <c r="I226" s="135">
        <f>'Прайс для расчета (М)'!E208</f>
        <v>1548.75</v>
      </c>
      <c r="J226" s="36">
        <f t="shared" si="33"/>
        <v>3732.4875000000002</v>
      </c>
    </row>
    <row r="227" spans="2:10" ht="15.6" hidden="1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2"/>
        <v>240.05099999999999</v>
      </c>
      <c r="I227" s="135">
        <f>'Прайс для расчета (М)'!E209</f>
        <v>120.02549999999999</v>
      </c>
      <c r="J227" s="36">
        <f t="shared" si="33"/>
        <v>120.02549999999999</v>
      </c>
    </row>
    <row r="228" spans="2:10" ht="15.6" hidden="1" x14ac:dyDescent="0.25">
      <c r="B228" s="59"/>
      <c r="C228" s="65" t="s">
        <v>401</v>
      </c>
      <c r="D228" s="61" t="s">
        <v>3</v>
      </c>
      <c r="E228" s="62">
        <f>ROUND($A$4*1.25,0)</f>
        <v>3</v>
      </c>
      <c r="F228" s="63">
        <f>'Прайс для расчета'!E210</f>
        <v>164.01</v>
      </c>
      <c r="G228" s="64">
        <f t="shared" si="32"/>
        <v>492.03</v>
      </c>
      <c r="I228" s="135">
        <f>'Прайс для расчета (М)'!E210</f>
        <v>82.004999999999995</v>
      </c>
      <c r="J228" s="36">
        <f t="shared" si="33"/>
        <v>246.01499999999999</v>
      </c>
    </row>
    <row r="229" spans="2:10" ht="15.6" hidden="1" x14ac:dyDescent="0.25">
      <c r="B229" s="59"/>
      <c r="C229" s="65" t="s">
        <v>675</v>
      </c>
      <c r="D229" s="61" t="s">
        <v>2</v>
      </c>
      <c r="E229" s="62">
        <f t="shared" ref="E229:E238" si="34">$A$4</f>
        <v>2.41</v>
      </c>
      <c r="F229" s="63">
        <f>'Прайс для расчета'!E211</f>
        <v>477.12</v>
      </c>
      <c r="G229" s="64">
        <f t="shared" si="32"/>
        <v>1149.8592000000001</v>
      </c>
      <c r="I229" s="135">
        <f>'Прайс для расчета (М)'!E211</f>
        <v>238.56</v>
      </c>
      <c r="J229" s="36">
        <f t="shared" si="33"/>
        <v>574.92960000000005</v>
      </c>
    </row>
    <row r="230" spans="2:10" ht="15.6" hidden="1" x14ac:dyDescent="0.25">
      <c r="B230" s="59"/>
      <c r="C230" s="65" t="s">
        <v>1023</v>
      </c>
      <c r="D230" s="61" t="s">
        <v>2</v>
      </c>
      <c r="E230" s="62">
        <f t="shared" si="34"/>
        <v>2.41</v>
      </c>
      <c r="F230" s="63">
        <f>'Прайс для расчета'!E212</f>
        <v>124.95</v>
      </c>
      <c r="G230" s="64">
        <f t="shared" si="32"/>
        <v>301.12950000000001</v>
      </c>
      <c r="I230" s="135">
        <f>'Прайс для расчета (М)'!E212</f>
        <v>62.475000000000001</v>
      </c>
      <c r="J230" s="36">
        <f t="shared" si="33"/>
        <v>150.56475</v>
      </c>
    </row>
    <row r="231" spans="2:10" ht="15.6" hidden="1" x14ac:dyDescent="0.25">
      <c r="B231" s="59"/>
      <c r="C231" s="65" t="s">
        <v>1132</v>
      </c>
      <c r="D231" s="61" t="s">
        <v>2</v>
      </c>
      <c r="E231" s="62">
        <f t="shared" si="34"/>
        <v>2.41</v>
      </c>
      <c r="F231" s="63">
        <f>'Прайс для расчета'!E213</f>
        <v>199.5</v>
      </c>
      <c r="G231" s="64">
        <f t="shared" si="32"/>
        <v>480.79500000000002</v>
      </c>
      <c r="I231" s="135">
        <f>'Прайс для расчета (М)'!E213</f>
        <v>99.75</v>
      </c>
      <c r="J231" s="36">
        <f t="shared" si="33"/>
        <v>240.39750000000001</v>
      </c>
    </row>
    <row r="232" spans="2:10" ht="15.6" hidden="1" x14ac:dyDescent="0.25">
      <c r="B232" s="59"/>
      <c r="C232" s="65" t="s">
        <v>676</v>
      </c>
      <c r="D232" s="61" t="s">
        <v>2</v>
      </c>
      <c r="E232" s="62">
        <f t="shared" si="34"/>
        <v>2.41</v>
      </c>
      <c r="F232" s="63">
        <f>'Прайс для расчета'!E214</f>
        <v>299.25</v>
      </c>
      <c r="G232" s="64">
        <f t="shared" si="32"/>
        <v>721.1925</v>
      </c>
      <c r="I232" s="135">
        <f>'Прайс для расчета (М)'!E214</f>
        <v>149.625</v>
      </c>
      <c r="J232" s="36">
        <f t="shared" si="33"/>
        <v>360.59625</v>
      </c>
    </row>
    <row r="233" spans="2:10" ht="15.6" hidden="1" x14ac:dyDescent="0.25">
      <c r="B233" s="59"/>
      <c r="C233" s="65" t="s">
        <v>403</v>
      </c>
      <c r="D233" s="61" t="s">
        <v>647</v>
      </c>
      <c r="E233" s="62">
        <f t="shared" si="34"/>
        <v>2.41</v>
      </c>
      <c r="F233" s="63">
        <f>'Прайс для расчета'!E215</f>
        <v>236.25</v>
      </c>
      <c r="G233" s="64">
        <f t="shared" si="32"/>
        <v>569.36250000000007</v>
      </c>
      <c r="I233" s="135">
        <f>'Прайс для расчета (М)'!E215</f>
        <v>118.125</v>
      </c>
      <c r="J233" s="36">
        <f t="shared" si="33"/>
        <v>284.68125000000003</v>
      </c>
    </row>
    <row r="234" spans="2:10" ht="15.6" hidden="1" x14ac:dyDescent="0.25">
      <c r="B234" s="59"/>
      <c r="C234" s="65" t="s">
        <v>1035</v>
      </c>
      <c r="D234" s="61" t="s">
        <v>2</v>
      </c>
      <c r="E234" s="62">
        <f t="shared" si="34"/>
        <v>2.41</v>
      </c>
      <c r="F234" s="63">
        <f>'Прайс для расчета'!E216</f>
        <v>624.75</v>
      </c>
      <c r="G234" s="64">
        <f t="shared" si="32"/>
        <v>1505.6475</v>
      </c>
      <c r="I234" s="135">
        <f>'Прайс для расчета (М)'!E216</f>
        <v>312.375</v>
      </c>
      <c r="J234" s="36">
        <f t="shared" si="33"/>
        <v>752.82375000000002</v>
      </c>
    </row>
    <row r="235" spans="2:10" ht="15.6" hidden="1" x14ac:dyDescent="0.25">
      <c r="B235" s="59"/>
      <c r="C235" s="65" t="s">
        <v>1041</v>
      </c>
      <c r="D235" s="61" t="s">
        <v>2</v>
      </c>
      <c r="E235" s="62">
        <f t="shared" si="34"/>
        <v>2.41</v>
      </c>
      <c r="F235" s="63">
        <f>'Прайс для расчета'!E217</f>
        <v>787.5</v>
      </c>
      <c r="G235" s="64">
        <f t="shared" si="32"/>
        <v>1897.875</v>
      </c>
      <c r="I235" s="135">
        <f>'Прайс для расчета (М)'!E217</f>
        <v>393.75</v>
      </c>
      <c r="J235" s="36">
        <f t="shared" si="33"/>
        <v>948.9375</v>
      </c>
    </row>
    <row r="236" spans="2:10" ht="15.6" hidden="1" x14ac:dyDescent="0.25">
      <c r="B236" s="59"/>
      <c r="C236" s="69" t="s">
        <v>1137</v>
      </c>
      <c r="D236" s="61" t="s">
        <v>2</v>
      </c>
      <c r="E236" s="62">
        <f t="shared" si="34"/>
        <v>2.41</v>
      </c>
      <c r="F236" s="63">
        <f>'Прайс для расчета'!E218</f>
        <v>1207.5</v>
      </c>
      <c r="G236" s="64">
        <f t="shared" si="32"/>
        <v>2910.0750000000003</v>
      </c>
      <c r="I236" s="135">
        <f>'Прайс для расчета (М)'!E218</f>
        <v>603.75</v>
      </c>
      <c r="J236" s="36">
        <f t="shared" si="33"/>
        <v>1455.0375000000001</v>
      </c>
    </row>
    <row r="237" spans="2:10" ht="15.6" hidden="1" x14ac:dyDescent="0.25">
      <c r="B237" s="59"/>
      <c r="C237" s="69" t="s">
        <v>1139</v>
      </c>
      <c r="D237" s="61" t="s">
        <v>2</v>
      </c>
      <c r="E237" s="62">
        <f t="shared" si="34"/>
        <v>2.41</v>
      </c>
      <c r="F237" s="63">
        <f>'Прайс для расчета'!E219</f>
        <v>262.5</v>
      </c>
      <c r="G237" s="64">
        <f t="shared" si="32"/>
        <v>632.625</v>
      </c>
      <c r="I237" s="135">
        <f>'Прайс для расчета (М)'!E219</f>
        <v>131.25</v>
      </c>
      <c r="J237" s="36">
        <f t="shared" si="33"/>
        <v>316.3125</v>
      </c>
    </row>
    <row r="238" spans="2:10" ht="15.6" hidden="1" x14ac:dyDescent="0.25">
      <c r="B238" s="59"/>
      <c r="C238" s="69" t="s">
        <v>1142</v>
      </c>
      <c r="D238" s="61" t="s">
        <v>2</v>
      </c>
      <c r="E238" s="62">
        <f t="shared" si="34"/>
        <v>2.41</v>
      </c>
      <c r="F238" s="63">
        <f>'Прайс для расчета'!E220</f>
        <v>997.5</v>
      </c>
      <c r="G238" s="64">
        <f t="shared" si="32"/>
        <v>2403.9750000000004</v>
      </c>
      <c r="I238" s="135">
        <f>'Прайс для расчета (М)'!E220</f>
        <v>498.75</v>
      </c>
      <c r="J238" s="36">
        <f t="shared" si="33"/>
        <v>1201.9875000000002</v>
      </c>
    </row>
    <row r="239" spans="2:10" ht="15.6" hidden="1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2"/>
        <v>735</v>
      </c>
      <c r="I239" s="135">
        <f>'Прайс для расчета (М)'!E221</f>
        <v>367.5</v>
      </c>
      <c r="J239" s="36">
        <f t="shared" si="33"/>
        <v>367.5</v>
      </c>
    </row>
    <row r="240" spans="2:10" ht="15.6" hidden="1" x14ac:dyDescent="0.25">
      <c r="B240" s="59"/>
      <c r="C240" s="65" t="s">
        <v>1000</v>
      </c>
      <c r="D240" s="61" t="s">
        <v>2</v>
      </c>
      <c r="E240" s="62">
        <f>$A$4</f>
        <v>2.41</v>
      </c>
      <c r="F240" s="63">
        <f>'Прайс для расчета'!E222</f>
        <v>105</v>
      </c>
      <c r="G240" s="64">
        <f t="shared" si="32"/>
        <v>253.05</v>
      </c>
      <c r="I240" s="135">
        <f>'Прайс для расчета (М)'!E222</f>
        <v>52.5</v>
      </c>
      <c r="J240" s="36">
        <f t="shared" si="33"/>
        <v>126.52500000000001</v>
      </c>
    </row>
    <row r="241" spans="2:10" ht="15.6" hidden="1" x14ac:dyDescent="0.25">
      <c r="B241" s="59"/>
      <c r="C241" s="65" t="s">
        <v>153</v>
      </c>
      <c r="D241" s="61" t="s">
        <v>2</v>
      </c>
      <c r="E241" s="62">
        <f>$A$4</f>
        <v>2.41</v>
      </c>
      <c r="F241" s="63">
        <f>'Прайс для расчета'!E223</f>
        <v>292.95</v>
      </c>
      <c r="G241" s="64">
        <f t="shared" si="32"/>
        <v>706.0095</v>
      </c>
      <c r="I241" s="135">
        <f>'Прайс для расчета (М)'!E223</f>
        <v>146.47499999999999</v>
      </c>
      <c r="J241" s="36">
        <f t="shared" si="33"/>
        <v>353.00475</v>
      </c>
    </row>
    <row r="242" spans="2:10" ht="15.6" hidden="1" x14ac:dyDescent="0.25">
      <c r="B242" s="59"/>
      <c r="C242" s="65" t="s">
        <v>1027</v>
      </c>
      <c r="D242" s="61" t="s">
        <v>2</v>
      </c>
      <c r="E242" s="62">
        <f>$A$4</f>
        <v>2.41</v>
      </c>
      <c r="F242" s="63">
        <f>'Прайс для расчета'!E224</f>
        <v>719.25</v>
      </c>
      <c r="G242" s="64">
        <f t="shared" si="32"/>
        <v>1733.3925000000002</v>
      </c>
      <c r="I242" s="135">
        <f>'Прайс для расчета (М)'!E224</f>
        <v>359.625</v>
      </c>
      <c r="J242" s="36">
        <f t="shared" si="33"/>
        <v>866.69625000000008</v>
      </c>
    </row>
    <row r="243" spans="2:10" ht="15.6" hidden="1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2"/>
        <v>2299.5</v>
      </c>
      <c r="I243" s="135">
        <f>'Прайс для расчета (М)'!E225</f>
        <v>1149.75</v>
      </c>
      <c r="J243" s="36">
        <f t="shared" si="33"/>
        <v>1149.75</v>
      </c>
    </row>
    <row r="244" spans="2:10" ht="15.6" hidden="1" x14ac:dyDescent="0.25">
      <c r="B244" s="59"/>
      <c r="C244" s="65" t="s">
        <v>1050</v>
      </c>
      <c r="D244" s="61" t="s">
        <v>2</v>
      </c>
      <c r="E244" s="62">
        <f>$A$4</f>
        <v>2.41</v>
      </c>
      <c r="F244" s="63">
        <f>'Прайс для расчета'!E226</f>
        <v>1942.5</v>
      </c>
      <c r="G244" s="64">
        <f t="shared" si="32"/>
        <v>4681.4250000000002</v>
      </c>
      <c r="I244" s="135">
        <f>'Прайс для расчета (М)'!E226</f>
        <v>971.25</v>
      </c>
      <c r="J244" s="36">
        <f t="shared" si="33"/>
        <v>2340.7125000000001</v>
      </c>
    </row>
    <row r="245" spans="2:10" ht="15.6" hidden="1" x14ac:dyDescent="0.25">
      <c r="B245" s="59"/>
      <c r="C245" s="65" t="s">
        <v>1049</v>
      </c>
      <c r="D245" s="61" t="s">
        <v>2</v>
      </c>
      <c r="E245" s="62">
        <f>$A$4</f>
        <v>2.41</v>
      </c>
      <c r="F245" s="63">
        <f>'Прайс для расчета'!E227</f>
        <v>2047.5</v>
      </c>
      <c r="G245" s="64">
        <f t="shared" si="32"/>
        <v>4934.4750000000004</v>
      </c>
      <c r="I245" s="135">
        <f>'Прайс для расчета (М)'!E227</f>
        <v>1023.75</v>
      </c>
      <c r="J245" s="36">
        <f t="shared" si="33"/>
        <v>2467.2375000000002</v>
      </c>
    </row>
    <row r="246" spans="2:10" ht="15.6" hidden="1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2"/>
        <v>2467.5</v>
      </c>
      <c r="I246" s="135">
        <f>'Прайс для расчета (М)'!E228</f>
        <v>1233.75</v>
      </c>
      <c r="J246" s="36">
        <f t="shared" si="33"/>
        <v>1233.75</v>
      </c>
    </row>
    <row r="247" spans="2:10" ht="15.6" hidden="1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2"/>
        <v>2677.5</v>
      </c>
      <c r="I247" s="135">
        <f>'Прайс для расчета (М)'!E229</f>
        <v>1338.75</v>
      </c>
      <c r="J247" s="36">
        <f t="shared" si="33"/>
        <v>1338.75</v>
      </c>
    </row>
    <row r="248" spans="2:10" ht="15.6" x14ac:dyDescent="0.25">
      <c r="B248" s="110">
        <f>IF(SUM(B139:B247)&gt;0,1,0)</f>
        <v>1</v>
      </c>
      <c r="C248" s="266" t="s">
        <v>514</v>
      </c>
      <c r="D248" s="266"/>
      <c r="E248" s="266"/>
      <c r="F248" s="266"/>
      <c r="G248" s="157" t="e">
        <f>SUMIF(B140:B247,1,G140:G247)</f>
        <v>#REF!</v>
      </c>
      <c r="J248" s="36" t="e">
        <f>SUMIF(B140:B247,1,J140:J247)</f>
        <v>#REF!</v>
      </c>
    </row>
    <row r="249" spans="2:10" ht="15.6" x14ac:dyDescent="0.25">
      <c r="B249" s="153">
        <f>IF(SUM(B250:B361)&gt;0,1,0)</f>
        <v>1</v>
      </c>
      <c r="C249" s="164" t="s">
        <v>1152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1</v>
      </c>
      <c r="C250" s="67" t="s">
        <v>877</v>
      </c>
      <c r="D250" s="61"/>
      <c r="E250" s="62"/>
      <c r="F250" s="63"/>
      <c r="G250" s="64"/>
    </row>
    <row r="251" spans="2:10" ht="15.6" hidden="1" x14ac:dyDescent="0.3">
      <c r="B251" s="59"/>
      <c r="C251" s="78" t="s">
        <v>933</v>
      </c>
      <c r="D251" s="74" t="s">
        <v>2</v>
      </c>
      <c r="E251" s="62">
        <f>$A$4</f>
        <v>2.41</v>
      </c>
      <c r="F251" s="63">
        <f>'Прайс для расчета'!E230</f>
        <v>2518.9500000000003</v>
      </c>
      <c r="G251" s="64">
        <f t="shared" ref="G251:G286" si="35">F251*E251</f>
        <v>6070.6695000000009</v>
      </c>
      <c r="I251" s="135">
        <f>'Прайс для расчета (М)'!E230</f>
        <v>1259.4750000000001</v>
      </c>
      <c r="J251" s="36">
        <f t="shared" ref="J251:J286" si="36">I251*E251</f>
        <v>3035.3347500000004</v>
      </c>
    </row>
    <row r="252" spans="2:10" ht="15.6" hidden="1" x14ac:dyDescent="0.3">
      <c r="B252" s="59"/>
      <c r="C252" s="78" t="s">
        <v>233</v>
      </c>
      <c r="D252" s="74" t="s">
        <v>3</v>
      </c>
      <c r="E252" s="62">
        <f t="shared" ref="E252:E267" si="37">$A$4</f>
        <v>2.41</v>
      </c>
      <c r="F252" s="63">
        <f>'Прайс для расчета'!E231</f>
        <v>509.25</v>
      </c>
      <c r="G252" s="64">
        <f t="shared" si="35"/>
        <v>1227.2925</v>
      </c>
      <c r="I252" s="135">
        <f>'Прайс для расчета (М)'!E231</f>
        <v>254.625</v>
      </c>
      <c r="J252" s="36">
        <f t="shared" si="36"/>
        <v>613.64625000000001</v>
      </c>
    </row>
    <row r="253" spans="2:10" ht="15.6" hidden="1" x14ac:dyDescent="0.3">
      <c r="B253" s="59"/>
      <c r="C253" s="78" t="s">
        <v>409</v>
      </c>
      <c r="D253" s="74" t="s">
        <v>2</v>
      </c>
      <c r="E253" s="62">
        <f t="shared" si="37"/>
        <v>2.41</v>
      </c>
      <c r="F253" s="63">
        <f>'Прайс для расчета'!E232</f>
        <v>2718.4500000000003</v>
      </c>
      <c r="G253" s="64">
        <f t="shared" si="35"/>
        <v>6551.464500000001</v>
      </c>
      <c r="I253" s="135">
        <f>'Прайс для расчета (М)'!E232</f>
        <v>1359.2250000000001</v>
      </c>
      <c r="J253" s="36">
        <f t="shared" si="36"/>
        <v>3275.7322500000005</v>
      </c>
    </row>
    <row r="254" spans="2:10" ht="15.6" hidden="1" x14ac:dyDescent="0.3">
      <c r="B254" s="59"/>
      <c r="C254" s="78" t="s">
        <v>1059</v>
      </c>
      <c r="D254" s="74" t="s">
        <v>2</v>
      </c>
      <c r="E254" s="62">
        <f t="shared" si="37"/>
        <v>2.41</v>
      </c>
      <c r="F254" s="63">
        <f>'Прайс для расчета'!E233</f>
        <v>1260</v>
      </c>
      <c r="G254" s="64">
        <f t="shared" si="35"/>
        <v>3036.6000000000004</v>
      </c>
      <c r="I254" s="135">
        <f>'Прайс для расчета (М)'!E233</f>
        <v>630</v>
      </c>
      <c r="J254" s="36">
        <f t="shared" si="36"/>
        <v>1518.3000000000002</v>
      </c>
    </row>
    <row r="255" spans="2:10" ht="15.6" hidden="1" x14ac:dyDescent="0.3">
      <c r="B255" s="59"/>
      <c r="C255" s="78" t="s">
        <v>411</v>
      </c>
      <c r="D255" s="74" t="s">
        <v>2</v>
      </c>
      <c r="E255" s="62">
        <f t="shared" si="37"/>
        <v>2.41</v>
      </c>
      <c r="F255" s="63">
        <f>'Прайс для расчета'!E234</f>
        <v>3033.4500000000003</v>
      </c>
      <c r="G255" s="64">
        <f t="shared" si="35"/>
        <v>7310.6145000000015</v>
      </c>
      <c r="I255" s="135">
        <f>'Прайс для расчета (М)'!E234</f>
        <v>1516.7250000000001</v>
      </c>
      <c r="J255" s="36">
        <f t="shared" si="36"/>
        <v>3655.3072500000007</v>
      </c>
    </row>
    <row r="256" spans="2:10" ht="15.6" hidden="1" x14ac:dyDescent="0.3">
      <c r="B256" s="59"/>
      <c r="C256" s="78" t="s">
        <v>1062</v>
      </c>
      <c r="D256" s="74" t="s">
        <v>3</v>
      </c>
      <c r="E256" s="62">
        <f t="shared" si="37"/>
        <v>2.41</v>
      </c>
      <c r="F256" s="63">
        <f>'Прайс для расчета'!E235</f>
        <v>971.25</v>
      </c>
      <c r="G256" s="64">
        <f t="shared" si="35"/>
        <v>2340.7125000000001</v>
      </c>
      <c r="I256" s="135">
        <f>'Прайс для расчета (М)'!E235</f>
        <v>485.625</v>
      </c>
      <c r="J256" s="36">
        <f t="shared" si="36"/>
        <v>1170.35625</v>
      </c>
    </row>
    <row r="257" spans="2:10" ht="15.6" hidden="1" x14ac:dyDescent="0.3">
      <c r="B257" s="59"/>
      <c r="C257" s="78" t="s">
        <v>923</v>
      </c>
      <c r="D257" s="74" t="s">
        <v>2</v>
      </c>
      <c r="E257" s="62">
        <f t="shared" si="37"/>
        <v>2.41</v>
      </c>
      <c r="F257" s="63">
        <f>'Прайс для расчета'!E236</f>
        <v>3412.5</v>
      </c>
      <c r="G257" s="64">
        <f t="shared" si="35"/>
        <v>8224.125</v>
      </c>
      <c r="I257" s="135">
        <f>'Прайс для расчета (М)'!E236</f>
        <v>1706.25</v>
      </c>
      <c r="J257" s="36">
        <f t="shared" si="36"/>
        <v>4112.0625</v>
      </c>
    </row>
    <row r="258" spans="2:10" ht="15.6" hidden="1" x14ac:dyDescent="0.3">
      <c r="B258" s="59"/>
      <c r="C258" s="78" t="s">
        <v>988</v>
      </c>
      <c r="D258" s="74" t="s">
        <v>2</v>
      </c>
      <c r="E258" s="62">
        <f t="shared" si="37"/>
        <v>2.41</v>
      </c>
      <c r="F258" s="63">
        <f>'Прайс для расчета'!E237</f>
        <v>2938.9500000000003</v>
      </c>
      <c r="G258" s="64">
        <f t="shared" si="35"/>
        <v>7082.8695000000007</v>
      </c>
      <c r="I258" s="135">
        <f>'Прайс для расчета (М)'!E237</f>
        <v>1469.4750000000001</v>
      </c>
      <c r="J258" s="36">
        <f t="shared" si="36"/>
        <v>3541.4347500000003</v>
      </c>
    </row>
    <row r="259" spans="2:10" ht="15.6" hidden="1" x14ac:dyDescent="0.3">
      <c r="B259" s="59"/>
      <c r="C259" s="78" t="s">
        <v>922</v>
      </c>
      <c r="D259" s="74" t="s">
        <v>2</v>
      </c>
      <c r="E259" s="62">
        <f t="shared" si="37"/>
        <v>2.41</v>
      </c>
      <c r="F259" s="63">
        <f>'Прайс для расчета'!E238</f>
        <v>3097.5</v>
      </c>
      <c r="G259" s="64">
        <f t="shared" si="35"/>
        <v>7464.9750000000004</v>
      </c>
      <c r="I259" s="135">
        <f>'Прайс для расчета (М)'!E238</f>
        <v>1548.75</v>
      </c>
      <c r="J259" s="36">
        <f t="shared" si="36"/>
        <v>3732.4875000000002</v>
      </c>
    </row>
    <row r="260" spans="2:10" ht="15.6" x14ac:dyDescent="0.3">
      <c r="B260" s="59">
        <v>1</v>
      </c>
      <c r="C260" s="78" t="s">
        <v>989</v>
      </c>
      <c r="D260" s="74" t="s">
        <v>2</v>
      </c>
      <c r="E260" s="62">
        <f t="shared" si="37"/>
        <v>2.41</v>
      </c>
      <c r="F260" s="63">
        <f>'Прайс для расчета'!E239</f>
        <v>3717</v>
      </c>
      <c r="G260" s="64">
        <f t="shared" si="35"/>
        <v>8957.9700000000012</v>
      </c>
      <c r="I260" s="135">
        <f>'Прайс для расчета (М)'!E239</f>
        <v>1858.5</v>
      </c>
      <c r="J260" s="36">
        <f t="shared" si="36"/>
        <v>4478.9850000000006</v>
      </c>
    </row>
    <row r="261" spans="2:10" ht="15.6" hidden="1" x14ac:dyDescent="0.3">
      <c r="B261" s="59"/>
      <c r="C261" s="78" t="s">
        <v>936</v>
      </c>
      <c r="D261" s="74" t="s">
        <v>2</v>
      </c>
      <c r="E261" s="62">
        <f t="shared" si="37"/>
        <v>2.41</v>
      </c>
      <c r="F261" s="63">
        <f>'Прайс для расчета'!E240</f>
        <v>6237</v>
      </c>
      <c r="G261" s="64">
        <f t="shared" si="35"/>
        <v>15031.17</v>
      </c>
      <c r="I261" s="135">
        <f>'Прайс для расчета (М)'!E240</f>
        <v>3118.5</v>
      </c>
      <c r="J261" s="36">
        <f t="shared" si="36"/>
        <v>7515.585</v>
      </c>
    </row>
    <row r="262" spans="2:10" ht="15.6" hidden="1" x14ac:dyDescent="0.3">
      <c r="B262" s="59"/>
      <c r="C262" s="78" t="s">
        <v>1065</v>
      </c>
      <c r="D262" s="74" t="s">
        <v>2</v>
      </c>
      <c r="E262" s="62">
        <f t="shared" si="37"/>
        <v>2.41</v>
      </c>
      <c r="F262" s="63">
        <f>'Прайс для расчета'!E241</f>
        <v>3622.5</v>
      </c>
      <c r="G262" s="64">
        <f t="shared" si="35"/>
        <v>8730.2250000000004</v>
      </c>
      <c r="I262" s="135">
        <f>'Прайс для расчета (М)'!E241</f>
        <v>1811.25</v>
      </c>
      <c r="J262" s="36">
        <f t="shared" si="36"/>
        <v>4365.1125000000002</v>
      </c>
    </row>
    <row r="263" spans="2:10" ht="15.6" hidden="1" x14ac:dyDescent="0.3">
      <c r="B263" s="59"/>
      <c r="C263" s="78" t="s">
        <v>1066</v>
      </c>
      <c r="D263" s="74" t="s">
        <v>2</v>
      </c>
      <c r="E263" s="62">
        <f t="shared" si="37"/>
        <v>2.41</v>
      </c>
      <c r="F263" s="63">
        <f>'Прайс для расчета'!E242</f>
        <v>5197.5</v>
      </c>
      <c r="G263" s="64">
        <f t="shared" si="35"/>
        <v>12525.975</v>
      </c>
      <c r="I263" s="135">
        <f>'Прайс для расчета (М)'!E242</f>
        <v>2598.75</v>
      </c>
      <c r="J263" s="36">
        <f t="shared" si="36"/>
        <v>6262.9875000000002</v>
      </c>
    </row>
    <row r="264" spans="2:10" ht="15.6" hidden="1" x14ac:dyDescent="0.3">
      <c r="B264" s="59"/>
      <c r="C264" s="78" t="s">
        <v>1067</v>
      </c>
      <c r="D264" s="74" t="s">
        <v>2</v>
      </c>
      <c r="E264" s="62">
        <f t="shared" si="37"/>
        <v>2.41</v>
      </c>
      <c r="F264" s="63">
        <f>'Прайс для расчета'!E243</f>
        <v>3097.5</v>
      </c>
      <c r="G264" s="64">
        <f t="shared" si="35"/>
        <v>7464.9750000000004</v>
      </c>
      <c r="I264" s="135">
        <f>'Прайс для расчета (М)'!E243</f>
        <v>1548.75</v>
      </c>
      <c r="J264" s="36">
        <f t="shared" si="36"/>
        <v>3732.4875000000002</v>
      </c>
    </row>
    <row r="265" spans="2:10" ht="15.6" x14ac:dyDescent="0.3">
      <c r="B265" s="59">
        <v>1</v>
      </c>
      <c r="C265" s="78" t="s">
        <v>412</v>
      </c>
      <c r="D265" s="74" t="s">
        <v>2</v>
      </c>
      <c r="E265" s="62">
        <f t="shared" si="37"/>
        <v>2.41</v>
      </c>
      <c r="F265" s="63">
        <f>'Прайс для расчета'!E244</f>
        <v>404.25</v>
      </c>
      <c r="G265" s="64">
        <f t="shared" si="35"/>
        <v>974.24250000000006</v>
      </c>
      <c r="I265" s="135">
        <f>'Прайс для расчета (М)'!E244</f>
        <v>202.125</v>
      </c>
      <c r="J265" s="36">
        <f t="shared" si="36"/>
        <v>487.12125000000003</v>
      </c>
    </row>
    <row r="266" spans="2:10" ht="15.6" hidden="1" x14ac:dyDescent="0.3">
      <c r="B266" s="59"/>
      <c r="C266" s="78" t="s">
        <v>937</v>
      </c>
      <c r="D266" s="74" t="s">
        <v>2</v>
      </c>
      <c r="E266" s="62">
        <f t="shared" si="37"/>
        <v>2.41</v>
      </c>
      <c r="F266" s="63">
        <f>'Прайс для расчета'!E245</f>
        <v>1244.25</v>
      </c>
      <c r="G266" s="64">
        <f t="shared" si="35"/>
        <v>2998.6425000000004</v>
      </c>
      <c r="I266" s="135">
        <f>'Прайс для расчета (М)'!E245</f>
        <v>622.125</v>
      </c>
      <c r="J266" s="36">
        <f t="shared" si="36"/>
        <v>1499.3212500000002</v>
      </c>
    </row>
    <row r="267" spans="2:10" ht="15.6" hidden="1" x14ac:dyDescent="0.3">
      <c r="B267" s="59"/>
      <c r="C267" s="78" t="s">
        <v>938</v>
      </c>
      <c r="D267" s="74" t="s">
        <v>2</v>
      </c>
      <c r="E267" s="62">
        <f t="shared" si="37"/>
        <v>2.41</v>
      </c>
      <c r="F267" s="63">
        <f>'Прайс для расчета'!E246</f>
        <v>929.25</v>
      </c>
      <c r="G267" s="64">
        <f t="shared" si="35"/>
        <v>2239.4925000000003</v>
      </c>
      <c r="I267" s="135">
        <f>'Прайс для расчета (М)'!E246</f>
        <v>464.625</v>
      </c>
      <c r="J267" s="36">
        <f t="shared" si="36"/>
        <v>1119.7462500000001</v>
      </c>
    </row>
    <row r="268" spans="2:10" ht="15.6" x14ac:dyDescent="0.3">
      <c r="B268" s="59">
        <v>1</v>
      </c>
      <c r="C268" s="78" t="s">
        <v>677</v>
      </c>
      <c r="D268" s="74" t="s">
        <v>646</v>
      </c>
      <c r="E268" s="62">
        <f>ROUND(E262/2,0)</f>
        <v>1</v>
      </c>
      <c r="F268" s="63">
        <f>'Прайс для расчета'!E247</f>
        <v>572.25</v>
      </c>
      <c r="G268" s="64">
        <f t="shared" si="35"/>
        <v>572.25</v>
      </c>
      <c r="I268" s="135">
        <f>'Прайс для расчета (М)'!E247</f>
        <v>286.125</v>
      </c>
      <c r="J268" s="36">
        <f t="shared" si="36"/>
        <v>286.125</v>
      </c>
    </row>
    <row r="269" spans="2:10" ht="15.6" hidden="1" x14ac:dyDescent="0.3">
      <c r="B269" s="59"/>
      <c r="C269" s="78" t="s">
        <v>413</v>
      </c>
      <c r="D269" s="74" t="s">
        <v>646</v>
      </c>
      <c r="E269" s="62">
        <f>$A$2</f>
        <v>6.25</v>
      </c>
      <c r="F269" s="63">
        <f>'Прайс для расчета'!E248</f>
        <v>1023.75</v>
      </c>
      <c r="G269" s="64">
        <f t="shared" si="35"/>
        <v>6398.4375</v>
      </c>
      <c r="I269" s="135">
        <f>'Прайс для расчета (М)'!E248</f>
        <v>511.875</v>
      </c>
      <c r="J269" s="36">
        <f t="shared" si="36"/>
        <v>3199.21875</v>
      </c>
    </row>
    <row r="270" spans="2:10" ht="15.6" hidden="1" x14ac:dyDescent="0.25">
      <c r="B270" s="59"/>
      <c r="C270" s="69" t="s">
        <v>414</v>
      </c>
      <c r="D270" s="61" t="s">
        <v>2</v>
      </c>
      <c r="E270" s="62">
        <f t="shared" ref="E270:E280" si="38">$A$4</f>
        <v>2.41</v>
      </c>
      <c r="F270" s="63">
        <f>'Прайс для расчета'!E249</f>
        <v>715.68</v>
      </c>
      <c r="G270" s="64">
        <f t="shared" si="35"/>
        <v>1724.7888</v>
      </c>
      <c r="I270" s="135">
        <f>'Прайс для расчета (М)'!E249</f>
        <v>357.84</v>
      </c>
      <c r="J270" s="36">
        <f t="shared" si="36"/>
        <v>862.39440000000002</v>
      </c>
    </row>
    <row r="271" spans="2:10" ht="15.6" hidden="1" x14ac:dyDescent="0.25">
      <c r="B271" s="59"/>
      <c r="C271" s="69" t="s">
        <v>145</v>
      </c>
      <c r="D271" s="61" t="s">
        <v>2</v>
      </c>
      <c r="E271" s="62">
        <f t="shared" si="38"/>
        <v>2.41</v>
      </c>
      <c r="F271" s="63">
        <f>'Прайс для расчета'!E250</f>
        <v>819</v>
      </c>
      <c r="G271" s="64">
        <f t="shared" si="35"/>
        <v>1973.7900000000002</v>
      </c>
      <c r="I271" s="135">
        <f>'Прайс для расчета (М)'!E250</f>
        <v>409.5</v>
      </c>
      <c r="J271" s="36">
        <f t="shared" si="36"/>
        <v>986.8950000000001</v>
      </c>
    </row>
    <row r="272" spans="2:10" ht="15.6" hidden="1" x14ac:dyDescent="0.25">
      <c r="B272" s="59"/>
      <c r="C272" s="69" t="s">
        <v>1072</v>
      </c>
      <c r="D272" s="61" t="s">
        <v>2</v>
      </c>
      <c r="E272" s="62">
        <f t="shared" si="38"/>
        <v>2.41</v>
      </c>
      <c r="F272" s="63">
        <f>'Прайс для расчета'!E251</f>
        <v>876.75</v>
      </c>
      <c r="G272" s="64">
        <f t="shared" si="35"/>
        <v>2112.9675000000002</v>
      </c>
      <c r="I272" s="135">
        <f>'Прайс для расчета (М)'!E251</f>
        <v>438.375</v>
      </c>
      <c r="J272" s="36">
        <f t="shared" si="36"/>
        <v>1056.4837500000001</v>
      </c>
    </row>
    <row r="273" spans="2:10" ht="15.6" hidden="1" x14ac:dyDescent="0.25">
      <c r="B273" s="59"/>
      <c r="C273" s="69" t="s">
        <v>1073</v>
      </c>
      <c r="D273" s="61" t="s">
        <v>2</v>
      </c>
      <c r="E273" s="62">
        <f t="shared" si="38"/>
        <v>2.41</v>
      </c>
      <c r="F273" s="63">
        <f>'Прайс для расчета'!E252</f>
        <v>1097.25</v>
      </c>
      <c r="G273" s="64">
        <f t="shared" si="35"/>
        <v>2644.3724999999999</v>
      </c>
      <c r="I273" s="135">
        <f>'Прайс для расчета (М)'!E252</f>
        <v>548.625</v>
      </c>
      <c r="J273" s="36">
        <f t="shared" si="36"/>
        <v>1322.18625</v>
      </c>
    </row>
    <row r="274" spans="2:10" ht="15.6" hidden="1" x14ac:dyDescent="0.25">
      <c r="B274" s="59"/>
      <c r="C274" s="69" t="s">
        <v>893</v>
      </c>
      <c r="D274" s="61" t="s">
        <v>2</v>
      </c>
      <c r="E274" s="62">
        <f t="shared" si="38"/>
        <v>2.41</v>
      </c>
      <c r="F274" s="63">
        <f>'Прайс для расчета'!E253</f>
        <v>299.25</v>
      </c>
      <c r="G274" s="64">
        <f t="shared" si="35"/>
        <v>721.1925</v>
      </c>
      <c r="I274" s="135">
        <f>'Прайс для расчета (М)'!E253</f>
        <v>149.625</v>
      </c>
      <c r="J274" s="36">
        <f t="shared" si="36"/>
        <v>360.59625</v>
      </c>
    </row>
    <row r="275" spans="2:10" ht="15.6" hidden="1" x14ac:dyDescent="0.25">
      <c r="B275" s="59"/>
      <c r="C275" s="69" t="s">
        <v>415</v>
      </c>
      <c r="D275" s="61" t="s">
        <v>2</v>
      </c>
      <c r="E275" s="62">
        <f t="shared" si="38"/>
        <v>2.41</v>
      </c>
      <c r="F275" s="63">
        <f>'Прайс для расчета'!E254</f>
        <v>1044.75</v>
      </c>
      <c r="G275" s="64">
        <f t="shared" si="35"/>
        <v>2517.8475000000003</v>
      </c>
      <c r="I275" s="135">
        <f>'Прайс для расчета (М)'!E254</f>
        <v>522.375</v>
      </c>
      <c r="J275" s="36">
        <f t="shared" si="36"/>
        <v>1258.9237500000002</v>
      </c>
    </row>
    <row r="276" spans="2:10" ht="15.6" hidden="1" x14ac:dyDescent="0.25">
      <c r="B276" s="59"/>
      <c r="C276" s="69" t="s">
        <v>519</v>
      </c>
      <c r="D276" s="61" t="s">
        <v>2</v>
      </c>
      <c r="E276" s="62">
        <f t="shared" si="38"/>
        <v>2.41</v>
      </c>
      <c r="F276" s="63">
        <f>'Прайс для расчета'!E255</f>
        <v>1401.75</v>
      </c>
      <c r="G276" s="64">
        <f t="shared" si="35"/>
        <v>3378.2175000000002</v>
      </c>
      <c r="I276" s="135">
        <f>'Прайс для расчета (М)'!E255</f>
        <v>700.875</v>
      </c>
      <c r="J276" s="36">
        <f t="shared" si="36"/>
        <v>1689.1087500000001</v>
      </c>
    </row>
    <row r="277" spans="2:10" ht="15.6" hidden="1" x14ac:dyDescent="0.25">
      <c r="B277" s="59"/>
      <c r="C277" s="69" t="s">
        <v>891</v>
      </c>
      <c r="D277" s="61" t="s">
        <v>2</v>
      </c>
      <c r="E277" s="62">
        <f t="shared" si="38"/>
        <v>2.41</v>
      </c>
      <c r="F277" s="63">
        <f>'Прайс для расчета'!E256</f>
        <v>2982</v>
      </c>
      <c r="G277" s="64">
        <f t="shared" si="35"/>
        <v>7186.6200000000008</v>
      </c>
      <c r="I277" s="135">
        <f>'Прайс для расчета (М)'!E256</f>
        <v>1491</v>
      </c>
      <c r="J277" s="36">
        <f t="shared" si="36"/>
        <v>3593.3100000000004</v>
      </c>
    </row>
    <row r="278" spans="2:10" ht="15.6" hidden="1" x14ac:dyDescent="0.25">
      <c r="B278" s="59"/>
      <c r="C278" s="69" t="s">
        <v>416</v>
      </c>
      <c r="D278" s="61" t="s">
        <v>2</v>
      </c>
      <c r="E278" s="62">
        <f t="shared" si="38"/>
        <v>2.41</v>
      </c>
      <c r="F278" s="63">
        <f>'Прайс для расчета'!E257</f>
        <v>1155</v>
      </c>
      <c r="G278" s="64">
        <f t="shared" si="35"/>
        <v>2783.55</v>
      </c>
      <c r="I278" s="135">
        <f>'Прайс для расчета (М)'!E257</f>
        <v>577.5</v>
      </c>
      <c r="J278" s="36">
        <f t="shared" si="36"/>
        <v>1391.7750000000001</v>
      </c>
    </row>
    <row r="279" spans="2:10" ht="15.6" hidden="1" x14ac:dyDescent="0.25">
      <c r="B279" s="59"/>
      <c r="C279" s="69" t="s">
        <v>149</v>
      </c>
      <c r="D279" s="61" t="s">
        <v>2</v>
      </c>
      <c r="E279" s="62">
        <f t="shared" si="38"/>
        <v>2.41</v>
      </c>
      <c r="F279" s="63">
        <f>'Прайс для расчета'!E258</f>
        <v>441</v>
      </c>
      <c r="G279" s="64">
        <f t="shared" si="35"/>
        <v>1062.8100000000002</v>
      </c>
      <c r="I279" s="135">
        <f>'Прайс для расчета (М)'!E258</f>
        <v>220.5</v>
      </c>
      <c r="J279" s="36">
        <f t="shared" si="36"/>
        <v>531.40500000000009</v>
      </c>
    </row>
    <row r="280" spans="2:10" ht="15.6" hidden="1" x14ac:dyDescent="0.25">
      <c r="B280" s="59"/>
      <c r="C280" s="69" t="s">
        <v>150</v>
      </c>
      <c r="D280" s="61" t="s">
        <v>2</v>
      </c>
      <c r="E280" s="62">
        <f t="shared" si="38"/>
        <v>2.41</v>
      </c>
      <c r="F280" s="63">
        <f>'Прайс для расчета'!E259</f>
        <v>514.5</v>
      </c>
      <c r="G280" s="64">
        <f t="shared" si="35"/>
        <v>1239.9450000000002</v>
      </c>
      <c r="I280" s="135">
        <f>'Прайс для расчета (М)'!E259</f>
        <v>257.25</v>
      </c>
      <c r="J280" s="36">
        <f t="shared" si="36"/>
        <v>619.97250000000008</v>
      </c>
    </row>
    <row r="281" spans="2:10" ht="15.6" x14ac:dyDescent="0.25">
      <c r="B281" s="59">
        <v>1</v>
      </c>
      <c r="C281" s="69" t="s">
        <v>1167</v>
      </c>
      <c r="D281" s="61" t="s">
        <v>3</v>
      </c>
      <c r="E281" s="62">
        <v>1.1000000000000001</v>
      </c>
      <c r="F281" s="63">
        <v>445</v>
      </c>
      <c r="G281" s="64">
        <f t="shared" si="35"/>
        <v>489.50000000000006</v>
      </c>
      <c r="I281" s="135">
        <f>'Прайс для расчета (М)'!E260</f>
        <v>112.35000000000001</v>
      </c>
      <c r="J281" s="36">
        <f t="shared" si="36"/>
        <v>123.58500000000002</v>
      </c>
    </row>
    <row r="282" spans="2:10" ht="15.6" hidden="1" x14ac:dyDescent="0.25">
      <c r="B282" s="59"/>
      <c r="C282" s="69" t="s">
        <v>250</v>
      </c>
      <c r="D282" s="61" t="s">
        <v>3</v>
      </c>
      <c r="E282" s="62">
        <f>$A$2</f>
        <v>6.25</v>
      </c>
      <c r="F282" s="63">
        <f>'Прайс для расчета'!E261</f>
        <v>651</v>
      </c>
      <c r="G282" s="64">
        <f t="shared" si="35"/>
        <v>4068.75</v>
      </c>
      <c r="I282" s="135">
        <f>'Прайс для расчета (М)'!E261</f>
        <v>325.5</v>
      </c>
      <c r="J282" s="36">
        <f t="shared" si="36"/>
        <v>2034.375</v>
      </c>
    </row>
    <row r="283" spans="2:10" ht="15.6" hidden="1" x14ac:dyDescent="0.25">
      <c r="B283" s="59"/>
      <c r="C283" s="69" t="s">
        <v>890</v>
      </c>
      <c r="D283" s="61" t="s">
        <v>3</v>
      </c>
      <c r="E283" s="62">
        <f t="shared" ref="E283:E285" si="39">$A$2</f>
        <v>6.25</v>
      </c>
      <c r="F283" s="63">
        <f>'Прайс для расчета'!E262</f>
        <v>834.75</v>
      </c>
      <c r="G283" s="64">
        <f t="shared" si="35"/>
        <v>5217.1875</v>
      </c>
      <c r="I283" s="135">
        <f>'Прайс для расчета (М)'!E262</f>
        <v>417.375</v>
      </c>
      <c r="J283" s="36">
        <f t="shared" si="36"/>
        <v>2608.59375</v>
      </c>
    </row>
    <row r="284" spans="2:10" ht="15.6" hidden="1" x14ac:dyDescent="0.25">
      <c r="B284" s="59"/>
      <c r="C284" s="69" t="s">
        <v>418</v>
      </c>
      <c r="D284" s="61" t="s">
        <v>0</v>
      </c>
      <c r="E284" s="62">
        <f t="shared" si="39"/>
        <v>6.25</v>
      </c>
      <c r="F284" s="63">
        <f>'Прайс для расчета'!E263</f>
        <v>787.5</v>
      </c>
      <c r="G284" s="64">
        <f t="shared" si="35"/>
        <v>4921.875</v>
      </c>
      <c r="I284" s="135">
        <f>'Прайс для расчета (М)'!E263</f>
        <v>393.75</v>
      </c>
      <c r="J284" s="36">
        <f t="shared" si="36"/>
        <v>2460.9375</v>
      </c>
    </row>
    <row r="285" spans="2:10" ht="15.6" hidden="1" x14ac:dyDescent="0.25">
      <c r="B285" s="59"/>
      <c r="C285" s="69" t="s">
        <v>137</v>
      </c>
      <c r="D285" s="61" t="s">
        <v>0</v>
      </c>
      <c r="E285" s="62">
        <f t="shared" si="39"/>
        <v>6.25</v>
      </c>
      <c r="F285" s="63">
        <f>'Прайс для расчета'!E264</f>
        <v>2551.5</v>
      </c>
      <c r="G285" s="64">
        <f t="shared" si="35"/>
        <v>15946.875</v>
      </c>
      <c r="I285" s="135">
        <f>'Прайс для расчета (М)'!E264</f>
        <v>1275.75</v>
      </c>
      <c r="J285" s="36">
        <f t="shared" si="36"/>
        <v>7973.4375</v>
      </c>
    </row>
    <row r="286" spans="2:10" ht="15.6" hidden="1" x14ac:dyDescent="0.25">
      <c r="B286" s="59"/>
      <c r="C286" s="69" t="s">
        <v>520</v>
      </c>
      <c r="D286" s="61" t="s">
        <v>3</v>
      </c>
      <c r="E286" s="62">
        <f>$A$2</f>
        <v>6.25</v>
      </c>
      <c r="F286" s="63">
        <f>'Прайс для расчета'!E265</f>
        <v>152.25</v>
      </c>
      <c r="G286" s="64">
        <f t="shared" si="35"/>
        <v>951.5625</v>
      </c>
      <c r="I286" s="135">
        <f>'Прайс для расчета (М)'!E265</f>
        <v>76.125</v>
      </c>
      <c r="J286" s="36">
        <f t="shared" si="36"/>
        <v>475.78125</v>
      </c>
    </row>
    <row r="287" spans="2:10" ht="15.6" x14ac:dyDescent="0.25">
      <c r="B287" s="59">
        <f>IF(SUM(B288:B311)&gt;0,1,0)</f>
        <v>1</v>
      </c>
      <c r="C287" s="67" t="s">
        <v>878</v>
      </c>
      <c r="D287" s="61"/>
      <c r="E287" s="62"/>
      <c r="F287" s="63"/>
      <c r="G287" s="64"/>
    </row>
    <row r="288" spans="2:10" ht="15.6" hidden="1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0">F288*E288</f>
        <v>#REF!</v>
      </c>
      <c r="I288" s="135">
        <f>'Прайс для расчета (М)'!E276</f>
        <v>2192.4</v>
      </c>
      <c r="J288" s="36" t="e">
        <f t="shared" ref="J288:J311" si="41">I288*E288</f>
        <v>#REF!</v>
      </c>
    </row>
    <row r="289" spans="2:10" ht="15.6" hidden="1" x14ac:dyDescent="0.25">
      <c r="B289" s="59"/>
      <c r="C289" s="69" t="s">
        <v>270</v>
      </c>
      <c r="D289" s="61" t="s">
        <v>2</v>
      </c>
      <c r="E289" s="62" t="e">
        <f t="shared" ref="E289:E305" si="42">$A$6</f>
        <v>#REF!</v>
      </c>
      <c r="F289" s="63">
        <f>'Прайс для расчета'!E287</f>
        <v>2220.75</v>
      </c>
      <c r="G289" s="64" t="e">
        <f t="shared" si="40"/>
        <v>#REF!</v>
      </c>
      <c r="I289" s="135">
        <f>'Прайс для расчета (М)'!E287</f>
        <v>1110.375</v>
      </c>
      <c r="J289" s="36" t="e">
        <f t="shared" si="41"/>
        <v>#REF!</v>
      </c>
    </row>
    <row r="290" spans="2:10" ht="15.6" hidden="1" x14ac:dyDescent="0.25">
      <c r="B290" s="59"/>
      <c r="C290" s="69" t="s">
        <v>524</v>
      </c>
      <c r="D290" s="61" t="s">
        <v>2</v>
      </c>
      <c r="E290" s="62" t="e">
        <f t="shared" si="42"/>
        <v>#REF!</v>
      </c>
      <c r="F290" s="63">
        <f>'Прайс для расчета'!E288</f>
        <v>2577.75</v>
      </c>
      <c r="G290" s="64" t="e">
        <f t="shared" si="40"/>
        <v>#REF!</v>
      </c>
      <c r="I290" s="135">
        <f>'Прайс для расчета (М)'!E288</f>
        <v>1288.875</v>
      </c>
      <c r="J290" s="36" t="e">
        <f t="shared" si="41"/>
        <v>#REF!</v>
      </c>
    </row>
    <row r="291" spans="2:10" ht="15.6" hidden="1" x14ac:dyDescent="0.25">
      <c r="B291" s="59"/>
      <c r="C291" s="69" t="s">
        <v>525</v>
      </c>
      <c r="D291" s="61" t="s">
        <v>2</v>
      </c>
      <c r="E291" s="62" t="e">
        <f t="shared" si="42"/>
        <v>#REF!</v>
      </c>
      <c r="F291" s="63">
        <f>'Прайс для расчета'!E289</f>
        <v>1291.5</v>
      </c>
      <c r="G291" s="64" t="e">
        <f t="shared" si="40"/>
        <v>#REF!</v>
      </c>
      <c r="I291" s="135">
        <f>'Прайс для расчета (М)'!E289</f>
        <v>645.75</v>
      </c>
      <c r="J291" s="36" t="e">
        <f t="shared" si="41"/>
        <v>#REF!</v>
      </c>
    </row>
    <row r="292" spans="2:10" ht="15.6" hidden="1" x14ac:dyDescent="0.25">
      <c r="B292" s="59"/>
      <c r="C292" s="69" t="s">
        <v>526</v>
      </c>
      <c r="D292" s="61" t="s">
        <v>2</v>
      </c>
      <c r="E292" s="62" t="e">
        <f t="shared" si="42"/>
        <v>#REF!</v>
      </c>
      <c r="F292" s="63">
        <f>'Прайс для расчета'!E290</f>
        <v>1186.5</v>
      </c>
      <c r="G292" s="64" t="e">
        <f t="shared" si="40"/>
        <v>#REF!</v>
      </c>
      <c r="I292" s="135">
        <f>'Прайс для расчета (М)'!E290</f>
        <v>593.25</v>
      </c>
      <c r="J292" s="36" t="e">
        <f t="shared" si="41"/>
        <v>#REF!</v>
      </c>
    </row>
    <row r="293" spans="2:10" ht="15.6" hidden="1" x14ac:dyDescent="0.25">
      <c r="B293" s="59"/>
      <c r="C293" s="69" t="s">
        <v>271</v>
      </c>
      <c r="D293" s="61" t="s">
        <v>3</v>
      </c>
      <c r="E293" s="62" t="e">
        <f t="shared" si="42"/>
        <v>#REF!</v>
      </c>
      <c r="F293" s="63">
        <f>'Прайс для расчета'!E291</f>
        <v>761.25</v>
      </c>
      <c r="G293" s="64" t="e">
        <f t="shared" si="40"/>
        <v>#REF!</v>
      </c>
      <c r="I293" s="135">
        <f>'Прайс для расчета (М)'!E291</f>
        <v>380.625</v>
      </c>
      <c r="J293" s="36" t="e">
        <f t="shared" si="41"/>
        <v>#REF!</v>
      </c>
    </row>
    <row r="294" spans="2:10" ht="15.6" hidden="1" x14ac:dyDescent="0.25">
      <c r="B294" s="59"/>
      <c r="C294" s="69" t="s">
        <v>962</v>
      </c>
      <c r="D294" s="61" t="s">
        <v>3</v>
      </c>
      <c r="E294" s="62" t="e">
        <f t="shared" si="42"/>
        <v>#REF!</v>
      </c>
      <c r="F294" s="63">
        <f>'Прайс для расчета'!E292</f>
        <v>519.75</v>
      </c>
      <c r="G294" s="64" t="e">
        <f t="shared" si="40"/>
        <v>#REF!</v>
      </c>
      <c r="I294" s="135">
        <f>'Прайс для расчета (М)'!E292</f>
        <v>259.875</v>
      </c>
      <c r="J294" s="36" t="e">
        <f t="shared" si="41"/>
        <v>#REF!</v>
      </c>
    </row>
    <row r="295" spans="2:10" ht="15.6" hidden="1" x14ac:dyDescent="0.25">
      <c r="B295" s="59"/>
      <c r="C295" s="69" t="s">
        <v>963</v>
      </c>
      <c r="D295" s="61" t="s">
        <v>3</v>
      </c>
      <c r="E295" s="62" t="e">
        <f t="shared" si="42"/>
        <v>#REF!</v>
      </c>
      <c r="F295" s="63">
        <f>'Прайс для расчета'!E293</f>
        <v>824.25</v>
      </c>
      <c r="G295" s="64" t="e">
        <f t="shared" si="40"/>
        <v>#REF!</v>
      </c>
      <c r="I295" s="135">
        <f>'Прайс для расчета (М)'!E293</f>
        <v>412.125</v>
      </c>
      <c r="J295" s="36" t="e">
        <f t="shared" si="41"/>
        <v>#REF!</v>
      </c>
    </row>
    <row r="296" spans="2:10" ht="15.6" hidden="1" x14ac:dyDescent="0.25">
      <c r="B296" s="59"/>
      <c r="C296" s="69" t="s">
        <v>527</v>
      </c>
      <c r="D296" s="61" t="s">
        <v>2</v>
      </c>
      <c r="E296" s="62" t="e">
        <f t="shared" si="42"/>
        <v>#REF!</v>
      </c>
      <c r="F296" s="63">
        <f>'Прайс для расчета'!E294</f>
        <v>1732.5</v>
      </c>
      <c r="G296" s="64" t="e">
        <f t="shared" si="40"/>
        <v>#REF!</v>
      </c>
      <c r="I296" s="135">
        <f>'Прайс для расчета (М)'!E294</f>
        <v>866.25</v>
      </c>
      <c r="J296" s="36" t="e">
        <f t="shared" si="41"/>
        <v>#REF!</v>
      </c>
    </row>
    <row r="297" spans="2:10" ht="15.6" hidden="1" x14ac:dyDescent="0.25">
      <c r="B297" s="59"/>
      <c r="C297" s="69" t="s">
        <v>678</v>
      </c>
      <c r="D297" s="61" t="s">
        <v>2</v>
      </c>
      <c r="E297" s="62" t="e">
        <f t="shared" si="42"/>
        <v>#REF!</v>
      </c>
      <c r="F297" s="63">
        <f>'Прайс для расчета'!E296</f>
        <v>3097.5</v>
      </c>
      <c r="G297" s="64" t="e">
        <f t="shared" si="40"/>
        <v>#REF!</v>
      </c>
      <c r="I297" s="135">
        <f>'Прайс для расчета (М)'!E296</f>
        <v>1548.75</v>
      </c>
      <c r="J297" s="36" t="e">
        <f t="shared" si="41"/>
        <v>#REF!</v>
      </c>
    </row>
    <row r="298" spans="2:10" ht="15.6" hidden="1" x14ac:dyDescent="0.25">
      <c r="B298" s="59"/>
      <c r="C298" s="69" t="s">
        <v>680</v>
      </c>
      <c r="D298" s="61" t="s">
        <v>2</v>
      </c>
      <c r="E298" s="62" t="e">
        <f t="shared" si="42"/>
        <v>#REF!</v>
      </c>
      <c r="F298" s="63">
        <f>'Прайс для расчета'!E310</f>
        <v>5040</v>
      </c>
      <c r="G298" s="64" t="e">
        <f t="shared" si="40"/>
        <v>#REF!</v>
      </c>
      <c r="I298" s="135">
        <f>'Прайс для расчета (М)'!E310</f>
        <v>2520</v>
      </c>
      <c r="J298" s="36" t="e">
        <f t="shared" si="41"/>
        <v>#REF!</v>
      </c>
    </row>
    <row r="299" spans="2:10" ht="15.6" hidden="1" x14ac:dyDescent="0.25">
      <c r="B299" s="59"/>
      <c r="C299" s="69" t="s">
        <v>679</v>
      </c>
      <c r="D299" s="61" t="s">
        <v>2</v>
      </c>
      <c r="E299" s="62" t="e">
        <f t="shared" si="42"/>
        <v>#REF!</v>
      </c>
      <c r="F299" s="63">
        <f>'Прайс для расчета'!E297</f>
        <v>1044.75</v>
      </c>
      <c r="G299" s="64" t="e">
        <f t="shared" si="40"/>
        <v>#REF!</v>
      </c>
      <c r="I299" s="135">
        <f>'Прайс для расчета (М)'!E297</f>
        <v>522.375</v>
      </c>
      <c r="J299" s="36" t="e">
        <f t="shared" si="41"/>
        <v>#REF!</v>
      </c>
    </row>
    <row r="300" spans="2:10" ht="15.6" hidden="1" x14ac:dyDescent="0.25">
      <c r="B300" s="59"/>
      <c r="C300" s="69" t="s">
        <v>895</v>
      </c>
      <c r="D300" s="61" t="s">
        <v>2</v>
      </c>
      <c r="E300" s="62" t="e">
        <f t="shared" si="42"/>
        <v>#REF!</v>
      </c>
      <c r="F300" s="63">
        <f>'Прайс для расчета'!E298</f>
        <v>593.25</v>
      </c>
      <c r="G300" s="64" t="e">
        <f t="shared" si="40"/>
        <v>#REF!</v>
      </c>
      <c r="I300" s="135">
        <f>'Прайс для расчета (М)'!E298</f>
        <v>296.625</v>
      </c>
      <c r="J300" s="36" t="e">
        <f t="shared" si="41"/>
        <v>#REF!</v>
      </c>
    </row>
    <row r="301" spans="2:10" ht="15.6" hidden="1" x14ac:dyDescent="0.25">
      <c r="B301" s="59"/>
      <c r="C301" s="69" t="s">
        <v>947</v>
      </c>
      <c r="D301" s="61" t="s">
        <v>2</v>
      </c>
      <c r="E301" s="62" t="e">
        <f t="shared" si="42"/>
        <v>#REF!</v>
      </c>
      <c r="F301" s="63">
        <f>'Прайс для расчета'!E299</f>
        <v>635.25</v>
      </c>
      <c r="G301" s="64" t="e">
        <f t="shared" si="40"/>
        <v>#REF!</v>
      </c>
      <c r="I301" s="135">
        <f>'Прайс для расчета (М)'!E299</f>
        <v>317.625</v>
      </c>
      <c r="J301" s="36" t="e">
        <f t="shared" si="41"/>
        <v>#REF!</v>
      </c>
    </row>
    <row r="302" spans="2:10" ht="31.2" hidden="1" x14ac:dyDescent="0.25">
      <c r="B302" s="59"/>
      <c r="C302" s="69" t="s">
        <v>1074</v>
      </c>
      <c r="D302" s="86" t="s">
        <v>2</v>
      </c>
      <c r="E302" s="62" t="e">
        <f t="shared" si="42"/>
        <v>#REF!</v>
      </c>
      <c r="F302" s="63">
        <f>'Прайс для расчета'!E300</f>
        <v>1181.25</v>
      </c>
      <c r="G302" s="64" t="e">
        <f t="shared" si="40"/>
        <v>#REF!</v>
      </c>
      <c r="I302" s="135">
        <f>'Прайс для расчета (М)'!E300</f>
        <v>590.625</v>
      </c>
      <c r="J302" s="36" t="e">
        <f t="shared" si="41"/>
        <v>#REF!</v>
      </c>
    </row>
    <row r="303" spans="2:10" ht="15.6" hidden="1" x14ac:dyDescent="0.25">
      <c r="B303" s="59"/>
      <c r="C303" s="69" t="s">
        <v>896</v>
      </c>
      <c r="D303" s="61" t="s">
        <v>2</v>
      </c>
      <c r="E303" s="62" t="e">
        <f t="shared" si="42"/>
        <v>#REF!</v>
      </c>
      <c r="F303" s="63">
        <f>'Прайс для расчета'!E301</f>
        <v>635.25</v>
      </c>
      <c r="G303" s="64" t="e">
        <f t="shared" si="40"/>
        <v>#REF!</v>
      </c>
      <c r="I303" s="135">
        <f>'Прайс для расчета (М)'!E301</f>
        <v>317.625</v>
      </c>
      <c r="J303" s="36" t="e">
        <f t="shared" si="41"/>
        <v>#REF!</v>
      </c>
    </row>
    <row r="304" spans="2:10" ht="15.6" x14ac:dyDescent="0.25">
      <c r="B304" s="59">
        <v>1</v>
      </c>
      <c r="C304" s="69" t="s">
        <v>897</v>
      </c>
      <c r="D304" s="61" t="s">
        <v>2</v>
      </c>
      <c r="E304" s="62">
        <v>3.45</v>
      </c>
      <c r="F304" s="63">
        <f>'Прайс для расчета'!E302</f>
        <v>498.75</v>
      </c>
      <c r="G304" s="64">
        <f t="shared" si="40"/>
        <v>1720.6875</v>
      </c>
      <c r="I304" s="135">
        <f>'Прайс для расчета (М)'!E302</f>
        <v>249.375</v>
      </c>
      <c r="J304" s="36">
        <f t="shared" si="41"/>
        <v>860.34375</v>
      </c>
    </row>
    <row r="305" spans="2:10" ht="15.6" hidden="1" x14ac:dyDescent="0.25">
      <c r="B305" s="59"/>
      <c r="C305" s="69" t="s">
        <v>898</v>
      </c>
      <c r="D305" s="61" t="s">
        <v>3</v>
      </c>
      <c r="E305" s="62" t="e">
        <f t="shared" si="42"/>
        <v>#REF!</v>
      </c>
      <c r="F305" s="63">
        <f>'Прайс для расчета'!E303</f>
        <v>183.75</v>
      </c>
      <c r="G305" s="64" t="e">
        <f t="shared" si="40"/>
        <v>#REF!</v>
      </c>
      <c r="I305" s="135">
        <f>'Прайс для расчета (М)'!E303</f>
        <v>91.875</v>
      </c>
      <c r="J305" s="36" t="e">
        <f t="shared" si="41"/>
        <v>#REF!</v>
      </c>
    </row>
    <row r="306" spans="2:10" ht="15.6" hidden="1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0"/>
        <v>#REF!</v>
      </c>
      <c r="I306" s="135">
        <f>'Прайс для расчета (М)'!E304</f>
        <v>590.625</v>
      </c>
      <c r="J306" s="36" t="e">
        <f t="shared" si="41"/>
        <v>#REF!</v>
      </c>
    </row>
    <row r="307" spans="2:10" ht="15.6" hidden="1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0"/>
        <v>#REF!</v>
      </c>
      <c r="I307" s="135">
        <f>'Прайс для расчета (М)'!E305</f>
        <v>527.625</v>
      </c>
      <c r="J307" s="36" t="e">
        <f t="shared" si="41"/>
        <v>#REF!</v>
      </c>
    </row>
    <row r="308" spans="2:10" ht="15.6" hidden="1" x14ac:dyDescent="0.25">
      <c r="B308" s="59"/>
      <c r="C308" s="69" t="s">
        <v>528</v>
      </c>
      <c r="D308" s="61" t="s">
        <v>2</v>
      </c>
      <c r="E308" s="62" t="e">
        <f t="shared" ref="E308" si="43">$A$6</f>
        <v>#REF!</v>
      </c>
      <c r="F308" s="63">
        <f>'Прайс для расчета'!E306</f>
        <v>3990</v>
      </c>
      <c r="G308" s="64" t="e">
        <f t="shared" si="40"/>
        <v>#REF!</v>
      </c>
      <c r="I308" s="135">
        <f>'Прайс для расчета (М)'!E306</f>
        <v>1995</v>
      </c>
      <c r="J308" s="36" t="e">
        <f t="shared" si="41"/>
        <v>#REF!</v>
      </c>
    </row>
    <row r="309" spans="2:10" ht="15.6" hidden="1" x14ac:dyDescent="0.25">
      <c r="B309" s="59"/>
      <c r="C309" s="69" t="s">
        <v>429</v>
      </c>
      <c r="D309" s="61" t="s">
        <v>2</v>
      </c>
      <c r="E309" s="62">
        <v>3.45</v>
      </c>
      <c r="F309" s="63">
        <f>'Прайс для расчета'!E307</f>
        <v>472.5</v>
      </c>
      <c r="G309" s="64">
        <f t="shared" si="40"/>
        <v>1630.125</v>
      </c>
      <c r="I309" s="135">
        <f>'Прайс для расчета (М)'!E307</f>
        <v>236.25</v>
      </c>
      <c r="J309" s="36">
        <f t="shared" si="41"/>
        <v>815.0625</v>
      </c>
    </row>
    <row r="310" spans="2:10" ht="15.6" hidden="1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0"/>
        <v>#REF!</v>
      </c>
      <c r="I310" s="135">
        <f>'Прайс для расчета (М)'!E308</f>
        <v>393.75</v>
      </c>
      <c r="J310" s="36" t="e">
        <f t="shared" si="41"/>
        <v>#REF!</v>
      </c>
    </row>
    <row r="311" spans="2:10" ht="15.6" x14ac:dyDescent="0.25">
      <c r="B311" s="59">
        <v>1</v>
      </c>
      <c r="C311" s="69" t="s">
        <v>430</v>
      </c>
      <c r="D311" s="61" t="s">
        <v>2</v>
      </c>
      <c r="E311" s="62">
        <v>3.45</v>
      </c>
      <c r="F311" s="63">
        <f>'Прайс для расчета'!E309</f>
        <v>420</v>
      </c>
      <c r="G311" s="64">
        <f t="shared" si="40"/>
        <v>1449</v>
      </c>
      <c r="I311" s="135">
        <f>'Прайс для расчета (М)'!E309</f>
        <v>210</v>
      </c>
      <c r="J311" s="36">
        <f t="shared" si="41"/>
        <v>724.5</v>
      </c>
    </row>
    <row r="312" spans="2:10" ht="15.6" hidden="1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hidden="1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44">F313*E313</f>
        <v>315</v>
      </c>
      <c r="I313" s="135">
        <f>'Прайс для расчета (М)'!E311</f>
        <v>157.5</v>
      </c>
      <c r="J313" s="36">
        <f t="shared" ref="J313:J319" si="45">I313*E313</f>
        <v>157.5</v>
      </c>
    </row>
    <row r="314" spans="2:10" ht="15.6" hidden="1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44"/>
        <v>367.5</v>
      </c>
      <c r="I314" s="135">
        <f>'Прайс для расчета (М)'!E312</f>
        <v>183.75</v>
      </c>
      <c r="J314" s="36">
        <f t="shared" si="45"/>
        <v>183.75</v>
      </c>
    </row>
    <row r="315" spans="2:10" ht="15.6" hidden="1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44"/>
        <v>194.25</v>
      </c>
      <c r="I315" s="135">
        <f>'Прайс для расчета (М)'!E313</f>
        <v>97.125</v>
      </c>
      <c r="J315" s="36">
        <f t="shared" si="45"/>
        <v>97.125</v>
      </c>
    </row>
    <row r="316" spans="2:10" ht="15.6" hidden="1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44"/>
        <v>735</v>
      </c>
      <c r="I316" s="135">
        <f>'Прайс для расчета (М)'!E314</f>
        <v>367.5</v>
      </c>
      <c r="J316" s="36">
        <f t="shared" si="45"/>
        <v>367.5</v>
      </c>
    </row>
    <row r="317" spans="2:10" ht="15.6" hidden="1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44"/>
        <v>1349.25</v>
      </c>
      <c r="I317" s="135">
        <f>'Прайс для расчета (М)'!E315</f>
        <v>674.625</v>
      </c>
      <c r="J317" s="36">
        <f t="shared" si="45"/>
        <v>674.625</v>
      </c>
    </row>
    <row r="318" spans="2:10" ht="15.6" hidden="1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44"/>
        <v>0</v>
      </c>
      <c r="I318" s="135">
        <f>'Прайс для расчета (М)'!E316</f>
        <v>0</v>
      </c>
      <c r="J318" s="36">
        <f t="shared" si="45"/>
        <v>0</v>
      </c>
    </row>
    <row r="319" spans="2:10" ht="15.6" hidden="1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44"/>
        <v>1464.75</v>
      </c>
      <c r="I319" s="135">
        <f>'Прайс для расчета (М)'!E317</f>
        <v>732.375</v>
      </c>
      <c r="J319" s="36">
        <f t="shared" si="45"/>
        <v>732.375</v>
      </c>
    </row>
    <row r="320" spans="2:10" ht="15.6" hidden="1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hidden="1" x14ac:dyDescent="0.25">
      <c r="B321" s="59"/>
      <c r="C321" s="65" t="s">
        <v>436</v>
      </c>
      <c r="D321" s="61" t="s">
        <v>2</v>
      </c>
      <c r="E321" s="62">
        <f>$A$4</f>
        <v>2.41</v>
      </c>
      <c r="F321" s="63">
        <f>'Прайс для расчета'!E318</f>
        <v>577.5</v>
      </c>
      <c r="G321" s="64">
        <f t="shared" ref="G321:G333" si="46">F321*E321</f>
        <v>1391.7750000000001</v>
      </c>
      <c r="I321" s="135">
        <f>'Прайс для расчета (М)'!E318</f>
        <v>288.75</v>
      </c>
      <c r="J321" s="36">
        <f t="shared" ref="J321:J333" si="47">I321*E321</f>
        <v>695.88750000000005</v>
      </c>
    </row>
    <row r="322" spans="2:10" ht="15.6" hidden="1" x14ac:dyDescent="0.25">
      <c r="B322" s="59"/>
      <c r="C322" s="65" t="s">
        <v>437</v>
      </c>
      <c r="D322" s="61" t="s">
        <v>2</v>
      </c>
      <c r="E322" s="62">
        <f>$A$4</f>
        <v>2.41</v>
      </c>
      <c r="F322" s="63">
        <f>'Прайс для расчета'!E319</f>
        <v>1396.5</v>
      </c>
      <c r="G322" s="64">
        <f t="shared" si="46"/>
        <v>3365.5650000000001</v>
      </c>
      <c r="I322" s="135">
        <f>'Прайс для расчета (М)'!E319</f>
        <v>698.25</v>
      </c>
      <c r="J322" s="36">
        <f t="shared" si="47"/>
        <v>1682.7825</v>
      </c>
    </row>
    <row r="323" spans="2:10" ht="15.6" hidden="1" x14ac:dyDescent="0.25">
      <c r="B323" s="59"/>
      <c r="C323" s="65" t="s">
        <v>438</v>
      </c>
      <c r="D323" s="61" t="s">
        <v>2</v>
      </c>
      <c r="E323" s="62">
        <f>$A$4</f>
        <v>2.41</v>
      </c>
      <c r="F323" s="63">
        <f>'Прайс для расчета'!E320</f>
        <v>1291.5</v>
      </c>
      <c r="G323" s="64">
        <f t="shared" si="46"/>
        <v>3112.5150000000003</v>
      </c>
      <c r="I323" s="135">
        <f>'Прайс для расчета (М)'!E320</f>
        <v>645.75</v>
      </c>
      <c r="J323" s="36">
        <f t="shared" si="47"/>
        <v>1556.2575000000002</v>
      </c>
    </row>
    <row r="324" spans="2:10" ht="15.6" hidden="1" x14ac:dyDescent="0.25">
      <c r="B324" s="59"/>
      <c r="C324" s="65" t="s">
        <v>439</v>
      </c>
      <c r="D324" s="61" t="s">
        <v>2</v>
      </c>
      <c r="E324" s="62">
        <f>$A$4</f>
        <v>2.41</v>
      </c>
      <c r="F324" s="63">
        <f>'Прайс для расчета'!E321</f>
        <v>1386</v>
      </c>
      <c r="G324" s="64">
        <f t="shared" si="46"/>
        <v>3340.26</v>
      </c>
      <c r="I324" s="135">
        <f>'Прайс для расчета (М)'!E321</f>
        <v>693</v>
      </c>
      <c r="J324" s="36">
        <f t="shared" si="47"/>
        <v>1670.13</v>
      </c>
    </row>
    <row r="325" spans="2:10" ht="15.6" hidden="1" x14ac:dyDescent="0.25">
      <c r="B325" s="59"/>
      <c r="C325" s="65" t="s">
        <v>440</v>
      </c>
      <c r="D325" s="61" t="s">
        <v>2</v>
      </c>
      <c r="E325" s="62">
        <f>$A$4</f>
        <v>2.41</v>
      </c>
      <c r="F325" s="63">
        <f>'Прайс для расчета'!E322</f>
        <v>1281</v>
      </c>
      <c r="G325" s="64">
        <f t="shared" si="46"/>
        <v>3087.21</v>
      </c>
      <c r="I325" s="135">
        <f>'Прайс для расчета (М)'!E322</f>
        <v>640.5</v>
      </c>
      <c r="J325" s="36">
        <f t="shared" si="47"/>
        <v>1543.605</v>
      </c>
    </row>
    <row r="326" spans="2:10" ht="15.6" hidden="1" x14ac:dyDescent="0.25">
      <c r="B326" s="59"/>
      <c r="C326" s="65" t="s">
        <v>441</v>
      </c>
      <c r="D326" s="61" t="s">
        <v>645</v>
      </c>
      <c r="E326" s="62">
        <f>$A$2</f>
        <v>6.25</v>
      </c>
      <c r="F326" s="63">
        <f>'Прайс для расчета'!E323</f>
        <v>330.75</v>
      </c>
      <c r="G326" s="64">
        <f t="shared" si="46"/>
        <v>2067.1875</v>
      </c>
      <c r="I326" s="135">
        <f>'Прайс для расчета (М)'!E323</f>
        <v>165.375</v>
      </c>
      <c r="J326" s="36">
        <f t="shared" si="47"/>
        <v>1033.59375</v>
      </c>
    </row>
    <row r="327" spans="2:10" ht="15.6" hidden="1" x14ac:dyDescent="0.25">
      <c r="B327" s="59"/>
      <c r="C327" s="65" t="s">
        <v>531</v>
      </c>
      <c r="D327" s="61" t="s">
        <v>645</v>
      </c>
      <c r="E327" s="62">
        <f>$A$2</f>
        <v>6.25</v>
      </c>
      <c r="F327" s="63">
        <f>'Прайс для расчета'!E324</f>
        <v>866.25</v>
      </c>
      <c r="G327" s="64">
        <f t="shared" si="46"/>
        <v>5414.0625</v>
      </c>
      <c r="I327" s="135">
        <f>'Прайс для расчета (М)'!E324</f>
        <v>433.125</v>
      </c>
      <c r="J327" s="36">
        <f t="shared" si="47"/>
        <v>2707.03125</v>
      </c>
    </row>
    <row r="328" spans="2:10" ht="15.6" hidden="1" x14ac:dyDescent="0.25">
      <c r="B328" s="59"/>
      <c r="C328" s="65" t="s">
        <v>532</v>
      </c>
      <c r="D328" s="61" t="s">
        <v>645</v>
      </c>
      <c r="E328" s="62">
        <f>$A$2</f>
        <v>6.25</v>
      </c>
      <c r="F328" s="63">
        <f>'Прайс для расчета'!E325</f>
        <v>1097.376</v>
      </c>
      <c r="G328" s="64">
        <f t="shared" si="46"/>
        <v>6858.5999999999995</v>
      </c>
      <c r="I328" s="135">
        <f>'Прайс для расчета (М)'!E325</f>
        <v>548.68799999999999</v>
      </c>
      <c r="J328" s="36">
        <f t="shared" si="47"/>
        <v>3429.2999999999997</v>
      </c>
    </row>
    <row r="329" spans="2:10" ht="15.6" hidden="1" x14ac:dyDescent="0.25">
      <c r="B329" s="59"/>
      <c r="C329" s="65" t="s">
        <v>533</v>
      </c>
      <c r="D329" s="61" t="s">
        <v>645</v>
      </c>
      <c r="E329" s="62">
        <f>$A$2</f>
        <v>6.25</v>
      </c>
      <c r="F329" s="63">
        <f>'Прайс для расчета'!E326</f>
        <v>852.6</v>
      </c>
      <c r="G329" s="64">
        <f t="shared" si="46"/>
        <v>5328.75</v>
      </c>
      <c r="I329" s="135">
        <f>'Прайс для расчета (М)'!E326</f>
        <v>426.3</v>
      </c>
      <c r="J329" s="36">
        <f t="shared" si="47"/>
        <v>2664.375</v>
      </c>
    </row>
    <row r="330" spans="2:10" ht="15.6" hidden="1" x14ac:dyDescent="0.25">
      <c r="B330" s="59"/>
      <c r="C330" s="65" t="s">
        <v>442</v>
      </c>
      <c r="D330" s="61" t="s">
        <v>645</v>
      </c>
      <c r="E330" s="62">
        <f>$A$2</f>
        <v>6.25</v>
      </c>
      <c r="F330" s="63">
        <f>'Прайс для расчета'!E327</f>
        <v>225.75</v>
      </c>
      <c r="G330" s="64">
        <f t="shared" si="46"/>
        <v>1410.9375</v>
      </c>
      <c r="I330" s="135">
        <f>'Прайс для расчета (М)'!E327</f>
        <v>112.875</v>
      </c>
      <c r="J330" s="36">
        <f t="shared" si="47"/>
        <v>705.46875</v>
      </c>
    </row>
    <row r="331" spans="2:10" ht="15.6" hidden="1" x14ac:dyDescent="0.25">
      <c r="B331" s="59"/>
      <c r="C331" s="65" t="s">
        <v>443</v>
      </c>
      <c r="D331" s="61" t="s">
        <v>2</v>
      </c>
      <c r="E331" s="62">
        <f>$A$4</f>
        <v>2.41</v>
      </c>
      <c r="F331" s="63">
        <f>'Прайс для расчета'!E328</f>
        <v>462</v>
      </c>
      <c r="G331" s="64">
        <f t="shared" si="46"/>
        <v>1113.42</v>
      </c>
      <c r="I331" s="135">
        <f>'Прайс для расчета (М)'!E328</f>
        <v>231</v>
      </c>
      <c r="J331" s="36">
        <f t="shared" si="47"/>
        <v>556.71</v>
      </c>
    </row>
    <row r="332" spans="2:10" ht="15.6" hidden="1" x14ac:dyDescent="0.25">
      <c r="B332" s="59"/>
      <c r="C332" s="65" t="s">
        <v>534</v>
      </c>
      <c r="D332" s="61" t="s">
        <v>2</v>
      </c>
      <c r="E332" s="62">
        <f>$A$4</f>
        <v>2.41</v>
      </c>
      <c r="F332" s="63">
        <f>'Прайс для расчета'!E329</f>
        <v>1060.5</v>
      </c>
      <c r="G332" s="64">
        <f t="shared" si="46"/>
        <v>2555.8050000000003</v>
      </c>
      <c r="I332" s="135">
        <f>'Прайс для расчета (М)'!E329</f>
        <v>530.25</v>
      </c>
      <c r="J332" s="36">
        <f t="shared" si="47"/>
        <v>1277.9025000000001</v>
      </c>
    </row>
    <row r="333" spans="2:10" ht="15.6" hidden="1" x14ac:dyDescent="0.25">
      <c r="B333" s="59"/>
      <c r="C333" s="65" t="s">
        <v>444</v>
      </c>
      <c r="D333" s="61" t="s">
        <v>2</v>
      </c>
      <c r="E333" s="62">
        <f>$A$4</f>
        <v>2.41</v>
      </c>
      <c r="F333" s="63">
        <f>'Прайс для расчета'!E330</f>
        <v>735</v>
      </c>
      <c r="G333" s="64">
        <f t="shared" si="46"/>
        <v>1771.3500000000001</v>
      </c>
      <c r="I333" s="135">
        <f>'Прайс для расчета (М)'!E330</f>
        <v>367.5</v>
      </c>
      <c r="J333" s="36">
        <f t="shared" si="47"/>
        <v>885.67500000000007</v>
      </c>
    </row>
    <row r="334" spans="2:10" ht="15.6" hidden="1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hidden="1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48">F335*E335</f>
        <v>525</v>
      </c>
      <c r="I335" s="135">
        <f>'Прайс для расчета (М)'!E331</f>
        <v>262.5</v>
      </c>
      <c r="J335" s="36">
        <f t="shared" ref="J335:J353" si="49">I335*E335</f>
        <v>262.5</v>
      </c>
    </row>
    <row r="336" spans="2:10" ht="15.6" hidden="1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48"/>
        <v>945</v>
      </c>
      <c r="I336" s="135">
        <f>'Прайс для расчета (М)'!E332</f>
        <v>472.5</v>
      </c>
      <c r="J336" s="36">
        <f t="shared" si="49"/>
        <v>472.5</v>
      </c>
    </row>
    <row r="337" spans="2:10" ht="15.6" hidden="1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48"/>
        <v>1575</v>
      </c>
      <c r="I337" s="135">
        <f>'Прайс для расчета (М)'!E333</f>
        <v>787.5</v>
      </c>
      <c r="J337" s="36">
        <f t="shared" si="49"/>
        <v>787.5</v>
      </c>
    </row>
    <row r="338" spans="2:10" ht="15.6" hidden="1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48"/>
        <v>840</v>
      </c>
      <c r="I338" s="135">
        <f>'Прайс для расчета (М)'!E334</f>
        <v>420</v>
      </c>
      <c r="J338" s="36">
        <f t="shared" si="49"/>
        <v>420</v>
      </c>
    </row>
    <row r="339" spans="2:10" ht="15.6" hidden="1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48"/>
        <v>273</v>
      </c>
      <c r="I339" s="135">
        <f>'Прайс для расчета (М)'!E335</f>
        <v>136.5</v>
      </c>
      <c r="J339" s="36">
        <f t="shared" si="49"/>
        <v>136.5</v>
      </c>
    </row>
    <row r="340" spans="2:10" ht="15.6" hidden="1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48"/>
        <v>1890</v>
      </c>
      <c r="I340" s="135">
        <f>'Прайс для расчета (М)'!E336</f>
        <v>945</v>
      </c>
      <c r="J340" s="36">
        <f t="shared" si="49"/>
        <v>945</v>
      </c>
    </row>
    <row r="341" spans="2:10" ht="15.6" hidden="1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48"/>
        <v>346.5</v>
      </c>
      <c r="I341" s="135">
        <f>'Прайс для расчета (М)'!E337</f>
        <v>173.25</v>
      </c>
      <c r="J341" s="36">
        <f t="shared" si="49"/>
        <v>173.25</v>
      </c>
    </row>
    <row r="342" spans="2:10" ht="15.6" hidden="1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48"/>
        <v>4179</v>
      </c>
      <c r="I342" s="135">
        <f>'Прайс для расчета (М)'!E338</f>
        <v>2089.5</v>
      </c>
      <c r="J342" s="36">
        <f t="shared" si="49"/>
        <v>2089.5</v>
      </c>
    </row>
    <row r="343" spans="2:10" ht="15.6" hidden="1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48"/>
        <v>3255</v>
      </c>
      <c r="I343" s="135">
        <f>'Прайс для расчета (М)'!E339</f>
        <v>1627.5</v>
      </c>
      <c r="J343" s="36">
        <f t="shared" si="49"/>
        <v>1627.5</v>
      </c>
    </row>
    <row r="344" spans="2:10" ht="15.6" hidden="1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48"/>
        <v>1176</v>
      </c>
      <c r="I344" s="135">
        <f>'Прайс для расчета (М)'!E340</f>
        <v>588</v>
      </c>
      <c r="J344" s="36">
        <f t="shared" si="49"/>
        <v>588</v>
      </c>
    </row>
    <row r="345" spans="2:10" ht="15.6" hidden="1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48"/>
        <v>367.5</v>
      </c>
      <c r="I345" s="135">
        <f>'Прайс для расчета (М)'!E341</f>
        <v>183.75</v>
      </c>
      <c r="J345" s="36">
        <f t="shared" si="49"/>
        <v>183.75</v>
      </c>
    </row>
    <row r="346" spans="2:10" ht="15.6" hidden="1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48"/>
        <v>199.5</v>
      </c>
      <c r="I346" s="135">
        <f>'Прайс для расчета (М)'!E342</f>
        <v>99.75</v>
      </c>
      <c r="J346" s="36">
        <f t="shared" si="49"/>
        <v>99.75</v>
      </c>
    </row>
    <row r="347" spans="2:10" ht="15.6" hidden="1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48"/>
        <v>1995</v>
      </c>
      <c r="I347" s="135">
        <f>'Прайс для расчета (М)'!E343</f>
        <v>997.5</v>
      </c>
      <c r="J347" s="36">
        <f t="shared" si="49"/>
        <v>997.5</v>
      </c>
    </row>
    <row r="348" spans="2:10" ht="15.6" hidden="1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48"/>
        <v>840</v>
      </c>
      <c r="I348" s="135">
        <f>'Прайс для расчета (М)'!E344</f>
        <v>420</v>
      </c>
      <c r="J348" s="36">
        <f t="shared" si="49"/>
        <v>420</v>
      </c>
    </row>
    <row r="349" spans="2:10" ht="15.6" hidden="1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48"/>
        <v>3097.5</v>
      </c>
      <c r="I349" s="135">
        <f>'Прайс для расчета (М)'!E345</f>
        <v>1548.75</v>
      </c>
      <c r="J349" s="36">
        <f t="shared" si="49"/>
        <v>1548.75</v>
      </c>
    </row>
    <row r="350" spans="2:10" ht="15.6" hidden="1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48"/>
        <v>1029</v>
      </c>
      <c r="I350" s="135">
        <f>'Прайс для расчета (М)'!E346</f>
        <v>514.5</v>
      </c>
      <c r="J350" s="36">
        <f t="shared" si="49"/>
        <v>514.5</v>
      </c>
    </row>
    <row r="351" spans="2:10" ht="15.6" hidden="1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48"/>
        <v>1627.5</v>
      </c>
      <c r="I351" s="135">
        <f>'Прайс для расчета (М)'!E347</f>
        <v>813.75</v>
      </c>
      <c r="J351" s="36">
        <f t="shared" si="49"/>
        <v>813.75</v>
      </c>
    </row>
    <row r="352" spans="2:10" ht="15.6" hidden="1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48"/>
        <v>1627.5</v>
      </c>
      <c r="I352" s="135">
        <f>'Прайс для расчета (М)'!E348</f>
        <v>813.75</v>
      </c>
      <c r="J352" s="36">
        <f t="shared" si="49"/>
        <v>813.75</v>
      </c>
    </row>
    <row r="353" spans="2:10" ht="15.6" hidden="1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48"/>
        <v>420</v>
      </c>
      <c r="I353" s="135">
        <f>'Прайс для расчета (М)'!E349</f>
        <v>210</v>
      </c>
      <c r="J353" s="36">
        <f t="shared" si="49"/>
        <v>210</v>
      </c>
    </row>
    <row r="354" spans="2:10" ht="15.6" hidden="1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hidden="1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0">F355*E355</f>
        <v>0</v>
      </c>
      <c r="I355" s="135">
        <f>'Прайс для расчета (М)'!E351</f>
        <v>202.125</v>
      </c>
      <c r="J355" s="36">
        <f t="shared" ref="J355:J361" si="51">I355*E355</f>
        <v>0</v>
      </c>
    </row>
    <row r="356" spans="2:10" ht="15.6" hidden="1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0"/>
        <v>3858.7080000000001</v>
      </c>
      <c r="I356" s="135">
        <f>'Прайс для расчета (М)'!E352</f>
        <v>1929.354</v>
      </c>
      <c r="J356" s="36">
        <f t="shared" si="51"/>
        <v>1929.354</v>
      </c>
    </row>
    <row r="357" spans="2:10" ht="15.6" hidden="1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0"/>
        <v>1044.75</v>
      </c>
      <c r="I357" s="135">
        <f>'Прайс для расчета (М)'!E353</f>
        <v>522.375</v>
      </c>
      <c r="J357" s="36">
        <f t="shared" si="51"/>
        <v>522.375</v>
      </c>
    </row>
    <row r="358" spans="2:10" ht="15.6" hidden="1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0"/>
        <v>1522.5</v>
      </c>
      <c r="I358" s="135">
        <f>'Прайс для расчета (М)'!E354</f>
        <v>761.25</v>
      </c>
      <c r="J358" s="36">
        <f t="shared" si="51"/>
        <v>761.25</v>
      </c>
    </row>
    <row r="359" spans="2:10" ht="15.6" hidden="1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0"/>
        <v>1522.5</v>
      </c>
      <c r="I359" s="135">
        <f>'Прайс для расчета (М)'!E355</f>
        <v>761.25</v>
      </c>
      <c r="J359" s="36">
        <f t="shared" si="51"/>
        <v>761.25</v>
      </c>
    </row>
    <row r="360" spans="2:10" ht="15.6" hidden="1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0"/>
        <v>577.5</v>
      </c>
      <c r="I360" s="135">
        <f>'Прайс для расчета (М)'!E356</f>
        <v>288.75</v>
      </c>
      <c r="J360" s="36">
        <f t="shared" si="51"/>
        <v>288.75</v>
      </c>
    </row>
    <row r="361" spans="2:10" ht="15.6" hidden="1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0"/>
        <v>210</v>
      </c>
      <c r="I361" s="135">
        <f>'Прайс для расчета (М)'!E357</f>
        <v>105</v>
      </c>
      <c r="J361" s="36">
        <f t="shared" si="51"/>
        <v>105</v>
      </c>
    </row>
    <row r="362" spans="2:10" ht="15.6" x14ac:dyDescent="0.25">
      <c r="B362" s="110">
        <f>IF(SUM(B250:B361)&gt;0,1,0)</f>
        <v>1</v>
      </c>
      <c r="C362" s="266" t="s">
        <v>540</v>
      </c>
      <c r="D362" s="266"/>
      <c r="E362" s="266"/>
      <c r="F362" s="266"/>
      <c r="G362" s="157">
        <f>SUMIF(B251:B361,1,G251:G361)</f>
        <v>14163.650000000001</v>
      </c>
      <c r="J362" s="36">
        <f>SUMIF(B251:B361,1,J251:J361)</f>
        <v>6960.6600000000008</v>
      </c>
    </row>
    <row r="363" spans="2:10" ht="15.6" x14ac:dyDescent="0.25">
      <c r="B363" s="153">
        <f>IF(SUM(B364:B371)&gt;0,1,0)</f>
        <v>1</v>
      </c>
      <c r="C363" s="164" t="s">
        <v>1153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>
        <v>1</v>
      </c>
      <c r="C364" s="69" t="s">
        <v>1078</v>
      </c>
      <c r="D364" s="61" t="s">
        <v>2</v>
      </c>
      <c r="E364" s="62">
        <f>$A$4</f>
        <v>2.41</v>
      </c>
      <c r="F364" s="63">
        <f>'Прайс для расчета'!E412</f>
        <v>110.25</v>
      </c>
      <c r="G364" s="64">
        <f t="shared" ref="G364:G371" si="52">F364*E364</f>
        <v>265.70250000000004</v>
      </c>
      <c r="I364" s="135">
        <f>'Прайс для расчета (М)'!E412</f>
        <v>55.125</v>
      </c>
      <c r="J364" s="36">
        <f t="shared" ref="J364:J371" si="53">I364*E364</f>
        <v>132.85125000000002</v>
      </c>
    </row>
    <row r="365" spans="2:10" ht="15.6" hidden="1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2"/>
        <v>1714.65</v>
      </c>
      <c r="I365" s="135">
        <f>'Прайс для расчета (М)'!E413</f>
        <v>857.32500000000005</v>
      </c>
      <c r="J365" s="36">
        <f t="shared" si="53"/>
        <v>857.32500000000005</v>
      </c>
    </row>
    <row r="366" spans="2:10" ht="15.6" hidden="1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2"/>
        <v>2571.9749999999999</v>
      </c>
      <c r="I366" s="135">
        <f>'Прайс для расчета (М)'!E414</f>
        <v>1285.9875</v>
      </c>
      <c r="J366" s="36">
        <f t="shared" si="53"/>
        <v>1285.9875</v>
      </c>
    </row>
    <row r="367" spans="2:10" ht="15.6" hidden="1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2"/>
        <v>857.32500000000005</v>
      </c>
      <c r="I367" s="135">
        <f>'Прайс для расчета (М)'!E415</f>
        <v>428.66250000000002</v>
      </c>
      <c r="J367" s="36">
        <f t="shared" si="53"/>
        <v>428.66250000000002</v>
      </c>
    </row>
    <row r="368" spans="2:10" ht="15.6" hidden="1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2"/>
        <v>1470</v>
      </c>
      <c r="I368" s="135">
        <f>'Прайс для расчета (М)'!E416</f>
        <v>735</v>
      </c>
      <c r="J368" s="36">
        <f t="shared" si="53"/>
        <v>735</v>
      </c>
    </row>
    <row r="369" spans="2:10" ht="15.6" hidden="1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2"/>
        <v>315</v>
      </c>
      <c r="I369" s="135">
        <f>'Прайс для расчета (М)'!E417</f>
        <v>157.5</v>
      </c>
      <c r="J369" s="36">
        <f t="shared" si="53"/>
        <v>157.5</v>
      </c>
    </row>
    <row r="370" spans="2:10" ht="15.6" hidden="1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2"/>
        <v>1575</v>
      </c>
      <c r="I370" s="135">
        <f>'Прайс для расчета (М)'!E418</f>
        <v>787.5</v>
      </c>
      <c r="J370" s="36">
        <f t="shared" si="53"/>
        <v>787.5</v>
      </c>
    </row>
    <row r="371" spans="2:10" ht="15.6" hidden="1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2"/>
        <v>315</v>
      </c>
      <c r="I371" s="135">
        <f>'Прайс для расчета (М)'!E419</f>
        <v>157.5</v>
      </c>
      <c r="J371" s="36">
        <f t="shared" si="53"/>
        <v>157.5</v>
      </c>
    </row>
    <row r="372" spans="2:10" ht="15.6" x14ac:dyDescent="0.25">
      <c r="B372" s="110">
        <f>IF(SUM(B364:B371)&gt;0,1,0)</f>
        <v>1</v>
      </c>
      <c r="C372" s="266" t="s">
        <v>546</v>
      </c>
      <c r="D372" s="266"/>
      <c r="E372" s="266"/>
      <c r="F372" s="266"/>
      <c r="G372" s="157">
        <f>SUMIF(B364:B371,1,G364:G371)</f>
        <v>265.70250000000004</v>
      </c>
      <c r="J372" s="36">
        <f>SUMIF(B364:B371,1,J364:J371)</f>
        <v>132.85125000000002</v>
      </c>
    </row>
    <row r="373" spans="2:10" ht="15.6" x14ac:dyDescent="0.25">
      <c r="B373" s="153">
        <f>IF(SUM(B10:B372)&gt;0,1,0)</f>
        <v>1</v>
      </c>
      <c r="C373" s="265" t="s">
        <v>191</v>
      </c>
      <c r="D373" s="265"/>
      <c r="E373" s="265"/>
      <c r="F373" s="265"/>
      <c r="G373" s="155" t="e">
        <f>G137+G248+G362+G372</f>
        <v>#REF!</v>
      </c>
      <c r="J373" s="36" t="e">
        <f>J137+J248+J362+J372</f>
        <v>#REF!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240</v>
      </c>
      <c r="D375" s="265"/>
      <c r="E375" s="265"/>
      <c r="F375" s="265"/>
      <c r="G375" s="155" t="e">
        <f>G373-(G373*G374)</f>
        <v>#REF!</v>
      </c>
      <c r="J375" s="36" t="e">
        <f>J373-(J373*J374)</f>
        <v>#REF!</v>
      </c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</sheetData>
  <autoFilter ref="B9:H375">
    <filterColumn colId="0">
      <filters>
        <filter val="1"/>
      </filters>
    </filterColumn>
  </autoFilter>
  <mergeCells count="12">
    <mergeCell ref="C362:F362"/>
    <mergeCell ref="C372:F372"/>
    <mergeCell ref="C373:F373"/>
    <mergeCell ref="C374:F374"/>
    <mergeCell ref="C375:F375"/>
    <mergeCell ref="C137:F137"/>
    <mergeCell ref="C248:F248"/>
    <mergeCell ref="D4:F4"/>
    <mergeCell ref="C1:C4"/>
    <mergeCell ref="C5:G5"/>
    <mergeCell ref="C6:C7"/>
    <mergeCell ref="D8:G8"/>
  </mergeCells>
  <conditionalFormatting sqref="B11:G11 B165:G165 B140:B164 B209:G209 B166:B208 B287:G287 B251:B286 G251:G286 B288:B311 B312:G312 B320:G320 B313:E319 G313:G319 B334:G334 B321:E333 G321:G333 B335:E353 G335:G353 B372:G375 B364:B371 G364:G371 G166:G208 B12:E32 G12:G32 B60:G60 B59 D59:E59 B33:G58 G59 B69:G69 B61:E68 G61:G68 B87:G87 B70:E86 G70:G86 B97:G97 B88:E96 G88:G96 B105:G105 B98:E104 G98:G104 B126:G126 B106:E125 G106:G125 B127:E136 G127:G136 B210:E235 G210:G247 B354:G354 B355:B361 G355:G361 G140:G164 G288:G311 B139:G139 B250:G250 B362:G362 B248:G248 B137:G137 B239:E246 B236:B238 D236:E238">
    <cfRule type="expression" dxfId="269" priority="45">
      <formula>$B11=0</formula>
    </cfRule>
  </conditionalFormatting>
  <conditionalFormatting sqref="B10:G10">
    <cfRule type="expression" dxfId="268" priority="44">
      <formula>$B10=0</formula>
    </cfRule>
  </conditionalFormatting>
  <conditionalFormatting sqref="B247:E247">
    <cfRule type="expression" dxfId="267" priority="43">
      <formula>$B247=0</formula>
    </cfRule>
  </conditionalFormatting>
  <conditionalFormatting sqref="C141">
    <cfRule type="expression" dxfId="266" priority="39">
      <formula>$B141=0</formula>
    </cfRule>
  </conditionalFormatting>
  <conditionalFormatting sqref="C144:C148">
    <cfRule type="expression" dxfId="265" priority="38">
      <formula>$B144=0</formula>
    </cfRule>
  </conditionalFormatting>
  <conditionalFormatting sqref="C302 C303:D305 E302:E305 C288:E293 C296:E301 D294:E295">
    <cfRule type="expression" dxfId="264" priority="32">
      <formula>$B288=0</formula>
    </cfRule>
  </conditionalFormatting>
  <conditionalFormatting sqref="E151">
    <cfRule type="expression" dxfId="263" priority="40">
      <formula>$B151=0</formula>
    </cfRule>
  </conditionalFormatting>
  <conditionalFormatting sqref="C270:E286 E251:E269">
    <cfRule type="expression" dxfId="262" priority="36">
      <formula>$B251=0</formula>
    </cfRule>
  </conditionalFormatting>
  <conditionalFormatting sqref="C251:C269">
    <cfRule type="expression" dxfId="261" priority="35">
      <formula>$B251=0</formula>
    </cfRule>
  </conditionalFormatting>
  <conditionalFormatting sqref="C166:E166 C172:E175 D167:E171 C187:E208 D176:E186">
    <cfRule type="expression" dxfId="260" priority="37">
      <formula>$B166=0</formula>
    </cfRule>
  </conditionalFormatting>
  <conditionalFormatting sqref="C140:E140 C152:E163 C151:D151 C149:E150 D141:E141 D148:E148 C142:E142 C143:D143 D144:D147 E143:E147">
    <cfRule type="expression" dxfId="259" priority="42">
      <formula>$B140=0</formula>
    </cfRule>
  </conditionalFormatting>
  <conditionalFormatting sqref="C164:E164">
    <cfRule type="expression" dxfId="258" priority="41">
      <formula>$B164=0</formula>
    </cfRule>
  </conditionalFormatting>
  <conditionalFormatting sqref="D251:D269">
    <cfRule type="expression" dxfId="257" priority="34">
      <formula>$B251=0</formula>
    </cfRule>
  </conditionalFormatting>
  <conditionalFormatting sqref="C306:E311">
    <cfRule type="expression" dxfId="256" priority="33">
      <formula>$B306=0</formula>
    </cfRule>
  </conditionalFormatting>
  <conditionalFormatting sqref="C364:F371">
    <cfRule type="expression" dxfId="255" priority="31">
      <formula>$B364=0</formula>
    </cfRule>
  </conditionalFormatting>
  <conditionalFormatting sqref="F12:F32">
    <cfRule type="expression" dxfId="254" priority="30">
      <formula>$B12=0</formula>
    </cfRule>
  </conditionalFormatting>
  <conditionalFormatting sqref="C59">
    <cfRule type="expression" dxfId="253" priority="29">
      <formula>$B59=0</formula>
    </cfRule>
  </conditionalFormatting>
  <conditionalFormatting sqref="F59">
    <cfRule type="expression" dxfId="252" priority="28">
      <formula>$B59=0</formula>
    </cfRule>
  </conditionalFormatting>
  <conditionalFormatting sqref="F61:F68">
    <cfRule type="expression" dxfId="251" priority="27">
      <formula>$B61=0</formula>
    </cfRule>
  </conditionalFormatting>
  <conditionalFormatting sqref="F70:F86">
    <cfRule type="expression" dxfId="250" priority="26">
      <formula>$B70=0</formula>
    </cfRule>
  </conditionalFormatting>
  <conditionalFormatting sqref="F88:F96">
    <cfRule type="expression" dxfId="249" priority="25">
      <formula>$B88=0</formula>
    </cfRule>
  </conditionalFormatting>
  <conditionalFormatting sqref="F98:F104">
    <cfRule type="expression" dxfId="248" priority="24">
      <formula>$B98=0</formula>
    </cfRule>
  </conditionalFormatting>
  <conditionalFormatting sqref="F106:F125">
    <cfRule type="expression" dxfId="247" priority="23">
      <formula>$B106=0</formula>
    </cfRule>
  </conditionalFormatting>
  <conditionalFormatting sqref="F127:F136">
    <cfRule type="expression" dxfId="246" priority="22">
      <formula>$B127=0</formula>
    </cfRule>
  </conditionalFormatting>
  <conditionalFormatting sqref="F140:F164">
    <cfRule type="expression" dxfId="245" priority="21">
      <formula>$B140=0</formula>
    </cfRule>
  </conditionalFormatting>
  <conditionalFormatting sqref="F166:F208">
    <cfRule type="expression" dxfId="244" priority="20">
      <formula>$B166=0</formula>
    </cfRule>
  </conditionalFormatting>
  <conditionalFormatting sqref="F210:F247">
    <cfRule type="expression" dxfId="243" priority="19">
      <formula>$B210=0</formula>
    </cfRule>
  </conditionalFormatting>
  <conditionalFormatting sqref="F251:F286">
    <cfRule type="expression" dxfId="242" priority="18">
      <formula>$B251=0</formula>
    </cfRule>
  </conditionalFormatting>
  <conditionalFormatting sqref="F288:F311">
    <cfRule type="expression" dxfId="241" priority="17">
      <formula>$B288=0</formula>
    </cfRule>
  </conditionalFormatting>
  <conditionalFormatting sqref="F335:F353">
    <cfRule type="expression" dxfId="240" priority="14">
      <formula>$B335=0</formula>
    </cfRule>
  </conditionalFormatting>
  <conditionalFormatting sqref="F313:F319">
    <cfRule type="expression" dxfId="239" priority="16">
      <formula>$B313=0</formula>
    </cfRule>
  </conditionalFormatting>
  <conditionalFormatting sqref="F321:F333">
    <cfRule type="expression" dxfId="238" priority="15">
      <formula>$B321=0</formula>
    </cfRule>
  </conditionalFormatting>
  <conditionalFormatting sqref="C355:F361">
    <cfRule type="expression" dxfId="237" priority="13">
      <formula>$B355=0</formula>
    </cfRule>
  </conditionalFormatting>
  <conditionalFormatting sqref="C294:C295">
    <cfRule type="expression" dxfId="236" priority="12">
      <formula>$B294=0</formula>
    </cfRule>
  </conditionalFormatting>
  <conditionalFormatting sqref="B138:G138">
    <cfRule type="expression" dxfId="235" priority="11">
      <formula>$B138=0</formula>
    </cfRule>
  </conditionalFormatting>
  <conditionalFormatting sqref="B249:G249">
    <cfRule type="expression" dxfId="234" priority="10">
      <formula>$B249=0</formula>
    </cfRule>
  </conditionalFormatting>
  <conditionalFormatting sqref="B363:G363">
    <cfRule type="expression" dxfId="233" priority="9">
      <formula>$B363=0</formula>
    </cfRule>
  </conditionalFormatting>
  <conditionalFormatting sqref="C183:C184">
    <cfRule type="expression" dxfId="232" priority="8">
      <formula>$B183=0</formula>
    </cfRule>
  </conditionalFormatting>
  <conditionalFormatting sqref="C167:C171">
    <cfRule type="expression" dxfId="231" priority="7">
      <formula>$B167=0</formula>
    </cfRule>
  </conditionalFormatting>
  <conditionalFormatting sqref="C186">
    <cfRule type="expression" dxfId="230" priority="6">
      <formula>$B186=0</formula>
    </cfRule>
  </conditionalFormatting>
  <conditionalFormatting sqref="C185">
    <cfRule type="expression" dxfId="229" priority="5">
      <formula>$B185=0</formula>
    </cfRule>
  </conditionalFormatting>
  <conditionalFormatting sqref="C176:C177 C179:C182">
    <cfRule type="expression" dxfId="228" priority="4">
      <formula>$B176=0</formula>
    </cfRule>
  </conditionalFormatting>
  <conditionalFormatting sqref="C178">
    <cfRule type="expression" dxfId="227" priority="3">
      <formula>$B178=0</formula>
    </cfRule>
  </conditionalFormatting>
  <conditionalFormatting sqref="C236:C237">
    <cfRule type="expression" dxfId="226" priority="2">
      <formula>$B236=0</formula>
    </cfRule>
  </conditionalFormatting>
  <conditionalFormatting sqref="C238">
    <cfRule type="expression" dxfId="225" priority="1">
      <formula>$B238=0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1111113" filterMode="1">
    <tabColor rgb="FF00B050"/>
    <pageSetUpPr fitToPage="1"/>
  </sheetPr>
  <dimension ref="A1:U380"/>
  <sheetViews>
    <sheetView topLeftCell="A270" zoomScaleNormal="100" zoomScalePageLayoutView="145" workbookViewId="0">
      <selection activeCell="C380" sqref="C38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4" max="14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G137</f>
        <v>0</v>
      </c>
      <c r="U1" s="35">
        <f>J137</f>
        <v>0</v>
      </c>
    </row>
    <row r="2" spans="1:21" ht="21.9" customHeight="1" x14ac:dyDescent="0.25">
      <c r="A2" s="19">
        <v>6.94</v>
      </c>
      <c r="C2" s="258"/>
      <c r="T2" s="35" t="e">
        <f>G248</f>
        <v>#REF!</v>
      </c>
      <c r="U2" s="35" t="e">
        <f>J248</f>
        <v>#REF!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G362</f>
        <v>9490.9778000000006</v>
      </c>
      <c r="U3" s="35">
        <f>J362</f>
        <v>4624.3239000000003</v>
      </c>
    </row>
    <row r="4" spans="1:21" ht="21.9" customHeight="1" thickBot="1" x14ac:dyDescent="0.3">
      <c r="A4" s="19">
        <v>2.46</v>
      </c>
      <c r="C4" s="259"/>
      <c r="D4" s="267" t="s">
        <v>1165</v>
      </c>
      <c r="E4" s="267"/>
      <c r="F4" s="267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I6" s="36" t="s">
        <v>190</v>
      </c>
      <c r="J6" s="36" t="s">
        <v>187</v>
      </c>
      <c r="T6" s="35">
        <f>G372</f>
        <v>271.21499999999997</v>
      </c>
      <c r="U6" s="35">
        <f>J372</f>
        <v>135.60749999999999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1.8</v>
      </c>
      <c r="I7" s="36" t="e">
        <f>#REF!</f>
        <v>#REF!</v>
      </c>
      <c r="J7" s="36">
        <v>0</v>
      </c>
      <c r="T7" s="35" t="e">
        <f>G373</f>
        <v>#REF!</v>
      </c>
      <c r="U7" s="35" t="e">
        <f>J373</f>
        <v>#REF!</v>
      </c>
    </row>
    <row r="8" spans="1:21" x14ac:dyDescent="0.25">
      <c r="C8" s="55" t="s">
        <v>1015</v>
      </c>
      <c r="D8" s="255" t="e">
        <f>G375</f>
        <v>#REF!</v>
      </c>
      <c r="E8" s="256"/>
      <c r="F8" s="256"/>
      <c r="G8" s="257"/>
      <c r="H8" s="44" t="s">
        <v>760</v>
      </c>
      <c r="T8" s="35" t="e">
        <f>G375</f>
        <v>#REF!</v>
      </c>
      <c r="U8" s="35" t="e">
        <f>J375</f>
        <v>#REF!</v>
      </c>
    </row>
    <row r="9" spans="1:21" ht="15.6" x14ac:dyDescent="0.25">
      <c r="B9" s="110"/>
      <c r="C9" s="111"/>
      <c r="D9" s="112"/>
      <c r="E9" s="112"/>
      <c r="F9" s="112"/>
      <c r="G9" s="112"/>
    </row>
    <row r="10" spans="1:21" ht="15.6" hidden="1" x14ac:dyDescent="0.25">
      <c r="B10" s="153">
        <f>IF(SUM(B11:B136)&gt;0,1,0)</f>
        <v>0</v>
      </c>
      <c r="C10" s="164" t="s">
        <v>1154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hidden="1" x14ac:dyDescent="0.25">
      <c r="B11" s="59">
        <f>IF(SUM(B12:B32)&gt;0,1,0)</f>
        <v>0</v>
      </c>
      <c r="C11" s="67" t="s">
        <v>877</v>
      </c>
      <c r="D11" s="61"/>
      <c r="E11" s="62"/>
      <c r="F11" s="63"/>
      <c r="G11" s="64"/>
    </row>
    <row r="12" spans="1:21" ht="15.6" hidden="1" x14ac:dyDescent="0.25">
      <c r="B12" s="59"/>
      <c r="C12" s="65" t="s">
        <v>305</v>
      </c>
      <c r="D12" s="61" t="s">
        <v>3</v>
      </c>
      <c r="E12" s="62">
        <f>$A$2</f>
        <v>6.94</v>
      </c>
      <c r="F12" s="63">
        <f>'Прайс для расчета'!E5</f>
        <v>89.25</v>
      </c>
      <c r="G12" s="64">
        <f t="shared" ref="G12:G32" si="0">F12*E12</f>
        <v>619.39499999999998</v>
      </c>
      <c r="I12" s="135">
        <f>'Прайс для расчета (М)'!E5</f>
        <v>44.625</v>
      </c>
      <c r="J12" s="36">
        <f t="shared" ref="J12:J32" si="1">I12*E12</f>
        <v>309.69749999999999</v>
      </c>
    </row>
    <row r="13" spans="1:21" ht="15.6" hidden="1" x14ac:dyDescent="0.25">
      <c r="B13" s="59"/>
      <c r="C13" s="65" t="s">
        <v>306</v>
      </c>
      <c r="D13" s="61" t="s">
        <v>2</v>
      </c>
      <c r="E13" s="62">
        <f t="shared" ref="E13:E28" si="2">$A$4</f>
        <v>2.46</v>
      </c>
      <c r="F13" s="63">
        <f>'Прайс для расчета'!E6</f>
        <v>157.5</v>
      </c>
      <c r="G13" s="64">
        <f t="shared" si="0"/>
        <v>387.45</v>
      </c>
      <c r="I13" s="135">
        <f>'Прайс для расчета (М)'!E6</f>
        <v>78.75</v>
      </c>
      <c r="J13" s="36">
        <f t="shared" si="1"/>
        <v>193.72499999999999</v>
      </c>
    </row>
    <row r="14" spans="1:21" ht="15.6" hidden="1" x14ac:dyDescent="0.25">
      <c r="B14" s="59"/>
      <c r="C14" s="65" t="s">
        <v>307</v>
      </c>
      <c r="D14" s="61" t="s">
        <v>2</v>
      </c>
      <c r="E14" s="62">
        <f t="shared" si="2"/>
        <v>2.46</v>
      </c>
      <c r="F14" s="63">
        <f>'Прайс для расчета'!E7</f>
        <v>292.23599999999999</v>
      </c>
      <c r="G14" s="64">
        <f t="shared" si="0"/>
        <v>718.90055999999993</v>
      </c>
      <c r="I14" s="135">
        <f>'Прайс для расчета (М)'!E7</f>
        <v>146.11799999999999</v>
      </c>
      <c r="J14" s="36">
        <f t="shared" si="1"/>
        <v>359.45027999999996</v>
      </c>
    </row>
    <row r="15" spans="1:21" ht="15.6" hidden="1" x14ac:dyDescent="0.25">
      <c r="B15" s="59"/>
      <c r="C15" s="65" t="s">
        <v>308</v>
      </c>
      <c r="D15" s="61" t="s">
        <v>2</v>
      </c>
      <c r="E15" s="62">
        <f t="shared" si="2"/>
        <v>2.46</v>
      </c>
      <c r="F15" s="63">
        <f>'Прайс для расчета'!E8</f>
        <v>367.5</v>
      </c>
      <c r="G15" s="64">
        <f t="shared" si="0"/>
        <v>904.05</v>
      </c>
      <c r="I15" s="135">
        <f>'Прайс для расчета (М)'!E8</f>
        <v>183.75</v>
      </c>
      <c r="J15" s="36">
        <f t="shared" si="1"/>
        <v>452.02499999999998</v>
      </c>
    </row>
    <row r="16" spans="1:21" ht="15.6" hidden="1" x14ac:dyDescent="0.25">
      <c r="B16" s="59"/>
      <c r="C16" s="65" t="s">
        <v>309</v>
      </c>
      <c r="D16" s="61" t="s">
        <v>2</v>
      </c>
      <c r="E16" s="62">
        <f t="shared" si="2"/>
        <v>2.46</v>
      </c>
      <c r="F16" s="63">
        <f>'Прайс для расчета'!E9</f>
        <v>120.771</v>
      </c>
      <c r="G16" s="64">
        <f t="shared" si="0"/>
        <v>297.09665999999999</v>
      </c>
      <c r="I16" s="135">
        <f>'Прайс для расчета (М)'!E9</f>
        <v>60.3855</v>
      </c>
      <c r="J16" s="36">
        <f t="shared" si="1"/>
        <v>148.54832999999999</v>
      </c>
    </row>
    <row r="17" spans="2:10" ht="15.6" hidden="1" x14ac:dyDescent="0.25">
      <c r="B17" s="59"/>
      <c r="C17" s="65" t="s">
        <v>310</v>
      </c>
      <c r="D17" s="61" t="s">
        <v>2</v>
      </c>
      <c r="E17" s="62">
        <f t="shared" si="2"/>
        <v>2.46</v>
      </c>
      <c r="F17" s="63">
        <f>'Прайс для расчета'!E10</f>
        <v>102.87899999999999</v>
      </c>
      <c r="G17" s="64">
        <f t="shared" si="0"/>
        <v>253.08233999999996</v>
      </c>
      <c r="I17" s="135">
        <f>'Прайс для расчета (М)'!E10</f>
        <v>51.439499999999995</v>
      </c>
      <c r="J17" s="36">
        <f t="shared" si="1"/>
        <v>126.54116999999998</v>
      </c>
    </row>
    <row r="18" spans="2:10" ht="15.6" hidden="1" x14ac:dyDescent="0.25">
      <c r="B18" s="59"/>
      <c r="C18" s="65" t="s">
        <v>1002</v>
      </c>
      <c r="D18" s="61" t="s">
        <v>2</v>
      </c>
      <c r="E18" s="62">
        <f t="shared" si="2"/>
        <v>2.46</v>
      </c>
      <c r="F18" s="63">
        <f>'Прайс для расчета'!E11</f>
        <v>1837.5</v>
      </c>
      <c r="G18" s="64">
        <f t="shared" si="0"/>
        <v>4520.25</v>
      </c>
      <c r="I18" s="135">
        <f>'Прайс для расчета (М)'!E11</f>
        <v>918.75</v>
      </c>
      <c r="J18" s="36">
        <f t="shared" si="1"/>
        <v>2260.125</v>
      </c>
    </row>
    <row r="19" spans="2:10" ht="15.6" hidden="1" x14ac:dyDescent="0.25">
      <c r="B19" s="59"/>
      <c r="C19" s="65" t="s">
        <v>1003</v>
      </c>
      <c r="D19" s="61" t="s">
        <v>2</v>
      </c>
      <c r="E19" s="62">
        <f t="shared" si="2"/>
        <v>2.46</v>
      </c>
      <c r="F19" s="63">
        <f>'Прайс для расчета'!E12</f>
        <v>2677.5</v>
      </c>
      <c r="G19" s="64">
        <f t="shared" si="0"/>
        <v>6586.65</v>
      </c>
      <c r="I19" s="135">
        <f>'Прайс для расчета (М)'!E12</f>
        <v>1338.75</v>
      </c>
      <c r="J19" s="36">
        <f t="shared" si="1"/>
        <v>3293.3249999999998</v>
      </c>
    </row>
    <row r="20" spans="2:10" ht="15.6" hidden="1" x14ac:dyDescent="0.25">
      <c r="B20" s="59"/>
      <c r="C20" s="65" t="s">
        <v>59</v>
      </c>
      <c r="D20" s="61" t="s">
        <v>2</v>
      </c>
      <c r="E20" s="62">
        <f t="shared" si="2"/>
        <v>2.46</v>
      </c>
      <c r="F20" s="63">
        <f>'Прайс для расчета'!E13</f>
        <v>367.5</v>
      </c>
      <c r="G20" s="64">
        <f t="shared" si="0"/>
        <v>904.05</v>
      </c>
      <c r="I20" s="135">
        <f>'Прайс для расчета (М)'!E13</f>
        <v>183.75</v>
      </c>
      <c r="J20" s="36">
        <f t="shared" si="1"/>
        <v>452.02499999999998</v>
      </c>
    </row>
    <row r="21" spans="2:10" ht="15.6" hidden="1" x14ac:dyDescent="0.25">
      <c r="B21" s="59"/>
      <c r="C21" s="65" t="s">
        <v>311</v>
      </c>
      <c r="D21" s="61" t="s">
        <v>2</v>
      </c>
      <c r="E21" s="62">
        <f t="shared" si="2"/>
        <v>2.46</v>
      </c>
      <c r="F21" s="63">
        <f>'Прайс для расчета'!E14</f>
        <v>315</v>
      </c>
      <c r="G21" s="64">
        <f t="shared" si="0"/>
        <v>774.9</v>
      </c>
      <c r="I21" s="135">
        <f>'Прайс для расчета (М)'!E14</f>
        <v>157.5</v>
      </c>
      <c r="J21" s="36">
        <f t="shared" si="1"/>
        <v>387.45</v>
      </c>
    </row>
    <row r="22" spans="2:10" ht="15.6" hidden="1" x14ac:dyDescent="0.25">
      <c r="B22" s="59"/>
      <c r="C22" s="65" t="s">
        <v>312</v>
      </c>
      <c r="D22" s="61" t="s">
        <v>2</v>
      </c>
      <c r="E22" s="62">
        <f t="shared" si="2"/>
        <v>2.46</v>
      </c>
      <c r="F22" s="63">
        <f>'Прайс для расчета'!E15</f>
        <v>162.75</v>
      </c>
      <c r="G22" s="64">
        <f t="shared" si="0"/>
        <v>400.36500000000001</v>
      </c>
      <c r="I22" s="135">
        <f>'Прайс для расчета (М)'!E15</f>
        <v>81.375</v>
      </c>
      <c r="J22" s="36">
        <f t="shared" si="1"/>
        <v>200.1825</v>
      </c>
    </row>
    <row r="23" spans="2:10" ht="15.6" hidden="1" x14ac:dyDescent="0.25">
      <c r="B23" s="59"/>
      <c r="C23" s="65" t="s">
        <v>313</v>
      </c>
      <c r="D23" s="61" t="s">
        <v>2</v>
      </c>
      <c r="E23" s="62">
        <f t="shared" si="2"/>
        <v>2.46</v>
      </c>
      <c r="F23" s="63">
        <f>'Прайс для расчета'!E16</f>
        <v>162.75</v>
      </c>
      <c r="G23" s="64">
        <f t="shared" si="0"/>
        <v>400.36500000000001</v>
      </c>
      <c r="I23" s="135">
        <f>'Прайс для расчета (М)'!E16</f>
        <v>81.375</v>
      </c>
      <c r="J23" s="36">
        <f t="shared" si="1"/>
        <v>200.1825</v>
      </c>
    </row>
    <row r="24" spans="2:10" ht="15.6" hidden="1" x14ac:dyDescent="0.25">
      <c r="B24" s="59"/>
      <c r="C24" s="65" t="s">
        <v>314</v>
      </c>
      <c r="D24" s="61" t="s">
        <v>2</v>
      </c>
      <c r="E24" s="62">
        <f t="shared" si="2"/>
        <v>2.46</v>
      </c>
      <c r="F24" s="63">
        <f>'Прайс для расчета'!E17</f>
        <v>335.47500000000002</v>
      </c>
      <c r="G24" s="64">
        <f t="shared" si="0"/>
        <v>825.26850000000002</v>
      </c>
      <c r="I24" s="135">
        <f>'Прайс для расчета (М)'!E17</f>
        <v>167.73750000000001</v>
      </c>
      <c r="J24" s="36">
        <f t="shared" si="1"/>
        <v>412.63425000000001</v>
      </c>
    </row>
    <row r="25" spans="2:10" ht="15.6" hidden="1" x14ac:dyDescent="0.25">
      <c r="B25" s="59"/>
      <c r="C25" s="65" t="s">
        <v>658</v>
      </c>
      <c r="D25" s="61" t="s">
        <v>2</v>
      </c>
      <c r="E25" s="62">
        <f t="shared" si="2"/>
        <v>2.46</v>
      </c>
      <c r="F25" s="63">
        <f>'Прайс для расчета'!E18</f>
        <v>73.5</v>
      </c>
      <c r="G25" s="64">
        <f t="shared" si="0"/>
        <v>180.81</v>
      </c>
      <c r="I25" s="135">
        <f>'Прайс для расчета (М)'!E18</f>
        <v>36.75</v>
      </c>
      <c r="J25" s="36">
        <f t="shared" si="1"/>
        <v>90.405000000000001</v>
      </c>
    </row>
    <row r="26" spans="2:10" ht="15.6" hidden="1" x14ac:dyDescent="0.25">
      <c r="B26" s="59"/>
      <c r="C26" s="65" t="s">
        <v>315</v>
      </c>
      <c r="D26" s="61" t="s">
        <v>2</v>
      </c>
      <c r="E26" s="62">
        <f t="shared" si="2"/>
        <v>2.46</v>
      </c>
      <c r="F26" s="63">
        <f>'Прайс для расчета'!E19</f>
        <v>420.46199999999999</v>
      </c>
      <c r="G26" s="64">
        <f t="shared" si="0"/>
        <v>1034.3365200000001</v>
      </c>
      <c r="I26" s="135">
        <f>'Прайс для расчета (М)'!E19</f>
        <v>210.23099999999999</v>
      </c>
      <c r="J26" s="36">
        <f t="shared" si="1"/>
        <v>517.16826000000003</v>
      </c>
    </row>
    <row r="27" spans="2:10" ht="15.6" hidden="1" x14ac:dyDescent="0.25">
      <c r="B27" s="59"/>
      <c r="C27" s="65" t="s">
        <v>316</v>
      </c>
      <c r="D27" s="61" t="s">
        <v>2</v>
      </c>
      <c r="E27" s="62">
        <f t="shared" si="2"/>
        <v>2.46</v>
      </c>
      <c r="F27" s="63">
        <f>'Прайс для расчета'!E20</f>
        <v>577.5</v>
      </c>
      <c r="G27" s="64">
        <f t="shared" si="0"/>
        <v>1420.65</v>
      </c>
      <c r="I27" s="135">
        <f>'Прайс для расчета (М)'!E20</f>
        <v>288.75</v>
      </c>
      <c r="J27" s="36">
        <f t="shared" si="1"/>
        <v>710.32500000000005</v>
      </c>
    </row>
    <row r="28" spans="2:10" ht="15.6" hidden="1" x14ac:dyDescent="0.25">
      <c r="B28" s="59"/>
      <c r="C28" s="65" t="s">
        <v>317</v>
      </c>
      <c r="D28" s="61" t="s">
        <v>2</v>
      </c>
      <c r="E28" s="62">
        <f t="shared" si="2"/>
        <v>2.46</v>
      </c>
      <c r="F28" s="63">
        <f>'Прайс для расчета'!E21</f>
        <v>262.5</v>
      </c>
      <c r="G28" s="64">
        <f t="shared" si="0"/>
        <v>645.75</v>
      </c>
      <c r="I28" s="135">
        <f>'Прайс для расчета (М)'!E21</f>
        <v>131.25</v>
      </c>
      <c r="J28" s="36">
        <f t="shared" si="1"/>
        <v>322.875</v>
      </c>
    </row>
    <row r="29" spans="2:10" ht="15.6" hidden="1" x14ac:dyDescent="0.25">
      <c r="B29" s="59"/>
      <c r="C29" s="65" t="s">
        <v>318</v>
      </c>
      <c r="D29" s="61" t="s">
        <v>3</v>
      </c>
      <c r="E29" s="62">
        <f>$A$2</f>
        <v>6.94</v>
      </c>
      <c r="F29" s="63">
        <f>'Прайс для расчета'!E22</f>
        <v>644.11199999999997</v>
      </c>
      <c r="G29" s="64">
        <f t="shared" si="0"/>
        <v>4470.1372799999999</v>
      </c>
      <c r="I29" s="135">
        <f>'Прайс для расчета (М)'!E22</f>
        <v>322.05599999999998</v>
      </c>
      <c r="J29" s="36">
        <f t="shared" si="1"/>
        <v>2235.06864</v>
      </c>
    </row>
    <row r="30" spans="2:10" ht="15.6" hidden="1" x14ac:dyDescent="0.25">
      <c r="B30" s="59"/>
      <c r="C30" s="65" t="s">
        <v>319</v>
      </c>
      <c r="D30" s="61" t="s">
        <v>3</v>
      </c>
      <c r="E30" s="62">
        <f>$A$2</f>
        <v>6.94</v>
      </c>
      <c r="F30" s="63">
        <f>'Прайс для расчета'!E23</f>
        <v>111.825</v>
      </c>
      <c r="G30" s="64">
        <f t="shared" si="0"/>
        <v>776.06550000000004</v>
      </c>
      <c r="I30" s="135">
        <f>'Прайс для расчета (М)'!E23</f>
        <v>55.912500000000001</v>
      </c>
      <c r="J30" s="36">
        <f t="shared" si="1"/>
        <v>388.03275000000002</v>
      </c>
    </row>
    <row r="31" spans="2:10" ht="15.6" hidden="1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hidden="1" x14ac:dyDescent="0.25">
      <c r="B32" s="59"/>
      <c r="C32" s="65" t="s">
        <v>219</v>
      </c>
      <c r="D32" s="61" t="s">
        <v>2</v>
      </c>
      <c r="E32" s="62">
        <f>$A$4</f>
        <v>2.46</v>
      </c>
      <c r="F32" s="63">
        <f>'Прайс для расчета'!E25</f>
        <v>335.47500000000002</v>
      </c>
      <c r="G32" s="64">
        <f t="shared" si="0"/>
        <v>825.26850000000002</v>
      </c>
      <c r="I32" s="135">
        <f>'Прайс для расчета (М)'!E25</f>
        <v>167.73750000000001</v>
      </c>
      <c r="J32" s="36">
        <f t="shared" si="1"/>
        <v>412.63425000000001</v>
      </c>
    </row>
    <row r="33" spans="2:10" ht="15.6" hidden="1" x14ac:dyDescent="0.25">
      <c r="B33" s="59">
        <f>IF(SUM(B34:B59)&gt;0,1,0)</f>
        <v>0</v>
      </c>
      <c r="C33" s="67" t="s">
        <v>878</v>
      </c>
      <c r="D33" s="61"/>
      <c r="E33" s="62"/>
      <c r="F33" s="63"/>
      <c r="G33" s="64"/>
    </row>
    <row r="34" spans="2:10" ht="15.6" hidden="1" x14ac:dyDescent="0.25">
      <c r="B34" s="59"/>
      <c r="C34" s="65" t="s">
        <v>321</v>
      </c>
      <c r="D34" s="61" t="s">
        <v>3</v>
      </c>
      <c r="E34" s="62">
        <v>1</v>
      </c>
      <c r="F34" s="63">
        <f>'Прайс для расчета'!E29</f>
        <v>68.585999999999999</v>
      </c>
      <c r="G34" s="64">
        <f t="shared" ref="G34:G59" si="3">F34*E34</f>
        <v>68.585999999999999</v>
      </c>
      <c r="I34" s="135">
        <f>'Прайс для расчета (М)'!E29</f>
        <v>34.292999999999999</v>
      </c>
      <c r="J34" s="36">
        <f t="shared" ref="J34:J59" si="4">I34*E34</f>
        <v>34.292999999999999</v>
      </c>
    </row>
    <row r="35" spans="2:10" ht="15.6" hidden="1" x14ac:dyDescent="0.25">
      <c r="B35" s="59"/>
      <c r="C35" s="65" t="s">
        <v>322</v>
      </c>
      <c r="D35" s="61" t="s">
        <v>0</v>
      </c>
      <c r="E35" s="62">
        <v>1</v>
      </c>
      <c r="F35" s="63">
        <f>'Прайс для расчета'!E30</f>
        <v>231</v>
      </c>
      <c r="G35" s="64">
        <f t="shared" si="3"/>
        <v>231</v>
      </c>
      <c r="I35" s="135">
        <f>'Прайс для расчета (М)'!E30</f>
        <v>115.5</v>
      </c>
      <c r="J35" s="36">
        <f t="shared" si="4"/>
        <v>115.5</v>
      </c>
    </row>
    <row r="36" spans="2:10" ht="15.6" hidden="1" x14ac:dyDescent="0.25">
      <c r="B36" s="59"/>
      <c r="C36" s="65" t="s">
        <v>220</v>
      </c>
      <c r="D36" s="61" t="s">
        <v>2</v>
      </c>
      <c r="E36" s="62" t="e">
        <f t="shared" ref="E36:E42" si="5">$A$6</f>
        <v>#REF!</v>
      </c>
      <c r="F36" s="63">
        <f>'Прайс для расчета'!E31</f>
        <v>210</v>
      </c>
      <c r="G36" s="64" t="e">
        <f t="shared" si="3"/>
        <v>#REF!</v>
      </c>
      <c r="I36" s="135">
        <f>'Прайс для расчета (М)'!E31</f>
        <v>105</v>
      </c>
      <c r="J36" s="36" t="e">
        <f t="shared" si="4"/>
        <v>#REF!</v>
      </c>
    </row>
    <row r="37" spans="2:10" ht="15.6" hidden="1" x14ac:dyDescent="0.25">
      <c r="B37" s="59"/>
      <c r="C37" s="65" t="s">
        <v>323</v>
      </c>
      <c r="D37" s="61" t="s">
        <v>2</v>
      </c>
      <c r="E37" s="62" t="e">
        <f t="shared" si="5"/>
        <v>#REF!</v>
      </c>
      <c r="F37" s="63">
        <f>'Прайс для расчета'!E32</f>
        <v>205.75799999999998</v>
      </c>
      <c r="G37" s="64" t="e">
        <f t="shared" si="3"/>
        <v>#REF!</v>
      </c>
      <c r="I37" s="135">
        <f>'Прайс для расчета (М)'!E32</f>
        <v>102.87899999999999</v>
      </c>
      <c r="J37" s="36" t="e">
        <f t="shared" si="4"/>
        <v>#REF!</v>
      </c>
    </row>
    <row r="38" spans="2:10" ht="15.6" hidden="1" x14ac:dyDescent="0.25">
      <c r="B38" s="59"/>
      <c r="C38" s="65" t="s">
        <v>154</v>
      </c>
      <c r="D38" s="61" t="s">
        <v>2</v>
      </c>
      <c r="E38" s="62" t="e">
        <f t="shared" si="5"/>
        <v>#REF!</v>
      </c>
      <c r="F38" s="63">
        <f>'Прайс для расчета'!E33</f>
        <v>205.75799999999998</v>
      </c>
      <c r="G38" s="64" t="e">
        <f t="shared" si="3"/>
        <v>#REF!</v>
      </c>
      <c r="I38" s="135">
        <f>'Прайс для расчета (М)'!E33</f>
        <v>102.87899999999999</v>
      </c>
      <c r="J38" s="36" t="e">
        <f t="shared" si="4"/>
        <v>#REF!</v>
      </c>
    </row>
    <row r="39" spans="2:10" ht="15.6" hidden="1" x14ac:dyDescent="0.25">
      <c r="B39" s="59"/>
      <c r="C39" s="65" t="s">
        <v>324</v>
      </c>
      <c r="D39" s="61" t="s">
        <v>2</v>
      </c>
      <c r="E39" s="62" t="e">
        <f t="shared" si="5"/>
        <v>#REF!</v>
      </c>
      <c r="F39" s="63">
        <f>'Прайс для расчета'!E34</f>
        <v>506.94</v>
      </c>
      <c r="G39" s="64" t="e">
        <f t="shared" si="3"/>
        <v>#REF!</v>
      </c>
      <c r="I39" s="135">
        <f>'Прайс для расчета (М)'!E34</f>
        <v>253.47</v>
      </c>
      <c r="J39" s="36" t="e">
        <f t="shared" si="4"/>
        <v>#REF!</v>
      </c>
    </row>
    <row r="40" spans="2:10" ht="15.6" hidden="1" x14ac:dyDescent="0.25">
      <c r="B40" s="59"/>
      <c r="C40" s="65" t="s">
        <v>325</v>
      </c>
      <c r="D40" s="61" t="s">
        <v>2</v>
      </c>
      <c r="E40" s="62" t="e">
        <f t="shared" si="5"/>
        <v>#REF!</v>
      </c>
      <c r="F40" s="63">
        <f>'Прайс для расчета'!E35</f>
        <v>205.75799999999998</v>
      </c>
      <c r="G40" s="64" t="e">
        <f t="shared" si="3"/>
        <v>#REF!</v>
      </c>
      <c r="I40" s="135">
        <f>'Прайс для расчета (М)'!E35</f>
        <v>102.87899999999999</v>
      </c>
      <c r="J40" s="36" t="e">
        <f t="shared" si="4"/>
        <v>#REF!</v>
      </c>
    </row>
    <row r="41" spans="2:10" ht="15.6" hidden="1" x14ac:dyDescent="0.25">
      <c r="B41" s="59"/>
      <c r="C41" s="65" t="s">
        <v>155</v>
      </c>
      <c r="D41" s="61" t="s">
        <v>2</v>
      </c>
      <c r="E41" s="62" t="e">
        <f t="shared" si="5"/>
        <v>#REF!</v>
      </c>
      <c r="F41" s="63">
        <f>'Прайс для расчета'!E36</f>
        <v>205.75799999999998</v>
      </c>
      <c r="G41" s="64" t="e">
        <f t="shared" si="3"/>
        <v>#REF!</v>
      </c>
      <c r="I41" s="135">
        <f>'Прайс для расчета (М)'!E36</f>
        <v>102.87899999999999</v>
      </c>
      <c r="J41" s="36" t="e">
        <f t="shared" si="4"/>
        <v>#REF!</v>
      </c>
    </row>
    <row r="42" spans="2:10" ht="15.6" hidden="1" x14ac:dyDescent="0.25">
      <c r="B42" s="59"/>
      <c r="C42" s="65" t="s">
        <v>659</v>
      </c>
      <c r="D42" s="61" t="s">
        <v>2</v>
      </c>
      <c r="E42" s="62" t="e">
        <f t="shared" si="5"/>
        <v>#REF!</v>
      </c>
      <c r="F42" s="63">
        <f>'Прайс для расчета'!E37</f>
        <v>204.75</v>
      </c>
      <c r="G42" s="64" t="e">
        <f t="shared" si="3"/>
        <v>#REF!</v>
      </c>
      <c r="I42" s="135">
        <f>'Прайс для расчета (М)'!E37</f>
        <v>102.375</v>
      </c>
      <c r="J42" s="36" t="e">
        <f t="shared" si="4"/>
        <v>#REF!</v>
      </c>
    </row>
    <row r="43" spans="2:10" ht="15.6" hidden="1" x14ac:dyDescent="0.25">
      <c r="B43" s="59"/>
      <c r="C43" s="65" t="s">
        <v>660</v>
      </c>
      <c r="D43" s="61" t="s">
        <v>3</v>
      </c>
      <c r="E43" s="62">
        <v>1</v>
      </c>
      <c r="F43" s="63">
        <f>'Прайс для расчета'!E38</f>
        <v>292.23599999999999</v>
      </c>
      <c r="G43" s="64">
        <f t="shared" si="3"/>
        <v>292.23599999999999</v>
      </c>
      <c r="I43" s="135">
        <f>'Прайс для расчета (М)'!E38</f>
        <v>146.11799999999999</v>
      </c>
      <c r="J43" s="36">
        <f t="shared" si="4"/>
        <v>146.11799999999999</v>
      </c>
    </row>
    <row r="44" spans="2:10" ht="15.6" hidden="1" x14ac:dyDescent="0.25">
      <c r="B44" s="59"/>
      <c r="C44" s="65" t="s">
        <v>326</v>
      </c>
      <c r="D44" s="61" t="s">
        <v>2</v>
      </c>
      <c r="E44" s="62" t="e">
        <f>$A$6</f>
        <v>#REF!</v>
      </c>
      <c r="F44" s="63">
        <f>'Прайс для расчета'!E39</f>
        <v>164.01</v>
      </c>
      <c r="G44" s="64" t="e">
        <f t="shared" si="3"/>
        <v>#REF!</v>
      </c>
      <c r="I44" s="135">
        <f>'Прайс для расчета (М)'!E39</f>
        <v>82.004999999999995</v>
      </c>
      <c r="J44" s="36" t="e">
        <f t="shared" si="4"/>
        <v>#REF!</v>
      </c>
    </row>
    <row r="45" spans="2:10" ht="15.6" hidden="1" x14ac:dyDescent="0.25">
      <c r="B45" s="59"/>
      <c r="C45" s="65" t="s">
        <v>327</v>
      </c>
      <c r="D45" s="61" t="s">
        <v>0</v>
      </c>
      <c r="E45" s="62">
        <v>1</v>
      </c>
      <c r="F45" s="63">
        <f>'Прайс для расчета'!E40</f>
        <v>335.47500000000002</v>
      </c>
      <c r="G45" s="64">
        <f t="shared" si="3"/>
        <v>335.47500000000002</v>
      </c>
      <c r="I45" s="135">
        <f>'Прайс для расчета (М)'!E40</f>
        <v>167.73750000000001</v>
      </c>
      <c r="J45" s="36">
        <f t="shared" si="4"/>
        <v>167.73750000000001</v>
      </c>
    </row>
    <row r="46" spans="2:10" ht="15.6" hidden="1" x14ac:dyDescent="0.25">
      <c r="B46" s="59"/>
      <c r="C46" s="65" t="s">
        <v>328</v>
      </c>
      <c r="D46" s="61" t="s">
        <v>2</v>
      </c>
      <c r="E46" s="62" t="e">
        <f t="shared" ref="E46:E57" si="6">$A$6</f>
        <v>#REF!</v>
      </c>
      <c r="F46" s="63">
        <f>'Прайс для расчета'!E41</f>
        <v>315</v>
      </c>
      <c r="G46" s="64" t="e">
        <f t="shared" si="3"/>
        <v>#REF!</v>
      </c>
      <c r="I46" s="135">
        <f>'Прайс для расчета (М)'!E41</f>
        <v>157.5</v>
      </c>
      <c r="J46" s="36" t="e">
        <f t="shared" si="4"/>
        <v>#REF!</v>
      </c>
    </row>
    <row r="47" spans="2:10" ht="15.6" hidden="1" x14ac:dyDescent="0.25">
      <c r="B47" s="59"/>
      <c r="C47" s="65" t="s">
        <v>329</v>
      </c>
      <c r="D47" s="61" t="s">
        <v>2</v>
      </c>
      <c r="E47" s="62" t="e">
        <f t="shared" si="6"/>
        <v>#REF!</v>
      </c>
      <c r="F47" s="63">
        <f>'Прайс для расчета'!E42</f>
        <v>292.23599999999999</v>
      </c>
      <c r="G47" s="64" t="e">
        <f t="shared" si="3"/>
        <v>#REF!</v>
      </c>
      <c r="I47" s="135">
        <f>'Прайс для расчета (М)'!E42</f>
        <v>146.11799999999999</v>
      </c>
      <c r="J47" s="36" t="e">
        <f t="shared" si="4"/>
        <v>#REF!</v>
      </c>
    </row>
    <row r="48" spans="2:10" ht="15.6" hidden="1" x14ac:dyDescent="0.25">
      <c r="B48" s="59"/>
      <c r="C48" s="65" t="s">
        <v>222</v>
      </c>
      <c r="D48" s="61" t="s">
        <v>3</v>
      </c>
      <c r="E48" s="62" t="e">
        <f t="shared" si="6"/>
        <v>#REF!</v>
      </c>
      <c r="F48" s="63">
        <f>'Прайс для расчета'!E43</f>
        <v>335.47500000000002</v>
      </c>
      <c r="G48" s="64" t="e">
        <f t="shared" si="3"/>
        <v>#REF!</v>
      </c>
      <c r="I48" s="135">
        <f>'Прайс для расчета (М)'!E43</f>
        <v>167.73750000000001</v>
      </c>
      <c r="J48" s="36" t="e">
        <f t="shared" si="4"/>
        <v>#REF!</v>
      </c>
    </row>
    <row r="49" spans="2:10" ht="15.6" hidden="1" x14ac:dyDescent="0.25">
      <c r="B49" s="59"/>
      <c r="C49" s="65" t="s">
        <v>330</v>
      </c>
      <c r="D49" s="61" t="s">
        <v>2</v>
      </c>
      <c r="E49" s="62" t="e">
        <f t="shared" si="6"/>
        <v>#REF!</v>
      </c>
      <c r="F49" s="63">
        <f>'Прайс для расчета'!E44</f>
        <v>335.47500000000002</v>
      </c>
      <c r="G49" s="64" t="e">
        <f t="shared" si="3"/>
        <v>#REF!</v>
      </c>
      <c r="I49" s="135">
        <f>'Прайс для расчета (М)'!E44</f>
        <v>167.73750000000001</v>
      </c>
      <c r="J49" s="36" t="e">
        <f t="shared" si="4"/>
        <v>#REF!</v>
      </c>
    </row>
    <row r="50" spans="2:10" ht="15.6" hidden="1" x14ac:dyDescent="0.25">
      <c r="B50" s="59"/>
      <c r="C50" s="65" t="s">
        <v>475</v>
      </c>
      <c r="D50" s="61" t="s">
        <v>2</v>
      </c>
      <c r="E50" s="62" t="e">
        <f t="shared" si="6"/>
        <v>#REF!</v>
      </c>
      <c r="F50" s="63">
        <f>'Прайс для расчета'!E45</f>
        <v>102.87899999999999</v>
      </c>
      <c r="G50" s="64" t="e">
        <f t="shared" si="3"/>
        <v>#REF!</v>
      </c>
      <c r="I50" s="135">
        <f>'Прайс для расчета (М)'!E45</f>
        <v>51.439499999999995</v>
      </c>
      <c r="J50" s="36" t="e">
        <f t="shared" si="4"/>
        <v>#REF!</v>
      </c>
    </row>
    <row r="51" spans="2:10" ht="15.6" hidden="1" x14ac:dyDescent="0.25">
      <c r="B51" s="59"/>
      <c r="C51" s="65" t="s">
        <v>476</v>
      </c>
      <c r="D51" s="61" t="s">
        <v>2</v>
      </c>
      <c r="E51" s="62" t="e">
        <f t="shared" si="6"/>
        <v>#REF!</v>
      </c>
      <c r="F51" s="63">
        <f>'Прайс для расчета'!E46</f>
        <v>164.01</v>
      </c>
      <c r="G51" s="64" t="e">
        <f t="shared" si="3"/>
        <v>#REF!</v>
      </c>
      <c r="I51" s="135">
        <f>'Прайс для расчета (М)'!E46</f>
        <v>82.004999999999995</v>
      </c>
      <c r="J51" s="36" t="e">
        <f t="shared" si="4"/>
        <v>#REF!</v>
      </c>
    </row>
    <row r="52" spans="2:10" ht="15.6" hidden="1" x14ac:dyDescent="0.25">
      <c r="B52" s="59"/>
      <c r="C52" s="65" t="s">
        <v>477</v>
      </c>
      <c r="D52" s="61" t="s">
        <v>2</v>
      </c>
      <c r="E52" s="62" t="e">
        <f t="shared" si="6"/>
        <v>#REF!</v>
      </c>
      <c r="F52" s="63">
        <f>'Прайс для расчета'!E47</f>
        <v>849.87</v>
      </c>
      <c r="G52" s="64" t="e">
        <f t="shared" si="3"/>
        <v>#REF!</v>
      </c>
      <c r="I52" s="135">
        <f>'Прайс для расчета (М)'!E47</f>
        <v>424.935</v>
      </c>
      <c r="J52" s="36" t="e">
        <f t="shared" si="4"/>
        <v>#REF!</v>
      </c>
    </row>
    <row r="53" spans="2:10" ht="15.6" hidden="1" x14ac:dyDescent="0.25">
      <c r="B53" s="59"/>
      <c r="C53" s="65" t="s">
        <v>478</v>
      </c>
      <c r="D53" s="61" t="s">
        <v>2</v>
      </c>
      <c r="E53" s="62" t="e">
        <f t="shared" si="6"/>
        <v>#REF!</v>
      </c>
      <c r="F53" s="63">
        <f>'Прайс для расчета'!E48</f>
        <v>1021.3349999999999</v>
      </c>
      <c r="G53" s="64" t="e">
        <f t="shared" si="3"/>
        <v>#REF!</v>
      </c>
      <c r="I53" s="135">
        <f>'Прайс для расчета (М)'!E48</f>
        <v>510.66749999999996</v>
      </c>
      <c r="J53" s="36" t="e">
        <f t="shared" si="4"/>
        <v>#REF!</v>
      </c>
    </row>
    <row r="54" spans="2:10" ht="15.6" hidden="1" x14ac:dyDescent="0.25">
      <c r="B54" s="59"/>
      <c r="C54" s="65" t="s">
        <v>479</v>
      </c>
      <c r="D54" s="61" t="s">
        <v>2</v>
      </c>
      <c r="E54" s="62" t="e">
        <f t="shared" si="6"/>
        <v>#REF!</v>
      </c>
      <c r="F54" s="63">
        <f>'Прайс для расчета'!E49</f>
        <v>1192.8</v>
      </c>
      <c r="G54" s="64" t="e">
        <f t="shared" si="3"/>
        <v>#REF!</v>
      </c>
      <c r="I54" s="135">
        <f>'Прайс для расчета (М)'!E49</f>
        <v>596.4</v>
      </c>
      <c r="J54" s="36" t="e">
        <f t="shared" si="4"/>
        <v>#REF!</v>
      </c>
    </row>
    <row r="55" spans="2:10" ht="15.6" hidden="1" x14ac:dyDescent="0.25">
      <c r="B55" s="59"/>
      <c r="C55" s="65" t="s">
        <v>480</v>
      </c>
      <c r="D55" s="61" t="s">
        <v>2</v>
      </c>
      <c r="E55" s="62" t="e">
        <f t="shared" si="6"/>
        <v>#REF!</v>
      </c>
      <c r="F55" s="63">
        <f>'Прайс для расчета'!E50</f>
        <v>1364.2650000000001</v>
      </c>
      <c r="G55" s="64" t="e">
        <f t="shared" si="3"/>
        <v>#REF!</v>
      </c>
      <c r="I55" s="135">
        <f>'Прайс для расчета (М)'!E50</f>
        <v>682.13250000000005</v>
      </c>
      <c r="J55" s="36" t="e">
        <f t="shared" si="4"/>
        <v>#REF!</v>
      </c>
    </row>
    <row r="56" spans="2:10" ht="15.6" hidden="1" x14ac:dyDescent="0.25">
      <c r="B56" s="59"/>
      <c r="C56" s="65" t="s">
        <v>331</v>
      </c>
      <c r="D56" s="61" t="s">
        <v>2</v>
      </c>
      <c r="E56" s="62" t="e">
        <f t="shared" si="6"/>
        <v>#REF!</v>
      </c>
      <c r="F56" s="63">
        <f>'Прайс для расчета'!E51</f>
        <v>849.87</v>
      </c>
      <c r="G56" s="64" t="e">
        <f t="shared" si="3"/>
        <v>#REF!</v>
      </c>
      <c r="I56" s="135">
        <f>'Прайс для расчета (М)'!E51</f>
        <v>424.935</v>
      </c>
      <c r="J56" s="36" t="e">
        <f t="shared" si="4"/>
        <v>#REF!</v>
      </c>
    </row>
    <row r="57" spans="2:10" ht="15.6" hidden="1" x14ac:dyDescent="0.25">
      <c r="B57" s="59"/>
      <c r="C57" s="65" t="s">
        <v>332</v>
      </c>
      <c r="D57" s="61" t="s">
        <v>2</v>
      </c>
      <c r="E57" s="62" t="e">
        <f t="shared" si="6"/>
        <v>#REF!</v>
      </c>
      <c r="F57" s="63">
        <f>'Прайс для расчета'!E52</f>
        <v>506.94</v>
      </c>
      <c r="G57" s="64" t="e">
        <f t="shared" si="3"/>
        <v>#REF!</v>
      </c>
      <c r="I57" s="135">
        <f>'Прайс для расчета (М)'!E52</f>
        <v>253.47</v>
      </c>
      <c r="J57" s="36" t="e">
        <f t="shared" si="4"/>
        <v>#REF!</v>
      </c>
    </row>
    <row r="58" spans="2:10" ht="15.6" hidden="1" x14ac:dyDescent="0.25">
      <c r="B58" s="59"/>
      <c r="C58" s="65" t="s">
        <v>333</v>
      </c>
      <c r="D58" s="61" t="s">
        <v>2</v>
      </c>
      <c r="E58" s="62">
        <v>1</v>
      </c>
      <c r="F58" s="63">
        <f>'Прайс для расчета'!E53</f>
        <v>5093.2559999999994</v>
      </c>
      <c r="G58" s="64">
        <f t="shared" si="3"/>
        <v>5093.2559999999994</v>
      </c>
      <c r="I58" s="135">
        <f>'Прайс для расчета (М)'!E53</f>
        <v>2546.6279999999997</v>
      </c>
      <c r="J58" s="36">
        <f t="shared" si="4"/>
        <v>2546.6279999999997</v>
      </c>
    </row>
    <row r="59" spans="2:10" ht="15.6" hidden="1" x14ac:dyDescent="0.25">
      <c r="B59" s="59"/>
      <c r="C59" s="69" t="s">
        <v>692</v>
      </c>
      <c r="D59" s="61" t="s">
        <v>2</v>
      </c>
      <c r="E59" s="62">
        <v>1</v>
      </c>
      <c r="F59" s="63">
        <f>'Прайс для расчета'!E28</f>
        <v>1186.836</v>
      </c>
      <c r="G59" s="64">
        <f t="shared" si="3"/>
        <v>1186.836</v>
      </c>
      <c r="I59" s="135">
        <f>'Прайс для расчета (М)'!E28</f>
        <v>593.41800000000001</v>
      </c>
      <c r="J59" s="36">
        <f t="shared" si="4"/>
        <v>593.41800000000001</v>
      </c>
    </row>
    <row r="60" spans="2:10" ht="15.6" hidden="1" x14ac:dyDescent="0.25">
      <c r="B60" s="59">
        <f>IF(SUM(B61:B68)&gt;0,1,0)</f>
        <v>0</v>
      </c>
      <c r="C60" s="68" t="s">
        <v>44</v>
      </c>
      <c r="D60" s="61"/>
      <c r="E60" s="62"/>
      <c r="F60" s="63"/>
      <c r="G60" s="64"/>
    </row>
    <row r="61" spans="2:10" ht="15.6" hidden="1" x14ac:dyDescent="0.25">
      <c r="B61" s="59"/>
      <c r="C61" s="65" t="s">
        <v>45</v>
      </c>
      <c r="D61" s="61" t="s">
        <v>3</v>
      </c>
      <c r="E61" s="62">
        <v>1</v>
      </c>
      <c r="F61" s="63">
        <f>'Прайс для расчета'!E54</f>
        <v>335.47500000000002</v>
      </c>
      <c r="G61" s="64">
        <f t="shared" ref="G61:G68" si="7">F61*E61</f>
        <v>335.47500000000002</v>
      </c>
      <c r="I61" s="135">
        <f>'Прайс для расчета (М)'!E54</f>
        <v>167.73750000000001</v>
      </c>
      <c r="J61" s="36">
        <f t="shared" ref="J61:J68" si="8">I61*E61</f>
        <v>167.73750000000001</v>
      </c>
    </row>
    <row r="62" spans="2:10" ht="15.6" hidden="1" x14ac:dyDescent="0.25">
      <c r="B62" s="59"/>
      <c r="C62" s="65" t="s">
        <v>46</v>
      </c>
      <c r="D62" s="61" t="s">
        <v>3</v>
      </c>
      <c r="E62" s="62">
        <v>1</v>
      </c>
      <c r="F62" s="63">
        <f>'Прайс для расчета'!E55</f>
        <v>137.172</v>
      </c>
      <c r="G62" s="64">
        <f t="shared" si="7"/>
        <v>137.172</v>
      </c>
      <c r="I62" s="135">
        <f>'Прайс для расчета (М)'!E55</f>
        <v>68.585999999999999</v>
      </c>
      <c r="J62" s="36">
        <f t="shared" si="8"/>
        <v>68.585999999999999</v>
      </c>
    </row>
    <row r="63" spans="2:10" ht="15.6" hidden="1" x14ac:dyDescent="0.25">
      <c r="B63" s="59"/>
      <c r="C63" s="65" t="s">
        <v>60</v>
      </c>
      <c r="D63" s="61" t="s">
        <v>3</v>
      </c>
      <c r="E63" s="62">
        <v>1</v>
      </c>
      <c r="F63" s="63">
        <f>'Прайс для расчета'!E56</f>
        <v>205.75799999999998</v>
      </c>
      <c r="G63" s="64">
        <f t="shared" si="7"/>
        <v>205.75799999999998</v>
      </c>
      <c r="I63" s="135">
        <f>'Прайс для расчета (М)'!E56</f>
        <v>102.87899999999999</v>
      </c>
      <c r="J63" s="36">
        <f t="shared" si="8"/>
        <v>102.87899999999999</v>
      </c>
    </row>
    <row r="64" spans="2:10" ht="15.6" hidden="1" x14ac:dyDescent="0.25">
      <c r="B64" s="59"/>
      <c r="C64" s="65" t="s">
        <v>47</v>
      </c>
      <c r="D64" s="61" t="s">
        <v>3</v>
      </c>
      <c r="E64" s="62">
        <v>1</v>
      </c>
      <c r="F64" s="63">
        <f>'Прайс для расчета'!E57</f>
        <v>137.172</v>
      </c>
      <c r="G64" s="64">
        <f t="shared" si="7"/>
        <v>137.172</v>
      </c>
      <c r="I64" s="135">
        <f>'Прайс для расчета (М)'!E57</f>
        <v>68.585999999999999</v>
      </c>
      <c r="J64" s="36">
        <f t="shared" si="8"/>
        <v>68.585999999999999</v>
      </c>
    </row>
    <row r="65" spans="2:10" ht="15.6" hidden="1" x14ac:dyDescent="0.25">
      <c r="B65" s="59"/>
      <c r="C65" s="65" t="s">
        <v>48</v>
      </c>
      <c r="D65" s="61" t="s">
        <v>3</v>
      </c>
      <c r="E65" s="62">
        <v>1</v>
      </c>
      <c r="F65" s="63">
        <f>'Прайс для расчета'!E58</f>
        <v>205.75799999999998</v>
      </c>
      <c r="G65" s="64">
        <f t="shared" si="7"/>
        <v>205.75799999999998</v>
      </c>
      <c r="I65" s="135">
        <f>'Прайс для расчета (М)'!E58</f>
        <v>102.87899999999999</v>
      </c>
      <c r="J65" s="36">
        <f t="shared" si="8"/>
        <v>102.87899999999999</v>
      </c>
    </row>
    <row r="66" spans="2:10" ht="15.6" hidden="1" x14ac:dyDescent="0.25">
      <c r="B66" s="59"/>
      <c r="C66" s="65" t="s">
        <v>49</v>
      </c>
      <c r="D66" s="61" t="s">
        <v>3</v>
      </c>
      <c r="E66" s="62">
        <v>1</v>
      </c>
      <c r="F66" s="63">
        <f>'Прайс для расчета'!E59</f>
        <v>43.239000000000004</v>
      </c>
      <c r="G66" s="64">
        <f t="shared" si="7"/>
        <v>43.239000000000004</v>
      </c>
      <c r="I66" s="135">
        <f>'Прайс для расчета (М)'!E59</f>
        <v>21.619500000000002</v>
      </c>
      <c r="J66" s="36">
        <f t="shared" si="8"/>
        <v>21.619500000000002</v>
      </c>
    </row>
    <row r="67" spans="2:10" ht="15.6" hidden="1" x14ac:dyDescent="0.25">
      <c r="B67" s="59"/>
      <c r="C67" s="65" t="s">
        <v>50</v>
      </c>
      <c r="D67" s="61" t="s">
        <v>3</v>
      </c>
      <c r="E67" s="62">
        <v>1</v>
      </c>
      <c r="F67" s="63">
        <f>'Прайс для расчета'!E60</f>
        <v>86.478000000000009</v>
      </c>
      <c r="G67" s="64">
        <f t="shared" si="7"/>
        <v>86.478000000000009</v>
      </c>
      <c r="I67" s="135">
        <f>'Прайс для расчета (М)'!E60</f>
        <v>43.239000000000004</v>
      </c>
      <c r="J67" s="36">
        <f t="shared" si="8"/>
        <v>43.239000000000004</v>
      </c>
    </row>
    <row r="68" spans="2:10" ht="15.6" hidden="1" x14ac:dyDescent="0.25">
      <c r="B68" s="59"/>
      <c r="C68" s="65" t="s">
        <v>51</v>
      </c>
      <c r="D68" s="61" t="s">
        <v>3</v>
      </c>
      <c r="E68" s="62">
        <v>1</v>
      </c>
      <c r="F68" s="63">
        <f>'Прайс для расчета'!E61</f>
        <v>43.239000000000004</v>
      </c>
      <c r="G68" s="64">
        <f t="shared" si="7"/>
        <v>43.239000000000004</v>
      </c>
      <c r="I68" s="135">
        <f>'Прайс для расчета (М)'!E61</f>
        <v>21.619500000000002</v>
      </c>
      <c r="J68" s="36">
        <f t="shared" si="8"/>
        <v>21.619500000000002</v>
      </c>
    </row>
    <row r="69" spans="2:10" ht="15.6" hidden="1" x14ac:dyDescent="0.25">
      <c r="B69" s="59">
        <f>IF(SUM(B70:B86)&gt;0,1,0)</f>
        <v>0</v>
      </c>
      <c r="C69" s="67" t="s">
        <v>879</v>
      </c>
      <c r="D69" s="61"/>
      <c r="E69" s="62"/>
      <c r="F69" s="63"/>
      <c r="G69" s="64"/>
    </row>
    <row r="70" spans="2:10" ht="15.6" hidden="1" x14ac:dyDescent="0.25">
      <c r="B70" s="59"/>
      <c r="C70" s="65" t="s">
        <v>334</v>
      </c>
      <c r="D70" s="61" t="s">
        <v>3</v>
      </c>
      <c r="E70" s="62">
        <f>$A$2</f>
        <v>6.94</v>
      </c>
      <c r="F70" s="63">
        <f>'Прайс для расчета'!E62</f>
        <v>110.25</v>
      </c>
      <c r="G70" s="64">
        <f t="shared" ref="G70:G86" si="9">F70*E70</f>
        <v>765.13499999999999</v>
      </c>
      <c r="I70" s="135">
        <f>'Прайс для расчета (М)'!E62</f>
        <v>55.125</v>
      </c>
      <c r="J70" s="36">
        <f t="shared" ref="J70:J86" si="10">I70*E70</f>
        <v>382.5675</v>
      </c>
    </row>
    <row r="71" spans="2:10" ht="15.6" hidden="1" x14ac:dyDescent="0.25">
      <c r="B71" s="59"/>
      <c r="C71" s="65" t="s">
        <v>335</v>
      </c>
      <c r="D71" s="61" t="s">
        <v>2</v>
      </c>
      <c r="E71" s="62">
        <f t="shared" ref="E71:E76" si="11">$A$4</f>
        <v>2.46</v>
      </c>
      <c r="F71" s="63">
        <f>'Прайс для расчета'!E63</f>
        <v>248.99699999999999</v>
      </c>
      <c r="G71" s="64">
        <f t="shared" si="9"/>
        <v>612.53261999999995</v>
      </c>
      <c r="I71" s="135">
        <f>'Прайс для расчета (М)'!E63</f>
        <v>124.49849999999999</v>
      </c>
      <c r="J71" s="36">
        <f t="shared" si="10"/>
        <v>306.26630999999998</v>
      </c>
    </row>
    <row r="72" spans="2:10" ht="15.6" hidden="1" x14ac:dyDescent="0.25">
      <c r="B72" s="59"/>
      <c r="C72" s="65" t="s">
        <v>336</v>
      </c>
      <c r="D72" s="61" t="s">
        <v>2</v>
      </c>
      <c r="E72" s="62">
        <f t="shared" si="11"/>
        <v>2.46</v>
      </c>
      <c r="F72" s="63">
        <f>'Прайс для расчета'!E64</f>
        <v>205.75799999999998</v>
      </c>
      <c r="G72" s="64">
        <f t="shared" si="9"/>
        <v>506.16467999999992</v>
      </c>
      <c r="I72" s="135">
        <f>'Прайс для расчета (М)'!E64</f>
        <v>102.87899999999999</v>
      </c>
      <c r="J72" s="36">
        <f t="shared" si="10"/>
        <v>253.08233999999996</v>
      </c>
    </row>
    <row r="73" spans="2:10" ht="15.6" hidden="1" x14ac:dyDescent="0.25">
      <c r="B73" s="59"/>
      <c r="C73" s="65" t="s">
        <v>481</v>
      </c>
      <c r="D73" s="61" t="s">
        <v>2</v>
      </c>
      <c r="E73" s="62">
        <f t="shared" si="11"/>
        <v>2.46</v>
      </c>
      <c r="F73" s="63">
        <f>'Прайс для расчета'!E65</f>
        <v>155.06400000000002</v>
      </c>
      <c r="G73" s="64">
        <f t="shared" si="9"/>
        <v>381.45744000000002</v>
      </c>
      <c r="I73" s="135">
        <f>'Прайс для расчета (М)'!E65</f>
        <v>77.532000000000011</v>
      </c>
      <c r="J73" s="36">
        <f t="shared" si="10"/>
        <v>190.72872000000001</v>
      </c>
    </row>
    <row r="74" spans="2:10" ht="15.6" hidden="1" x14ac:dyDescent="0.25">
      <c r="B74" s="59"/>
      <c r="C74" s="65" t="s">
        <v>482</v>
      </c>
      <c r="D74" s="61" t="s">
        <v>2</v>
      </c>
      <c r="E74" s="62">
        <f t="shared" si="11"/>
        <v>2.46</v>
      </c>
      <c r="F74" s="63">
        <f>'Прайс для расчета'!E66</f>
        <v>137.172</v>
      </c>
      <c r="G74" s="64">
        <f t="shared" si="9"/>
        <v>337.44311999999996</v>
      </c>
      <c r="I74" s="135">
        <f>'Прайс для расчета (М)'!E66</f>
        <v>68.585999999999999</v>
      </c>
      <c r="J74" s="36">
        <f t="shared" si="10"/>
        <v>168.72155999999998</v>
      </c>
    </row>
    <row r="75" spans="2:10" ht="15.6" hidden="1" x14ac:dyDescent="0.25">
      <c r="B75" s="59"/>
      <c r="C75" s="65" t="s">
        <v>483</v>
      </c>
      <c r="D75" s="61" t="s">
        <v>2</v>
      </c>
      <c r="E75" s="62">
        <f t="shared" si="11"/>
        <v>2.46</v>
      </c>
      <c r="F75" s="63">
        <f>'Прайс для расчета'!E67</f>
        <v>86.478000000000009</v>
      </c>
      <c r="G75" s="64">
        <f t="shared" si="9"/>
        <v>212.73588000000001</v>
      </c>
      <c r="I75" s="135">
        <f>'Прайс для расчета (М)'!E67</f>
        <v>43.239000000000004</v>
      </c>
      <c r="J75" s="36">
        <f t="shared" si="10"/>
        <v>106.36794</v>
      </c>
    </row>
    <row r="76" spans="2:10" ht="15.6" hidden="1" x14ac:dyDescent="0.25">
      <c r="B76" s="59"/>
      <c r="C76" s="65" t="s">
        <v>484</v>
      </c>
      <c r="D76" s="61" t="s">
        <v>2</v>
      </c>
      <c r="E76" s="62">
        <f t="shared" si="11"/>
        <v>2.46</v>
      </c>
      <c r="F76" s="63">
        <f>'Прайс для расчета'!E68</f>
        <v>102.87899999999999</v>
      </c>
      <c r="G76" s="64">
        <f t="shared" si="9"/>
        <v>253.08233999999996</v>
      </c>
      <c r="I76" s="135">
        <f>'Прайс для расчета (М)'!E68</f>
        <v>51.439499999999995</v>
      </c>
      <c r="J76" s="36">
        <f t="shared" si="10"/>
        <v>126.54116999999998</v>
      </c>
    </row>
    <row r="77" spans="2:10" ht="15.6" hidden="1" x14ac:dyDescent="0.25">
      <c r="B77" s="59"/>
      <c r="C77" s="65" t="s">
        <v>337</v>
      </c>
      <c r="D77" s="61" t="s">
        <v>0</v>
      </c>
      <c r="E77" s="62">
        <v>1</v>
      </c>
      <c r="F77" s="63">
        <f>'Прайс для расчета'!E69</f>
        <v>164.01</v>
      </c>
      <c r="G77" s="64">
        <f t="shared" si="9"/>
        <v>164.01</v>
      </c>
      <c r="I77" s="135">
        <f>'Прайс для расчета (М)'!E69</f>
        <v>82.004999999999995</v>
      </c>
      <c r="J77" s="36">
        <f t="shared" si="10"/>
        <v>82.004999999999995</v>
      </c>
    </row>
    <row r="78" spans="2:10" ht="15.6" hidden="1" x14ac:dyDescent="0.25">
      <c r="B78" s="59"/>
      <c r="C78" s="65" t="s">
        <v>661</v>
      </c>
      <c r="D78" s="61" t="s">
        <v>2</v>
      </c>
      <c r="E78" s="62">
        <f>$A$4</f>
        <v>2.46</v>
      </c>
      <c r="F78" s="63">
        <f>'Прайс для расчета'!E70</f>
        <v>377.22300000000001</v>
      </c>
      <c r="G78" s="64">
        <f t="shared" si="9"/>
        <v>927.96857999999997</v>
      </c>
      <c r="I78" s="135">
        <f>'Прайс для расчета (М)'!E70</f>
        <v>188.61150000000001</v>
      </c>
      <c r="J78" s="36">
        <f t="shared" si="10"/>
        <v>463.98428999999999</v>
      </c>
    </row>
    <row r="79" spans="2:10" ht="15.6" hidden="1" x14ac:dyDescent="0.25">
      <c r="B79" s="59"/>
      <c r="C79" s="65" t="s">
        <v>338</v>
      </c>
      <c r="D79" s="61" t="s">
        <v>3</v>
      </c>
      <c r="E79" s="62">
        <v>1</v>
      </c>
      <c r="F79" s="63">
        <f>'Прайс для расчета'!E71</f>
        <v>274.34399999999999</v>
      </c>
      <c r="G79" s="64">
        <f t="shared" si="9"/>
        <v>274.34399999999999</v>
      </c>
      <c r="I79" s="135">
        <f>'Прайс для расчета (М)'!E71</f>
        <v>137.172</v>
      </c>
      <c r="J79" s="36">
        <f t="shared" si="10"/>
        <v>137.172</v>
      </c>
    </row>
    <row r="80" spans="2:10" ht="15.6" hidden="1" x14ac:dyDescent="0.25">
      <c r="B80" s="59"/>
      <c r="C80" s="65" t="s">
        <v>138</v>
      </c>
      <c r="D80" s="61" t="s">
        <v>3</v>
      </c>
      <c r="E80" s="62">
        <f t="shared" ref="E80:E86" si="12">$A$4</f>
        <v>2.46</v>
      </c>
      <c r="F80" s="63">
        <f>'Прайс для расчета'!E72</f>
        <v>204.75</v>
      </c>
      <c r="G80" s="64">
        <f t="shared" si="9"/>
        <v>503.685</v>
      </c>
      <c r="I80" s="135">
        <f>'Прайс для расчета (М)'!E72</f>
        <v>102.375</v>
      </c>
      <c r="J80" s="36">
        <f t="shared" si="10"/>
        <v>251.8425</v>
      </c>
    </row>
    <row r="81" spans="2:10" ht="15.6" hidden="1" x14ac:dyDescent="0.25">
      <c r="B81" s="59"/>
      <c r="C81" s="65" t="s">
        <v>339</v>
      </c>
      <c r="D81" s="61" t="s">
        <v>2</v>
      </c>
      <c r="E81" s="62">
        <f t="shared" si="12"/>
        <v>2.46</v>
      </c>
      <c r="F81" s="63">
        <f>'Прайс для расчета'!E73</f>
        <v>274.34399999999999</v>
      </c>
      <c r="G81" s="64">
        <f t="shared" si="9"/>
        <v>674.88623999999993</v>
      </c>
      <c r="I81" s="135">
        <f>'Прайс для расчета (М)'!E73</f>
        <v>137.172</v>
      </c>
      <c r="J81" s="36">
        <f t="shared" si="10"/>
        <v>337.44311999999996</v>
      </c>
    </row>
    <row r="82" spans="2:10" ht="15.6" hidden="1" x14ac:dyDescent="0.25">
      <c r="B82" s="59"/>
      <c r="C82" s="65" t="s">
        <v>156</v>
      </c>
      <c r="D82" s="61" t="s">
        <v>2</v>
      </c>
      <c r="E82" s="62">
        <f t="shared" si="12"/>
        <v>2.46</v>
      </c>
      <c r="F82" s="63">
        <f>'Прайс для расчета'!E74</f>
        <v>223.65</v>
      </c>
      <c r="G82" s="64">
        <f t="shared" si="9"/>
        <v>550.17899999999997</v>
      </c>
      <c r="I82" s="135">
        <f>'Прайс для расчета (М)'!E74</f>
        <v>111.825</v>
      </c>
      <c r="J82" s="36">
        <f t="shared" si="10"/>
        <v>275.08949999999999</v>
      </c>
    </row>
    <row r="83" spans="2:10" ht="15.6" hidden="1" x14ac:dyDescent="0.25">
      <c r="B83" s="59"/>
      <c r="C83" s="65" t="s">
        <v>340</v>
      </c>
      <c r="D83" s="61" t="s">
        <v>2</v>
      </c>
      <c r="E83" s="62">
        <f t="shared" si="12"/>
        <v>2.46</v>
      </c>
      <c r="F83" s="63">
        <f>'Прайс для расчета'!E75</f>
        <v>506.94</v>
      </c>
      <c r="G83" s="64">
        <f t="shared" si="9"/>
        <v>1247.0724</v>
      </c>
      <c r="I83" s="135">
        <f>'Прайс для расчета (М)'!E75</f>
        <v>253.47</v>
      </c>
      <c r="J83" s="36">
        <f t="shared" si="10"/>
        <v>623.53620000000001</v>
      </c>
    </row>
    <row r="84" spans="2:10" ht="15.6" hidden="1" x14ac:dyDescent="0.25">
      <c r="B84" s="59"/>
      <c r="C84" s="65" t="s">
        <v>54</v>
      </c>
      <c r="D84" s="61" t="s">
        <v>2</v>
      </c>
      <c r="E84" s="62">
        <f t="shared" si="12"/>
        <v>2.46</v>
      </c>
      <c r="F84" s="63">
        <f>'Прайс для расчета'!E76</f>
        <v>591.92700000000002</v>
      </c>
      <c r="G84" s="64">
        <f t="shared" si="9"/>
        <v>1456.1404199999999</v>
      </c>
      <c r="I84" s="135">
        <f>'Прайс для расчета (М)'!E76</f>
        <v>295.96350000000001</v>
      </c>
      <c r="J84" s="36">
        <f t="shared" si="10"/>
        <v>728.07020999999997</v>
      </c>
    </row>
    <row r="85" spans="2:10" ht="15.6" hidden="1" x14ac:dyDescent="0.25">
      <c r="B85" s="59"/>
      <c r="C85" s="65" t="s">
        <v>221</v>
      </c>
      <c r="D85" s="61" t="s">
        <v>2</v>
      </c>
      <c r="E85" s="62">
        <f t="shared" si="12"/>
        <v>2.46</v>
      </c>
      <c r="F85" s="63">
        <f>'Прайс для расчета'!E77</f>
        <v>210</v>
      </c>
      <c r="G85" s="64">
        <f t="shared" si="9"/>
        <v>516.6</v>
      </c>
      <c r="I85" s="135">
        <f>'Прайс для расчета (М)'!E77</f>
        <v>105</v>
      </c>
      <c r="J85" s="36">
        <f t="shared" si="10"/>
        <v>258.3</v>
      </c>
    </row>
    <row r="86" spans="2:10" ht="15.6" hidden="1" x14ac:dyDescent="0.25">
      <c r="B86" s="59"/>
      <c r="C86" s="65" t="s">
        <v>157</v>
      </c>
      <c r="D86" s="61" t="s">
        <v>2</v>
      </c>
      <c r="E86" s="62">
        <f t="shared" si="12"/>
        <v>2.46</v>
      </c>
      <c r="F86" s="63">
        <f>'Прайс для расчета'!E78</f>
        <v>240.05099999999999</v>
      </c>
      <c r="G86" s="64">
        <f t="shared" si="9"/>
        <v>590.52545999999995</v>
      </c>
      <c r="I86" s="135">
        <f>'Прайс для расчета (М)'!E78</f>
        <v>120.02549999999999</v>
      </c>
      <c r="J86" s="36">
        <f t="shared" si="10"/>
        <v>295.26272999999998</v>
      </c>
    </row>
    <row r="87" spans="2:10" ht="15.6" hidden="1" x14ac:dyDescent="0.25">
      <c r="B87" s="59">
        <f>IF(SUM(B88:B96)&gt;0,1,0)</f>
        <v>0</v>
      </c>
      <c r="C87" s="67" t="s">
        <v>880</v>
      </c>
      <c r="D87" s="61"/>
      <c r="E87" s="62"/>
      <c r="F87" s="63"/>
      <c r="G87" s="64"/>
    </row>
    <row r="88" spans="2:10" ht="15.6" hidden="1" x14ac:dyDescent="0.25">
      <c r="B88" s="59"/>
      <c r="C88" s="65" t="s">
        <v>662</v>
      </c>
      <c r="D88" s="61" t="s">
        <v>3</v>
      </c>
      <c r="E88" s="62">
        <v>1</v>
      </c>
      <c r="F88" s="63">
        <f>'Прайс для расчета'!E79</f>
        <v>86.478000000000009</v>
      </c>
      <c r="G88" s="64">
        <f t="shared" ref="G88:G96" si="13">F88*E88</f>
        <v>86.478000000000009</v>
      </c>
      <c r="I88" s="135">
        <f>'Прайс для расчета (М)'!E79</f>
        <v>43.239000000000004</v>
      </c>
      <c r="J88" s="36">
        <f t="shared" ref="J88:J96" si="14">I88*E88</f>
        <v>43.239000000000004</v>
      </c>
    </row>
    <row r="89" spans="2:10" ht="15.6" hidden="1" x14ac:dyDescent="0.25">
      <c r="B89" s="59"/>
      <c r="C89" s="65" t="s">
        <v>485</v>
      </c>
      <c r="D89" s="61" t="s">
        <v>2</v>
      </c>
      <c r="E89" s="62">
        <v>1</v>
      </c>
      <c r="F89" s="63">
        <f>'Прайс для расчета'!E80</f>
        <v>420.46199999999999</v>
      </c>
      <c r="G89" s="64">
        <f t="shared" si="13"/>
        <v>420.46199999999999</v>
      </c>
      <c r="I89" s="135">
        <f>'Прайс для расчета (М)'!E80</f>
        <v>210.23099999999999</v>
      </c>
      <c r="J89" s="36">
        <f t="shared" si="14"/>
        <v>210.23099999999999</v>
      </c>
    </row>
    <row r="90" spans="2:10" ht="15.6" hidden="1" x14ac:dyDescent="0.25">
      <c r="B90" s="59"/>
      <c r="C90" s="65" t="s">
        <v>486</v>
      </c>
      <c r="D90" s="61" t="s">
        <v>2</v>
      </c>
      <c r="E90" s="62">
        <v>1</v>
      </c>
      <c r="F90" s="63">
        <f>'Прайс для расчета'!E81</f>
        <v>591.92700000000002</v>
      </c>
      <c r="G90" s="64">
        <f t="shared" si="13"/>
        <v>591.92700000000002</v>
      </c>
      <c r="I90" s="135">
        <f>'Прайс для расчета (М)'!E81</f>
        <v>295.96350000000001</v>
      </c>
      <c r="J90" s="36">
        <f t="shared" si="14"/>
        <v>295.96350000000001</v>
      </c>
    </row>
    <row r="91" spans="2:10" ht="15.6" hidden="1" x14ac:dyDescent="0.25">
      <c r="B91" s="59"/>
      <c r="C91" s="65" t="s">
        <v>341</v>
      </c>
      <c r="D91" s="61" t="s">
        <v>0</v>
      </c>
      <c r="E91" s="62">
        <v>1</v>
      </c>
      <c r="F91" s="63">
        <f>'Прайс для расчета'!E82</f>
        <v>335.47500000000002</v>
      </c>
      <c r="G91" s="64">
        <f t="shared" si="13"/>
        <v>335.47500000000002</v>
      </c>
      <c r="I91" s="135">
        <f>'Прайс для расчета (М)'!E82</f>
        <v>167.73750000000001</v>
      </c>
      <c r="J91" s="36">
        <f t="shared" si="14"/>
        <v>167.73750000000001</v>
      </c>
    </row>
    <row r="92" spans="2:10" ht="15.6" hidden="1" x14ac:dyDescent="0.25">
      <c r="B92" s="59"/>
      <c r="C92" s="65" t="s">
        <v>61</v>
      </c>
      <c r="D92" s="61" t="s">
        <v>3</v>
      </c>
      <c r="E92" s="62">
        <v>1</v>
      </c>
      <c r="F92" s="63">
        <f>'Прайс для расчета'!E83</f>
        <v>102.87899999999999</v>
      </c>
      <c r="G92" s="64">
        <f t="shared" si="13"/>
        <v>102.87899999999999</v>
      </c>
      <c r="I92" s="135">
        <f>'Прайс для расчета (М)'!E83</f>
        <v>51.439499999999995</v>
      </c>
      <c r="J92" s="36">
        <f t="shared" si="14"/>
        <v>51.439499999999995</v>
      </c>
    </row>
    <row r="93" spans="2:10" ht="15.6" hidden="1" x14ac:dyDescent="0.25">
      <c r="B93" s="59"/>
      <c r="C93" s="65" t="s">
        <v>342</v>
      </c>
      <c r="D93" s="61" t="s">
        <v>2</v>
      </c>
      <c r="E93" s="62">
        <v>1</v>
      </c>
      <c r="F93" s="63">
        <f>'Прайс для расчета'!E84</f>
        <v>644.11199999999997</v>
      </c>
      <c r="G93" s="64">
        <f t="shared" si="13"/>
        <v>644.11199999999997</v>
      </c>
      <c r="I93" s="135">
        <f>'Прайс для расчета (М)'!E84</f>
        <v>322.05599999999998</v>
      </c>
      <c r="J93" s="36">
        <f t="shared" si="14"/>
        <v>322.05599999999998</v>
      </c>
    </row>
    <row r="94" spans="2:10" ht="15.6" hidden="1" x14ac:dyDescent="0.25">
      <c r="B94" s="59"/>
      <c r="C94" s="65" t="s">
        <v>343</v>
      </c>
      <c r="D94" s="61" t="s">
        <v>2</v>
      </c>
      <c r="E94" s="62">
        <v>1</v>
      </c>
      <c r="F94" s="63">
        <f>'Прайс для расчета'!E85</f>
        <v>678.40500000000009</v>
      </c>
      <c r="G94" s="64">
        <f t="shared" si="13"/>
        <v>678.40500000000009</v>
      </c>
      <c r="I94" s="135">
        <f>'Прайс для расчета (М)'!E85</f>
        <v>339.20250000000004</v>
      </c>
      <c r="J94" s="36">
        <f t="shared" si="14"/>
        <v>339.20250000000004</v>
      </c>
    </row>
    <row r="95" spans="2:10" ht="15.6" hidden="1" x14ac:dyDescent="0.25">
      <c r="B95" s="59"/>
      <c r="C95" s="65" t="s">
        <v>663</v>
      </c>
      <c r="D95" s="61" t="s">
        <v>3</v>
      </c>
      <c r="E95" s="62">
        <v>1</v>
      </c>
      <c r="F95" s="63">
        <f>'Прайс для расчета'!E86</f>
        <v>395.11499999999995</v>
      </c>
      <c r="G95" s="64">
        <f t="shared" si="13"/>
        <v>395.11499999999995</v>
      </c>
      <c r="I95" s="135">
        <f>'Прайс для расчета (М)'!E86</f>
        <v>197.55749999999998</v>
      </c>
      <c r="J95" s="36">
        <f t="shared" si="14"/>
        <v>197.55749999999998</v>
      </c>
    </row>
    <row r="96" spans="2:10" ht="15.6" hidden="1" x14ac:dyDescent="0.25">
      <c r="B96" s="59"/>
      <c r="C96" s="65" t="s">
        <v>344</v>
      </c>
      <c r="D96" s="61" t="s">
        <v>2</v>
      </c>
      <c r="E96" s="62">
        <v>1</v>
      </c>
      <c r="F96" s="63">
        <f>'Прайс для расчета'!E87</f>
        <v>849.87</v>
      </c>
      <c r="G96" s="64">
        <f t="shared" si="13"/>
        <v>849.87</v>
      </c>
      <c r="I96" s="135">
        <f>'Прайс для расчета (М)'!E87</f>
        <v>424.935</v>
      </c>
      <c r="J96" s="36">
        <f t="shared" si="14"/>
        <v>424.935</v>
      </c>
    </row>
    <row r="97" spans="2:10" ht="15.6" hidden="1" x14ac:dyDescent="0.25">
      <c r="B97" s="59">
        <f>IF(SUM(B98:B104)&gt;0,1,0)</f>
        <v>0</v>
      </c>
      <c r="C97" s="67" t="s">
        <v>881</v>
      </c>
      <c r="D97" s="61"/>
      <c r="E97" s="62"/>
      <c r="F97" s="63"/>
      <c r="G97" s="64"/>
    </row>
    <row r="98" spans="2:10" ht="15.6" hidden="1" x14ac:dyDescent="0.25">
      <c r="B98" s="59"/>
      <c r="C98" s="65" t="s">
        <v>158</v>
      </c>
      <c r="D98" s="61" t="s">
        <v>2</v>
      </c>
      <c r="E98" s="62">
        <v>1</v>
      </c>
      <c r="F98" s="63">
        <f>'Прайс для расчета'!E88</f>
        <v>987.04200000000003</v>
      </c>
      <c r="G98" s="64">
        <f t="shared" ref="G98:G104" si="15">F98*E98</f>
        <v>987.04200000000003</v>
      </c>
      <c r="I98" s="135">
        <f>'Прайс для расчета (М)'!E88</f>
        <v>493.52100000000002</v>
      </c>
      <c r="J98" s="36">
        <f t="shared" ref="J98:J104" si="16">I98*E98</f>
        <v>493.52100000000002</v>
      </c>
    </row>
    <row r="99" spans="2:10" ht="15.6" hidden="1" x14ac:dyDescent="0.25">
      <c r="B99" s="59"/>
      <c r="C99" s="65" t="s">
        <v>345</v>
      </c>
      <c r="D99" s="61" t="s">
        <v>645</v>
      </c>
      <c r="E99" s="62">
        <f>E7</f>
        <v>0</v>
      </c>
      <c r="F99" s="63">
        <f>'Прайс для расчета'!E89</f>
        <v>248.99699999999999</v>
      </c>
      <c r="G99" s="64">
        <f t="shared" si="15"/>
        <v>0</v>
      </c>
      <c r="I99" s="135">
        <f>'Прайс для расчета (М)'!E89</f>
        <v>124.49849999999999</v>
      </c>
      <c r="J99" s="36">
        <f t="shared" si="16"/>
        <v>0</v>
      </c>
    </row>
    <row r="100" spans="2:10" ht="15.6" hidden="1" x14ac:dyDescent="0.25">
      <c r="B100" s="59"/>
      <c r="C100" s="65" t="s">
        <v>62</v>
      </c>
      <c r="D100" s="61" t="s">
        <v>0</v>
      </c>
      <c r="E100" s="62">
        <v>1</v>
      </c>
      <c r="F100" s="63">
        <f>'Прайс для расчета'!E90</f>
        <v>326.529</v>
      </c>
      <c r="G100" s="64">
        <f t="shared" si="15"/>
        <v>326.529</v>
      </c>
      <c r="I100" s="135">
        <f>'Прайс для расчета (М)'!E90</f>
        <v>163.2645</v>
      </c>
      <c r="J100" s="36">
        <f t="shared" si="16"/>
        <v>163.2645</v>
      </c>
    </row>
    <row r="101" spans="2:10" ht="15.6" hidden="1" x14ac:dyDescent="0.25">
      <c r="B101" s="59"/>
      <c r="C101" s="65" t="s">
        <v>487</v>
      </c>
      <c r="D101" s="61" t="s">
        <v>0</v>
      </c>
      <c r="E101" s="62">
        <v>1</v>
      </c>
      <c r="F101" s="63">
        <f>'Прайс для расчета'!E91</f>
        <v>1698.249</v>
      </c>
      <c r="G101" s="64">
        <f t="shared" si="15"/>
        <v>1698.249</v>
      </c>
      <c r="I101" s="135">
        <f>'Прайс для расчета (М)'!E91</f>
        <v>849.12450000000001</v>
      </c>
      <c r="J101" s="36">
        <f t="shared" si="16"/>
        <v>849.12450000000001</v>
      </c>
    </row>
    <row r="102" spans="2:10" ht="15.6" hidden="1" x14ac:dyDescent="0.25">
      <c r="B102" s="59"/>
      <c r="C102" s="65" t="s">
        <v>346</v>
      </c>
      <c r="D102" s="61" t="s">
        <v>0</v>
      </c>
      <c r="E102" s="62">
        <v>1</v>
      </c>
      <c r="F102" s="63">
        <f>'Прайс для расчета'!E92</f>
        <v>335.47500000000002</v>
      </c>
      <c r="G102" s="64">
        <f t="shared" si="15"/>
        <v>335.47500000000002</v>
      </c>
      <c r="I102" s="135">
        <f>'Прайс для расчета (М)'!E92</f>
        <v>167.73750000000001</v>
      </c>
      <c r="J102" s="36">
        <f t="shared" si="16"/>
        <v>167.73750000000001</v>
      </c>
    </row>
    <row r="103" spans="2:10" ht="15.6" hidden="1" x14ac:dyDescent="0.25">
      <c r="B103" s="59"/>
      <c r="C103" s="65" t="s">
        <v>664</v>
      </c>
      <c r="D103" s="61" t="s">
        <v>645</v>
      </c>
      <c r="E103" s="62">
        <v>1</v>
      </c>
      <c r="F103" s="63">
        <f>'Прайс для расчета'!E93</f>
        <v>240.05099999999999</v>
      </c>
      <c r="G103" s="64">
        <f t="shared" si="15"/>
        <v>240.05099999999999</v>
      </c>
      <c r="I103" s="135">
        <f>'Прайс для расчета (М)'!E93</f>
        <v>120.02549999999999</v>
      </c>
      <c r="J103" s="36">
        <f t="shared" si="16"/>
        <v>120.02549999999999</v>
      </c>
    </row>
    <row r="104" spans="2:10" ht="15.6" hidden="1" x14ac:dyDescent="0.25">
      <c r="B104" s="59"/>
      <c r="C104" s="65" t="s">
        <v>665</v>
      </c>
      <c r="D104" s="61" t="s">
        <v>0</v>
      </c>
      <c r="E104" s="62">
        <v>1</v>
      </c>
      <c r="F104" s="63">
        <f>'Прайс для расчета'!E94</f>
        <v>102.87899999999999</v>
      </c>
      <c r="G104" s="64">
        <f t="shared" si="15"/>
        <v>102.87899999999999</v>
      </c>
      <c r="I104" s="135">
        <f>'Прайс для расчета (М)'!E94</f>
        <v>51.439499999999995</v>
      </c>
      <c r="J104" s="36">
        <f t="shared" si="16"/>
        <v>51.439499999999995</v>
      </c>
    </row>
    <row r="105" spans="2:10" ht="15.6" hidden="1" x14ac:dyDescent="0.25">
      <c r="B105" s="59">
        <f>IF(SUM(B106:B125)&gt;0,1,0)</f>
        <v>0</v>
      </c>
      <c r="C105" s="67" t="s">
        <v>882</v>
      </c>
      <c r="D105" s="61"/>
      <c r="E105" s="62"/>
      <c r="F105" s="63"/>
      <c r="G105" s="64"/>
    </row>
    <row r="106" spans="2:10" ht="15.6" hidden="1" x14ac:dyDescent="0.25">
      <c r="B106" s="59"/>
      <c r="C106" s="65" t="s">
        <v>666</v>
      </c>
      <c r="D106" s="61" t="s">
        <v>0</v>
      </c>
      <c r="E106" s="62">
        <v>1</v>
      </c>
      <c r="F106" s="63">
        <f>'Прайс для расчета'!E95</f>
        <v>472.5</v>
      </c>
      <c r="G106" s="64">
        <f t="shared" ref="G106:G125" si="17">F106*E106</f>
        <v>472.5</v>
      </c>
      <c r="I106" s="135">
        <f>'Прайс для расчета (М)'!E95</f>
        <v>236.25</v>
      </c>
      <c r="J106" s="36">
        <f t="shared" ref="J106:J125" si="18">I106*E106</f>
        <v>236.25</v>
      </c>
    </row>
    <row r="107" spans="2:10" ht="15.6" hidden="1" x14ac:dyDescent="0.25">
      <c r="B107" s="59"/>
      <c r="C107" s="65" t="s">
        <v>159</v>
      </c>
      <c r="D107" s="61" t="s">
        <v>0</v>
      </c>
      <c r="E107" s="62">
        <v>1</v>
      </c>
      <c r="F107" s="63">
        <f>'Прайс для расчета'!E96</f>
        <v>840</v>
      </c>
      <c r="G107" s="64">
        <f t="shared" si="17"/>
        <v>840</v>
      </c>
      <c r="I107" s="135">
        <f>'Прайс для расчета (М)'!E96</f>
        <v>420</v>
      </c>
      <c r="J107" s="36">
        <f t="shared" si="18"/>
        <v>420</v>
      </c>
    </row>
    <row r="108" spans="2:10" ht="15.6" hidden="1" x14ac:dyDescent="0.25">
      <c r="B108" s="59"/>
      <c r="C108" s="65" t="s">
        <v>63</v>
      </c>
      <c r="D108" s="61" t="s">
        <v>2</v>
      </c>
      <c r="E108" s="62">
        <v>1</v>
      </c>
      <c r="F108" s="63">
        <f>'Прайс для расчета'!E97</f>
        <v>420.46199999999999</v>
      </c>
      <c r="G108" s="64">
        <f t="shared" si="17"/>
        <v>420.46199999999999</v>
      </c>
      <c r="I108" s="135">
        <f>'Прайс для расчета (М)'!E97</f>
        <v>210.23099999999999</v>
      </c>
      <c r="J108" s="36">
        <f t="shared" si="18"/>
        <v>210.23099999999999</v>
      </c>
    </row>
    <row r="109" spans="2:10" ht="15.6" hidden="1" x14ac:dyDescent="0.25">
      <c r="B109" s="59"/>
      <c r="C109" s="65" t="s">
        <v>488</v>
      </c>
      <c r="D109" s="61" t="s">
        <v>0</v>
      </c>
      <c r="E109" s="62">
        <v>1</v>
      </c>
      <c r="F109" s="63">
        <f>'Прайс для расчета'!E98</f>
        <v>1021.3349999999999</v>
      </c>
      <c r="G109" s="64">
        <f t="shared" si="17"/>
        <v>1021.3349999999999</v>
      </c>
      <c r="I109" s="135">
        <f>'Прайс для расчета (М)'!E98</f>
        <v>510.66749999999996</v>
      </c>
      <c r="J109" s="36">
        <f t="shared" si="18"/>
        <v>510.66749999999996</v>
      </c>
    </row>
    <row r="110" spans="2:10" ht="15.6" hidden="1" x14ac:dyDescent="0.25">
      <c r="B110" s="59"/>
      <c r="C110" s="65" t="s">
        <v>489</v>
      </c>
      <c r="D110" s="61" t="s">
        <v>0</v>
      </c>
      <c r="E110" s="62">
        <v>1</v>
      </c>
      <c r="F110" s="63">
        <f>'Прайс для расчета'!E99</f>
        <v>4179</v>
      </c>
      <c r="G110" s="64">
        <f t="shared" si="17"/>
        <v>4179</v>
      </c>
      <c r="I110" s="135">
        <f>'Прайс для расчета (М)'!E99</f>
        <v>2089.5</v>
      </c>
      <c r="J110" s="36">
        <f t="shared" si="18"/>
        <v>2089.5</v>
      </c>
    </row>
    <row r="111" spans="2:10" ht="15.6" hidden="1" x14ac:dyDescent="0.25">
      <c r="B111" s="59"/>
      <c r="C111" s="65" t="s">
        <v>490</v>
      </c>
      <c r="D111" s="61" t="s">
        <v>0</v>
      </c>
      <c r="E111" s="62">
        <v>1</v>
      </c>
      <c r="F111" s="63">
        <f>'Прайс для расчета'!E100</f>
        <v>1183.854</v>
      </c>
      <c r="G111" s="64">
        <f t="shared" si="17"/>
        <v>1183.854</v>
      </c>
      <c r="I111" s="135">
        <f>'Прайс для расчета (М)'!E100</f>
        <v>591.92700000000002</v>
      </c>
      <c r="J111" s="36">
        <f t="shared" si="18"/>
        <v>591.92700000000002</v>
      </c>
    </row>
    <row r="112" spans="2:10" ht="15.6" hidden="1" x14ac:dyDescent="0.25">
      <c r="B112" s="59"/>
      <c r="C112" s="65" t="s">
        <v>491</v>
      </c>
      <c r="D112" s="61" t="s">
        <v>0</v>
      </c>
      <c r="E112" s="62">
        <v>1</v>
      </c>
      <c r="F112" s="63">
        <f>'Прайс для расчета'!E101</f>
        <v>3129</v>
      </c>
      <c r="G112" s="64">
        <f t="shared" si="17"/>
        <v>3129</v>
      </c>
      <c r="I112" s="135">
        <f>'Прайс для расчета (М)'!E101</f>
        <v>1564.5</v>
      </c>
      <c r="J112" s="36">
        <f t="shared" si="18"/>
        <v>1564.5</v>
      </c>
    </row>
    <row r="113" spans="2:10" ht="15.6" hidden="1" x14ac:dyDescent="0.25">
      <c r="B113" s="59"/>
      <c r="C113" s="65" t="s">
        <v>667</v>
      </c>
      <c r="D113" s="61" t="s">
        <v>0</v>
      </c>
      <c r="E113" s="62">
        <v>1</v>
      </c>
      <c r="F113" s="63">
        <f>'Прайс для расчета'!E102</f>
        <v>591.92700000000002</v>
      </c>
      <c r="G113" s="64">
        <f t="shared" si="17"/>
        <v>591.92700000000002</v>
      </c>
      <c r="I113" s="135">
        <f>'Прайс для расчета (М)'!E102</f>
        <v>295.96350000000001</v>
      </c>
      <c r="J113" s="36">
        <f t="shared" si="18"/>
        <v>295.96350000000001</v>
      </c>
    </row>
    <row r="114" spans="2:10" ht="15.6" hidden="1" x14ac:dyDescent="0.25">
      <c r="B114" s="59"/>
      <c r="C114" s="65" t="s">
        <v>347</v>
      </c>
      <c r="D114" s="61" t="s">
        <v>0</v>
      </c>
      <c r="E114" s="62">
        <v>1</v>
      </c>
      <c r="F114" s="63">
        <f>'Прайс для расчета'!E103</f>
        <v>678.40500000000009</v>
      </c>
      <c r="G114" s="64">
        <f t="shared" si="17"/>
        <v>678.40500000000009</v>
      </c>
      <c r="I114" s="135">
        <f>'Прайс для расчета (М)'!E103</f>
        <v>339.20250000000004</v>
      </c>
      <c r="J114" s="36">
        <f t="shared" si="18"/>
        <v>339.20250000000004</v>
      </c>
    </row>
    <row r="115" spans="2:10" ht="15.6" hidden="1" x14ac:dyDescent="0.25">
      <c r="B115" s="59"/>
      <c r="C115" s="65" t="s">
        <v>348</v>
      </c>
      <c r="D115" s="61" t="s">
        <v>0</v>
      </c>
      <c r="E115" s="62">
        <v>1</v>
      </c>
      <c r="F115" s="63">
        <f>'Прайс для расчета'!E104</f>
        <v>849.87</v>
      </c>
      <c r="G115" s="64">
        <f t="shared" si="17"/>
        <v>849.87</v>
      </c>
      <c r="I115" s="135">
        <f>'Прайс для расчета (М)'!E104</f>
        <v>424.935</v>
      </c>
      <c r="J115" s="36">
        <f t="shared" si="18"/>
        <v>424.935</v>
      </c>
    </row>
    <row r="116" spans="2:10" ht="15.6" hidden="1" x14ac:dyDescent="0.25">
      <c r="B116" s="59"/>
      <c r="C116" s="65" t="s">
        <v>349</v>
      </c>
      <c r="D116" s="61" t="s">
        <v>0</v>
      </c>
      <c r="E116" s="62">
        <v>1</v>
      </c>
      <c r="F116" s="63">
        <f>'Прайс для расчета'!E105</f>
        <v>849.87</v>
      </c>
      <c r="G116" s="64">
        <f t="shared" si="17"/>
        <v>849.87</v>
      </c>
      <c r="I116" s="135">
        <f>'Прайс для расчета (М)'!E105</f>
        <v>424.935</v>
      </c>
      <c r="J116" s="36">
        <f t="shared" si="18"/>
        <v>424.935</v>
      </c>
    </row>
    <row r="117" spans="2:10" ht="15.6" hidden="1" x14ac:dyDescent="0.25">
      <c r="B117" s="59"/>
      <c r="C117" s="65" t="s">
        <v>668</v>
      </c>
      <c r="D117" s="61" t="s">
        <v>0</v>
      </c>
      <c r="E117" s="62">
        <v>1</v>
      </c>
      <c r="F117" s="63">
        <f>'Прайс для расчета'!E106</f>
        <v>678.40500000000009</v>
      </c>
      <c r="G117" s="64">
        <f t="shared" si="17"/>
        <v>678.40500000000009</v>
      </c>
      <c r="I117" s="135">
        <f>'Прайс для расчета (М)'!E106</f>
        <v>339.20250000000004</v>
      </c>
      <c r="J117" s="36">
        <f t="shared" si="18"/>
        <v>339.20250000000004</v>
      </c>
    </row>
    <row r="118" spans="2:10" ht="15.6" hidden="1" x14ac:dyDescent="0.25">
      <c r="B118" s="59"/>
      <c r="C118" s="65" t="s">
        <v>669</v>
      </c>
      <c r="D118" s="61" t="s">
        <v>0</v>
      </c>
      <c r="E118" s="62">
        <v>1</v>
      </c>
      <c r="F118" s="63">
        <f>'Прайс для расчета'!E107</f>
        <v>1106.3219999999999</v>
      </c>
      <c r="G118" s="64">
        <f t="shared" si="17"/>
        <v>1106.3219999999999</v>
      </c>
      <c r="I118" s="135">
        <f>'Прайс для расчета (М)'!E107</f>
        <v>553.16099999999994</v>
      </c>
      <c r="J118" s="36">
        <f t="shared" si="18"/>
        <v>553.16099999999994</v>
      </c>
    </row>
    <row r="119" spans="2:10" ht="15.6" hidden="1" x14ac:dyDescent="0.25">
      <c r="B119" s="59"/>
      <c r="C119" s="65" t="s">
        <v>670</v>
      </c>
      <c r="D119" s="61" t="s">
        <v>0</v>
      </c>
      <c r="E119" s="62">
        <v>1</v>
      </c>
      <c r="F119" s="63">
        <f>'Прайс для расчета'!E108</f>
        <v>892.5</v>
      </c>
      <c r="G119" s="64">
        <f t="shared" si="17"/>
        <v>892.5</v>
      </c>
      <c r="I119" s="135">
        <f>'Прайс для расчета (М)'!E108</f>
        <v>446.25</v>
      </c>
      <c r="J119" s="36">
        <f t="shared" si="18"/>
        <v>446.25</v>
      </c>
    </row>
    <row r="120" spans="2:10" ht="15.6" hidden="1" x14ac:dyDescent="0.25">
      <c r="B120" s="59"/>
      <c r="C120" s="65" t="s">
        <v>350</v>
      </c>
      <c r="D120" s="61" t="s">
        <v>0</v>
      </c>
      <c r="E120" s="62">
        <v>1</v>
      </c>
      <c r="F120" s="63">
        <f>'Прайс для расчета'!E109</f>
        <v>164.01</v>
      </c>
      <c r="G120" s="64">
        <f t="shared" si="17"/>
        <v>164.01</v>
      </c>
      <c r="I120" s="135">
        <f>'Прайс для расчета (М)'!E109</f>
        <v>82.004999999999995</v>
      </c>
      <c r="J120" s="36">
        <f t="shared" si="18"/>
        <v>82.004999999999995</v>
      </c>
    </row>
    <row r="121" spans="2:10" ht="15.6" hidden="1" x14ac:dyDescent="0.25">
      <c r="B121" s="59"/>
      <c r="C121" s="65" t="s">
        <v>351</v>
      </c>
      <c r="D121" s="61" t="s">
        <v>0</v>
      </c>
      <c r="E121" s="62">
        <v>1</v>
      </c>
      <c r="F121" s="63">
        <f>'Прайс для расчета'!E110</f>
        <v>102.87899999999999</v>
      </c>
      <c r="G121" s="64">
        <f t="shared" si="17"/>
        <v>102.87899999999999</v>
      </c>
      <c r="I121" s="135">
        <f>'Прайс для расчета (М)'!E110</f>
        <v>51.439499999999995</v>
      </c>
      <c r="J121" s="36">
        <f t="shared" si="18"/>
        <v>51.439499999999995</v>
      </c>
    </row>
    <row r="122" spans="2:10" ht="15.6" hidden="1" x14ac:dyDescent="0.25">
      <c r="B122" s="59"/>
      <c r="C122" s="65" t="s">
        <v>352</v>
      </c>
      <c r="D122" s="61" t="s">
        <v>3</v>
      </c>
      <c r="E122" s="62">
        <v>1</v>
      </c>
      <c r="F122" s="63">
        <f>'Прайс для расчета'!E111</f>
        <v>248.99699999999999</v>
      </c>
      <c r="G122" s="64">
        <f t="shared" si="17"/>
        <v>248.99699999999999</v>
      </c>
      <c r="I122" s="135">
        <f>'Прайс для расчета (М)'!E111</f>
        <v>124.49849999999999</v>
      </c>
      <c r="J122" s="36">
        <f t="shared" si="18"/>
        <v>124.49849999999999</v>
      </c>
    </row>
    <row r="123" spans="2:10" ht="15.6" hidden="1" x14ac:dyDescent="0.25">
      <c r="B123" s="59"/>
      <c r="C123" s="65" t="s">
        <v>353</v>
      </c>
      <c r="D123" s="61" t="s">
        <v>3</v>
      </c>
      <c r="E123" s="62">
        <v>1</v>
      </c>
      <c r="F123" s="63">
        <f>'Прайс для расчета'!E112</f>
        <v>395.11499999999995</v>
      </c>
      <c r="G123" s="64">
        <f t="shared" si="17"/>
        <v>395.11499999999995</v>
      </c>
      <c r="I123" s="135">
        <f>'Прайс для расчета (М)'!E112</f>
        <v>197.55749999999998</v>
      </c>
      <c r="J123" s="36">
        <f t="shared" si="18"/>
        <v>197.55749999999998</v>
      </c>
    </row>
    <row r="124" spans="2:10" ht="15.6" hidden="1" x14ac:dyDescent="0.25">
      <c r="B124" s="59"/>
      <c r="C124" s="65" t="s">
        <v>492</v>
      </c>
      <c r="D124" s="61" t="s">
        <v>3</v>
      </c>
      <c r="E124" s="62">
        <v>1</v>
      </c>
      <c r="F124" s="63">
        <f>'Прайс для расчета'!E113</f>
        <v>978.096</v>
      </c>
      <c r="G124" s="64">
        <f t="shared" si="17"/>
        <v>978.096</v>
      </c>
      <c r="I124" s="135">
        <f>'Прайс для расчета (М)'!E113</f>
        <v>489.048</v>
      </c>
      <c r="J124" s="36">
        <f t="shared" si="18"/>
        <v>489.048</v>
      </c>
    </row>
    <row r="125" spans="2:10" ht="15.6" hidden="1" x14ac:dyDescent="0.25">
      <c r="B125" s="59"/>
      <c r="C125" s="65" t="s">
        <v>493</v>
      </c>
      <c r="D125" s="61" t="s">
        <v>3</v>
      </c>
      <c r="E125" s="62">
        <v>1</v>
      </c>
      <c r="F125" s="63">
        <f>'Прайс для расчета'!E114</f>
        <v>1183.854</v>
      </c>
      <c r="G125" s="64">
        <f t="shared" si="17"/>
        <v>1183.854</v>
      </c>
      <c r="I125" s="135">
        <f>'Прайс для расчета (М)'!E114</f>
        <v>591.92700000000002</v>
      </c>
      <c r="J125" s="36">
        <f t="shared" si="18"/>
        <v>591.92700000000002</v>
      </c>
    </row>
    <row r="126" spans="2:10" ht="15.6" hidden="1" x14ac:dyDescent="0.25">
      <c r="B126" s="59">
        <f>IF(SUM(B127:B136)&gt;0,1,0)</f>
        <v>0</v>
      </c>
      <c r="C126" s="67" t="s">
        <v>883</v>
      </c>
      <c r="D126" s="61"/>
      <c r="E126" s="62"/>
      <c r="F126" s="63"/>
      <c r="G126" s="64"/>
    </row>
    <row r="127" spans="2:10" ht="15.6" hidden="1" x14ac:dyDescent="0.25">
      <c r="B127" s="59"/>
      <c r="C127" s="65" t="s">
        <v>354</v>
      </c>
      <c r="D127" s="61" t="s">
        <v>0</v>
      </c>
      <c r="E127" s="62">
        <v>1</v>
      </c>
      <c r="F127" s="63">
        <f>'Прайс для расчета'!E115</f>
        <v>146.11799999999999</v>
      </c>
      <c r="G127" s="64">
        <f t="shared" ref="G127:G136" si="19">F127*E127</f>
        <v>146.11799999999999</v>
      </c>
      <c r="I127" s="135">
        <f>'Прайс для расчета (М)'!E115</f>
        <v>73.058999999999997</v>
      </c>
      <c r="J127" s="36">
        <f t="shared" ref="J127:J136" si="20">I127*E127</f>
        <v>73.058999999999997</v>
      </c>
    </row>
    <row r="128" spans="2:10" ht="15.6" hidden="1" x14ac:dyDescent="0.25">
      <c r="B128" s="59"/>
      <c r="C128" s="65" t="s">
        <v>671</v>
      </c>
      <c r="D128" s="61" t="s">
        <v>0</v>
      </c>
      <c r="E128" s="62">
        <v>1</v>
      </c>
      <c r="F128" s="63">
        <f>'Прайс для расчета'!E116</f>
        <v>164.01</v>
      </c>
      <c r="G128" s="64">
        <f t="shared" si="19"/>
        <v>164.01</v>
      </c>
      <c r="I128" s="135">
        <f>'Прайс для расчета (М)'!E116</f>
        <v>82.004999999999995</v>
      </c>
      <c r="J128" s="36">
        <f t="shared" si="20"/>
        <v>82.004999999999995</v>
      </c>
    </row>
    <row r="129" spans="2:10" ht="15.6" hidden="1" x14ac:dyDescent="0.25">
      <c r="B129" s="59"/>
      <c r="C129" s="65" t="s">
        <v>146</v>
      </c>
      <c r="D129" s="61" t="s">
        <v>0</v>
      </c>
      <c r="E129" s="62">
        <v>1</v>
      </c>
      <c r="F129" s="63">
        <f>'Прайс для расчета'!E117</f>
        <v>335.47500000000002</v>
      </c>
      <c r="G129" s="64">
        <f t="shared" si="19"/>
        <v>335.47500000000002</v>
      </c>
      <c r="I129" s="135">
        <f>'Прайс для расчета (М)'!E117</f>
        <v>167.73750000000001</v>
      </c>
      <c r="J129" s="36">
        <f t="shared" si="20"/>
        <v>167.73750000000001</v>
      </c>
    </row>
    <row r="130" spans="2:10" ht="15.6" hidden="1" x14ac:dyDescent="0.25">
      <c r="B130" s="59"/>
      <c r="C130" s="65" t="s">
        <v>64</v>
      </c>
      <c r="D130" s="61" t="s">
        <v>0</v>
      </c>
      <c r="E130" s="62">
        <v>1</v>
      </c>
      <c r="F130" s="63">
        <f>'Прайс для расчета'!E118</f>
        <v>1021.3349999999999</v>
      </c>
      <c r="G130" s="64">
        <f t="shared" si="19"/>
        <v>1021.3349999999999</v>
      </c>
      <c r="I130" s="135">
        <f>'Прайс для расчета (М)'!E118</f>
        <v>510.66749999999996</v>
      </c>
      <c r="J130" s="36">
        <f t="shared" si="20"/>
        <v>510.66749999999996</v>
      </c>
    </row>
    <row r="131" spans="2:10" ht="15.6" hidden="1" x14ac:dyDescent="0.25">
      <c r="B131" s="59"/>
      <c r="C131" s="65" t="s">
        <v>672</v>
      </c>
      <c r="D131" s="61" t="s">
        <v>645</v>
      </c>
      <c r="E131" s="62">
        <v>1</v>
      </c>
      <c r="F131" s="63">
        <f>'Прайс для расчета'!E119</f>
        <v>34.292999999999999</v>
      </c>
      <c r="G131" s="64">
        <f t="shared" si="19"/>
        <v>34.292999999999999</v>
      </c>
      <c r="I131" s="135">
        <f>'Прайс для расчета (М)'!E119</f>
        <v>17.1465</v>
      </c>
      <c r="J131" s="36">
        <f t="shared" si="20"/>
        <v>17.1465</v>
      </c>
    </row>
    <row r="132" spans="2:10" ht="15.6" hidden="1" x14ac:dyDescent="0.25">
      <c r="B132" s="59"/>
      <c r="C132" s="65" t="s">
        <v>177</v>
      </c>
      <c r="D132" s="61" t="s">
        <v>0</v>
      </c>
      <c r="E132" s="62">
        <v>1</v>
      </c>
      <c r="F132" s="63">
        <f>'Прайс для расчета'!E120</f>
        <v>164.01</v>
      </c>
      <c r="G132" s="64">
        <f t="shared" si="19"/>
        <v>164.01</v>
      </c>
      <c r="I132" s="135">
        <f>'Прайс для расчета (М)'!E120</f>
        <v>82.004999999999995</v>
      </c>
      <c r="J132" s="36">
        <f t="shared" si="20"/>
        <v>82.004999999999995</v>
      </c>
    </row>
    <row r="133" spans="2:10" ht="15.6" hidden="1" x14ac:dyDescent="0.25">
      <c r="B133" s="59"/>
      <c r="C133" s="65" t="s">
        <v>355</v>
      </c>
      <c r="D133" s="61" t="s">
        <v>0</v>
      </c>
      <c r="E133" s="62">
        <v>1</v>
      </c>
      <c r="F133" s="63">
        <f>'Прайс для расчета'!E121</f>
        <v>600.87300000000005</v>
      </c>
      <c r="G133" s="64">
        <f t="shared" si="19"/>
        <v>600.87300000000005</v>
      </c>
      <c r="I133" s="135">
        <f>'Прайс для расчета (М)'!E121</f>
        <v>300.43650000000002</v>
      </c>
      <c r="J133" s="36">
        <f t="shared" si="20"/>
        <v>300.43650000000002</v>
      </c>
    </row>
    <row r="134" spans="2:10" ht="15.6" hidden="1" x14ac:dyDescent="0.25">
      <c r="B134" s="59"/>
      <c r="C134" s="65" t="s">
        <v>494</v>
      </c>
      <c r="D134" s="61" t="s">
        <v>0</v>
      </c>
      <c r="E134" s="62">
        <v>1</v>
      </c>
      <c r="F134" s="63">
        <f>'Прайс для расчета'!E122</f>
        <v>3936.24</v>
      </c>
      <c r="G134" s="64">
        <f t="shared" si="19"/>
        <v>3936.24</v>
      </c>
      <c r="I134" s="135">
        <f>'Прайс для расчета (М)'!E122</f>
        <v>1968.12</v>
      </c>
      <c r="J134" s="36">
        <f t="shared" si="20"/>
        <v>1968.12</v>
      </c>
    </row>
    <row r="135" spans="2:10" ht="15.6" hidden="1" x14ac:dyDescent="0.25">
      <c r="B135" s="59"/>
      <c r="C135" s="65" t="s">
        <v>495</v>
      </c>
      <c r="D135" s="61" t="s">
        <v>0</v>
      </c>
      <c r="E135" s="62">
        <v>1</v>
      </c>
      <c r="F135" s="63">
        <f>'Прайс для расчета'!E123</f>
        <v>5093.2559999999994</v>
      </c>
      <c r="G135" s="64">
        <f t="shared" si="19"/>
        <v>5093.2559999999994</v>
      </c>
      <c r="I135" s="135">
        <f>'Прайс для расчета (М)'!E123</f>
        <v>2546.6279999999997</v>
      </c>
      <c r="J135" s="36">
        <f t="shared" si="20"/>
        <v>2546.6279999999997</v>
      </c>
    </row>
    <row r="136" spans="2:10" ht="15.6" hidden="1" x14ac:dyDescent="0.25">
      <c r="B136" s="59"/>
      <c r="C136" s="65" t="s">
        <v>496</v>
      </c>
      <c r="D136" s="61" t="s">
        <v>0</v>
      </c>
      <c r="E136" s="62">
        <v>1</v>
      </c>
      <c r="F136" s="63">
        <f>'Прайс для расчета'!E124</f>
        <v>4244.8769999999995</v>
      </c>
      <c r="G136" s="64">
        <f t="shared" si="19"/>
        <v>4244.8769999999995</v>
      </c>
      <c r="I136" s="135">
        <f>'Прайс для расчета (М)'!E124</f>
        <v>2122.4384999999997</v>
      </c>
      <c r="J136" s="36">
        <f t="shared" si="20"/>
        <v>2122.4384999999997</v>
      </c>
    </row>
    <row r="137" spans="2:10" ht="15.6" hidden="1" x14ac:dyDescent="0.25">
      <c r="B137" s="110">
        <f>IF(SUM(B10:B136)&gt;0,1,0)</f>
        <v>0</v>
      </c>
      <c r="C137" s="266" t="s">
        <v>497</v>
      </c>
      <c r="D137" s="266"/>
      <c r="E137" s="266"/>
      <c r="F137" s="266"/>
      <c r="G137" s="157">
        <f>SUMIF(B12:B136,1,G12:G136)</f>
        <v>0</v>
      </c>
      <c r="J137" s="36">
        <f>SUMIF(B12:B136,1,J12:J136)</f>
        <v>0</v>
      </c>
    </row>
    <row r="138" spans="2:10" ht="15.6" x14ac:dyDescent="0.25">
      <c r="B138" s="153">
        <f>IF(SUM(B139:B247)&gt;0,1,0)</f>
        <v>1</v>
      </c>
      <c r="C138" s="164" t="s">
        <v>1155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>
        <f>IF(SUM(B140:B164)&gt;0,1,0)</f>
        <v>1</v>
      </c>
      <c r="C139" s="67" t="s">
        <v>877</v>
      </c>
      <c r="D139" s="61"/>
      <c r="E139" s="62"/>
      <c r="F139" s="63"/>
      <c r="G139" s="64"/>
    </row>
    <row r="140" spans="2:10" ht="15.6" hidden="1" x14ac:dyDescent="0.3">
      <c r="B140" s="59"/>
      <c r="C140" s="78" t="s">
        <v>1018</v>
      </c>
      <c r="D140" s="74" t="s">
        <v>2</v>
      </c>
      <c r="E140" s="75">
        <f t="shared" ref="E140:E164" si="21">$A$4</f>
        <v>2.46</v>
      </c>
      <c r="F140" s="63">
        <f>'Прайс для расчета'!E125</f>
        <v>94.5</v>
      </c>
      <c r="G140" s="64">
        <f t="shared" ref="G140:G164" si="22">F140*E140</f>
        <v>232.47</v>
      </c>
      <c r="I140" s="135">
        <f>'Прайс для расчета (М)'!E125</f>
        <v>47.25</v>
      </c>
      <c r="J140" s="36">
        <f t="shared" ref="J140:J164" si="23">I140*E140</f>
        <v>116.235</v>
      </c>
    </row>
    <row r="141" spans="2:10" ht="15.6" hidden="1" x14ac:dyDescent="0.3">
      <c r="B141" s="59"/>
      <c r="C141" s="69" t="s">
        <v>1128</v>
      </c>
      <c r="D141" s="74" t="s">
        <v>2</v>
      </c>
      <c r="E141" s="75">
        <f t="shared" si="21"/>
        <v>2.46</v>
      </c>
      <c r="F141" s="63">
        <f>'Прайс для расчета'!E126</f>
        <v>157.5</v>
      </c>
      <c r="G141" s="64">
        <f t="shared" si="22"/>
        <v>387.45</v>
      </c>
      <c r="I141" s="135">
        <f>'Прайс для расчета (М)'!E126</f>
        <v>78.75</v>
      </c>
      <c r="J141" s="36">
        <f t="shared" si="23"/>
        <v>193.72499999999999</v>
      </c>
    </row>
    <row r="142" spans="2:10" ht="15.6" hidden="1" x14ac:dyDescent="0.3">
      <c r="B142" s="59"/>
      <c r="C142" s="78" t="s">
        <v>1019</v>
      </c>
      <c r="D142" s="74" t="s">
        <v>2</v>
      </c>
      <c r="E142" s="75">
        <f t="shared" si="21"/>
        <v>2.46</v>
      </c>
      <c r="F142" s="63">
        <f>'Прайс для расчета'!E127</f>
        <v>114.45</v>
      </c>
      <c r="G142" s="64">
        <f t="shared" si="22"/>
        <v>281.54700000000003</v>
      </c>
      <c r="I142" s="135">
        <f>'Прайс для расчета (М)'!E127</f>
        <v>57.225000000000001</v>
      </c>
      <c r="J142" s="36">
        <f t="shared" si="23"/>
        <v>140.77350000000001</v>
      </c>
    </row>
    <row r="143" spans="2:10" ht="15.6" hidden="1" x14ac:dyDescent="0.3">
      <c r="B143" s="59"/>
      <c r="C143" s="78" t="s">
        <v>1034</v>
      </c>
      <c r="D143" s="74" t="s">
        <v>2</v>
      </c>
      <c r="E143" s="75">
        <f t="shared" si="21"/>
        <v>2.46</v>
      </c>
      <c r="F143" s="63">
        <f>'Прайс для расчета'!E128</f>
        <v>0</v>
      </c>
      <c r="G143" s="64">
        <f t="shared" si="22"/>
        <v>0</v>
      </c>
      <c r="I143" s="135">
        <f>'Прайс для расчета (М)'!E128</f>
        <v>0</v>
      </c>
      <c r="J143" s="36">
        <f t="shared" si="23"/>
        <v>0</v>
      </c>
    </row>
    <row r="144" spans="2:10" ht="15.6" hidden="1" x14ac:dyDescent="0.3">
      <c r="B144" s="59"/>
      <c r="C144" s="69" t="s">
        <v>930</v>
      </c>
      <c r="D144" s="74" t="s">
        <v>2</v>
      </c>
      <c r="E144" s="75">
        <f t="shared" si="21"/>
        <v>2.46</v>
      </c>
      <c r="F144" s="63">
        <f>'Прайс для расчета'!E129</f>
        <v>576.45000000000005</v>
      </c>
      <c r="G144" s="64">
        <f t="shared" si="22"/>
        <v>1418.067</v>
      </c>
      <c r="I144" s="135">
        <f>'Прайс для расчета (М)'!E129</f>
        <v>288.22500000000002</v>
      </c>
      <c r="J144" s="36">
        <f t="shared" si="23"/>
        <v>709.0335</v>
      </c>
    </row>
    <row r="145" spans="2:10" ht="15.6" hidden="1" x14ac:dyDescent="0.3">
      <c r="B145" s="59"/>
      <c r="C145" s="69" t="s">
        <v>931</v>
      </c>
      <c r="D145" s="74" t="s">
        <v>2</v>
      </c>
      <c r="E145" s="75">
        <f t="shared" si="21"/>
        <v>2.46</v>
      </c>
      <c r="F145" s="63">
        <f>'Прайс для расчета'!E130</f>
        <v>681.45</v>
      </c>
      <c r="G145" s="64">
        <f t="shared" si="22"/>
        <v>1676.3670000000002</v>
      </c>
      <c r="I145" s="135">
        <f>'Прайс для расчета (М)'!E130</f>
        <v>340.72500000000002</v>
      </c>
      <c r="J145" s="36">
        <f t="shared" si="23"/>
        <v>838.18350000000009</v>
      </c>
    </row>
    <row r="146" spans="2:10" ht="15.6" hidden="1" x14ac:dyDescent="0.3">
      <c r="B146" s="59"/>
      <c r="C146" s="69" t="s">
        <v>932</v>
      </c>
      <c r="D146" s="74" t="s">
        <v>2</v>
      </c>
      <c r="E146" s="75">
        <f t="shared" si="21"/>
        <v>2.46</v>
      </c>
      <c r="F146" s="63">
        <f>'Прайс для расчета'!E131</f>
        <v>891.45</v>
      </c>
      <c r="G146" s="64">
        <f t="shared" si="22"/>
        <v>2192.9670000000001</v>
      </c>
      <c r="I146" s="135">
        <f>'Прайс для расчета (М)'!E131</f>
        <v>445.72500000000002</v>
      </c>
      <c r="J146" s="36">
        <f t="shared" si="23"/>
        <v>1096.4835</v>
      </c>
    </row>
    <row r="147" spans="2:10" ht="15.6" x14ac:dyDescent="0.3">
      <c r="B147" s="59">
        <v>1</v>
      </c>
      <c r="C147" s="69" t="s">
        <v>357</v>
      </c>
      <c r="D147" s="74" t="s">
        <v>2</v>
      </c>
      <c r="E147" s="75">
        <f t="shared" si="21"/>
        <v>2.46</v>
      </c>
      <c r="F147" s="63">
        <f>'Прайс для расчета'!E132</f>
        <v>996.45</v>
      </c>
      <c r="G147" s="64">
        <f t="shared" si="22"/>
        <v>2451.2670000000003</v>
      </c>
      <c r="I147" s="135">
        <f>'Прайс для расчета (М)'!E132</f>
        <v>498.22500000000002</v>
      </c>
      <c r="J147" s="36">
        <f t="shared" si="23"/>
        <v>1225.6335000000001</v>
      </c>
    </row>
    <row r="148" spans="2:10" ht="15.6" hidden="1" x14ac:dyDescent="0.3">
      <c r="B148" s="59"/>
      <c r="C148" s="69" t="s">
        <v>1127</v>
      </c>
      <c r="D148" s="74" t="s">
        <v>2</v>
      </c>
      <c r="E148" s="75">
        <f t="shared" si="21"/>
        <v>2.46</v>
      </c>
      <c r="F148" s="63">
        <f>'Прайс для расчета'!E133</f>
        <v>1101.45</v>
      </c>
      <c r="G148" s="64">
        <f t="shared" si="22"/>
        <v>2709.567</v>
      </c>
      <c r="I148" s="135">
        <f>'Прайс для расчета (М)'!E133</f>
        <v>550.72500000000002</v>
      </c>
      <c r="J148" s="36">
        <f t="shared" si="23"/>
        <v>1354.7835</v>
      </c>
    </row>
    <row r="149" spans="2:10" ht="15.6" hidden="1" x14ac:dyDescent="0.3">
      <c r="B149" s="59"/>
      <c r="C149" s="78" t="s">
        <v>151</v>
      </c>
      <c r="D149" s="74" t="s">
        <v>2</v>
      </c>
      <c r="E149" s="75">
        <f t="shared" si="21"/>
        <v>2.46</v>
      </c>
      <c r="F149" s="63">
        <f>'Прайс для расчета'!E134</f>
        <v>271.95</v>
      </c>
      <c r="G149" s="64">
        <f t="shared" si="22"/>
        <v>668.99699999999996</v>
      </c>
      <c r="I149" s="135">
        <f>'Прайс для расчета (М)'!E134</f>
        <v>135.97499999999999</v>
      </c>
      <c r="J149" s="36">
        <f t="shared" si="23"/>
        <v>334.49849999999998</v>
      </c>
    </row>
    <row r="150" spans="2:10" ht="15.6" x14ac:dyDescent="0.3">
      <c r="B150" s="59">
        <v>1</v>
      </c>
      <c r="C150" s="78" t="s">
        <v>499</v>
      </c>
      <c r="D150" s="74" t="s">
        <v>2</v>
      </c>
      <c r="E150" s="75">
        <f t="shared" si="21"/>
        <v>2.46</v>
      </c>
      <c r="F150" s="63">
        <f>'Прайс для расчета'!E135</f>
        <v>262.5</v>
      </c>
      <c r="G150" s="64">
        <f t="shared" si="22"/>
        <v>645.75</v>
      </c>
      <c r="I150" s="135">
        <f>'Прайс для расчета (М)'!E135</f>
        <v>131.25</v>
      </c>
      <c r="J150" s="36">
        <f t="shared" si="23"/>
        <v>322.875</v>
      </c>
    </row>
    <row r="151" spans="2:10" ht="15.6" x14ac:dyDescent="0.3">
      <c r="B151" s="59">
        <v>1</v>
      </c>
      <c r="C151" s="78" t="s">
        <v>500</v>
      </c>
      <c r="D151" s="74" t="s">
        <v>3</v>
      </c>
      <c r="E151" s="62">
        <f>$A$2</f>
        <v>6.94</v>
      </c>
      <c r="F151" s="63">
        <f>'Прайс для расчета'!E136</f>
        <v>250.95000000000002</v>
      </c>
      <c r="G151" s="64">
        <f t="shared" si="22"/>
        <v>1741.5930000000003</v>
      </c>
      <c r="I151" s="135">
        <f>'Прайс для расчета (М)'!E136</f>
        <v>125.47500000000001</v>
      </c>
      <c r="J151" s="36">
        <f t="shared" si="23"/>
        <v>870.79650000000015</v>
      </c>
    </row>
    <row r="152" spans="2:10" ht="15.6" hidden="1" x14ac:dyDescent="0.3">
      <c r="B152" s="59"/>
      <c r="C152" s="78" t="s">
        <v>1024</v>
      </c>
      <c r="D152" s="74" t="s">
        <v>2</v>
      </c>
      <c r="E152" s="75">
        <f t="shared" si="21"/>
        <v>2.46</v>
      </c>
      <c r="F152" s="63">
        <f>'Прайс для расчета'!E137</f>
        <v>204.75</v>
      </c>
      <c r="G152" s="64">
        <f t="shared" si="22"/>
        <v>503.685</v>
      </c>
      <c r="I152" s="135">
        <f>'Прайс для расчета (М)'!E137</f>
        <v>102.375</v>
      </c>
      <c r="J152" s="36">
        <f t="shared" si="23"/>
        <v>251.8425</v>
      </c>
    </row>
    <row r="153" spans="2:10" ht="15.6" hidden="1" x14ac:dyDescent="0.3">
      <c r="B153" s="59"/>
      <c r="C153" s="78" t="s">
        <v>359</v>
      </c>
      <c r="D153" s="74" t="s">
        <v>2</v>
      </c>
      <c r="E153" s="75">
        <f t="shared" si="21"/>
        <v>2.46</v>
      </c>
      <c r="F153" s="63">
        <f>'Прайс для расчета'!E138</f>
        <v>299.25</v>
      </c>
      <c r="G153" s="64">
        <f t="shared" si="22"/>
        <v>736.15499999999997</v>
      </c>
      <c r="I153" s="135">
        <f>'Прайс для расчета (М)'!E138</f>
        <v>149.625</v>
      </c>
      <c r="J153" s="36">
        <f t="shared" si="23"/>
        <v>368.07749999999999</v>
      </c>
    </row>
    <row r="154" spans="2:10" ht="15.6" hidden="1" x14ac:dyDescent="0.3">
      <c r="B154" s="59"/>
      <c r="C154" s="78" t="s">
        <v>360</v>
      </c>
      <c r="D154" s="74" t="s">
        <v>2</v>
      </c>
      <c r="E154" s="75">
        <f t="shared" si="21"/>
        <v>2.46</v>
      </c>
      <c r="F154" s="63">
        <f>'Прайс для расчета'!E139</f>
        <v>104.36999999999999</v>
      </c>
      <c r="G154" s="64">
        <f t="shared" si="22"/>
        <v>256.75019999999995</v>
      </c>
      <c r="I154" s="135">
        <f>'Прайс для расчета (М)'!E139</f>
        <v>52.184999999999995</v>
      </c>
      <c r="J154" s="36">
        <f t="shared" si="23"/>
        <v>128.37509999999997</v>
      </c>
    </row>
    <row r="155" spans="2:10" ht="15.6" hidden="1" x14ac:dyDescent="0.3">
      <c r="B155" s="59"/>
      <c r="C155" s="78" t="s">
        <v>361</v>
      </c>
      <c r="D155" s="74" t="s">
        <v>2</v>
      </c>
      <c r="E155" s="75">
        <f t="shared" si="21"/>
        <v>2.46</v>
      </c>
      <c r="F155" s="63">
        <f>'Прайс для расчета'!E140</f>
        <v>498.75</v>
      </c>
      <c r="G155" s="64">
        <f t="shared" si="22"/>
        <v>1226.925</v>
      </c>
      <c r="I155" s="135">
        <f>'Прайс для расчета (М)'!E140</f>
        <v>249.375</v>
      </c>
      <c r="J155" s="36">
        <f t="shared" si="23"/>
        <v>613.46249999999998</v>
      </c>
    </row>
    <row r="156" spans="2:10" ht="15.6" hidden="1" x14ac:dyDescent="0.3">
      <c r="B156" s="59"/>
      <c r="C156" s="78" t="s">
        <v>501</v>
      </c>
      <c r="D156" s="74" t="s">
        <v>2</v>
      </c>
      <c r="E156" s="75">
        <f t="shared" si="21"/>
        <v>2.46</v>
      </c>
      <c r="F156" s="63">
        <f>'Прайс для расчета'!E141</f>
        <v>460.95000000000005</v>
      </c>
      <c r="G156" s="64">
        <f t="shared" si="22"/>
        <v>1133.9370000000001</v>
      </c>
      <c r="I156" s="135">
        <f>'Прайс для расчета (М)'!E141</f>
        <v>230.47500000000002</v>
      </c>
      <c r="J156" s="36">
        <f t="shared" si="23"/>
        <v>566.96850000000006</v>
      </c>
    </row>
    <row r="157" spans="2:10" ht="15.6" hidden="1" x14ac:dyDescent="0.3">
      <c r="B157" s="59"/>
      <c r="C157" s="78" t="s">
        <v>362</v>
      </c>
      <c r="D157" s="74" t="s">
        <v>2</v>
      </c>
      <c r="E157" s="75">
        <f t="shared" si="21"/>
        <v>2.46</v>
      </c>
      <c r="F157" s="63">
        <f>'Прайс для расчета'!E142</f>
        <v>1942.5</v>
      </c>
      <c r="G157" s="64">
        <f t="shared" si="22"/>
        <v>4778.55</v>
      </c>
      <c r="I157" s="135">
        <f>'Прайс для расчета (М)'!E142</f>
        <v>971.25</v>
      </c>
      <c r="J157" s="36">
        <f t="shared" si="23"/>
        <v>2389.2750000000001</v>
      </c>
    </row>
    <row r="158" spans="2:10" ht="15.6" hidden="1" x14ac:dyDescent="0.3">
      <c r="B158" s="59"/>
      <c r="C158" s="78" t="s">
        <v>227</v>
      </c>
      <c r="D158" s="74" t="s">
        <v>2</v>
      </c>
      <c r="E158" s="75">
        <f t="shared" si="21"/>
        <v>2.46</v>
      </c>
      <c r="F158" s="63">
        <f>'Прайс для расчета'!E143</f>
        <v>362.25</v>
      </c>
      <c r="G158" s="64">
        <f t="shared" si="22"/>
        <v>891.13499999999999</v>
      </c>
      <c r="I158" s="135">
        <f>'Прайс для расчета (М)'!E143</f>
        <v>181.125</v>
      </c>
      <c r="J158" s="36">
        <f t="shared" si="23"/>
        <v>445.5675</v>
      </c>
    </row>
    <row r="159" spans="2:10" ht="15.6" hidden="1" x14ac:dyDescent="0.3">
      <c r="B159" s="59"/>
      <c r="C159" s="78" t="s">
        <v>224</v>
      </c>
      <c r="D159" s="74" t="s">
        <v>2</v>
      </c>
      <c r="E159" s="75">
        <f t="shared" si="21"/>
        <v>2.46</v>
      </c>
      <c r="F159" s="63">
        <f>'Прайс для расчета'!E144</f>
        <v>271.95</v>
      </c>
      <c r="G159" s="64">
        <f t="shared" si="22"/>
        <v>668.99699999999996</v>
      </c>
      <c r="I159" s="135">
        <f>'Прайс для расчета (М)'!E144</f>
        <v>135.97499999999999</v>
      </c>
      <c r="J159" s="36">
        <f t="shared" si="23"/>
        <v>334.49849999999998</v>
      </c>
    </row>
    <row r="160" spans="2:10" ht="15.6" x14ac:dyDescent="0.3">
      <c r="B160" s="59">
        <v>1</v>
      </c>
      <c r="C160" s="78" t="s">
        <v>1025</v>
      </c>
      <c r="D160" s="74" t="s">
        <v>2</v>
      </c>
      <c r="E160" s="75">
        <f t="shared" si="21"/>
        <v>2.46</v>
      </c>
      <c r="F160" s="63">
        <f>'Прайс для расчета'!E145</f>
        <v>509.25</v>
      </c>
      <c r="G160" s="64">
        <f t="shared" si="22"/>
        <v>1252.7549999999999</v>
      </c>
      <c r="I160" s="135">
        <f>'Прайс для расчета (М)'!E145</f>
        <v>254.625</v>
      </c>
      <c r="J160" s="36">
        <f t="shared" si="23"/>
        <v>626.37749999999994</v>
      </c>
    </row>
    <row r="161" spans="2:10" ht="15.6" hidden="1" x14ac:dyDescent="0.3">
      <c r="B161" s="59"/>
      <c r="C161" s="78" t="s">
        <v>363</v>
      </c>
      <c r="D161" s="74" t="s">
        <v>3</v>
      </c>
      <c r="E161" s="75">
        <f t="shared" si="21"/>
        <v>2.46</v>
      </c>
      <c r="F161" s="63">
        <f>'Прайс для расчета'!E146</f>
        <v>472.5</v>
      </c>
      <c r="G161" s="64">
        <f t="shared" si="22"/>
        <v>1162.3499999999999</v>
      </c>
      <c r="I161" s="135">
        <f>'Прайс для расчета (М)'!E146</f>
        <v>236.25</v>
      </c>
      <c r="J161" s="36">
        <f t="shared" si="23"/>
        <v>581.17499999999995</v>
      </c>
    </row>
    <row r="162" spans="2:10" ht="15.6" hidden="1" x14ac:dyDescent="0.3">
      <c r="B162" s="59"/>
      <c r="C162" s="78" t="s">
        <v>364</v>
      </c>
      <c r="D162" s="74" t="s">
        <v>2</v>
      </c>
      <c r="E162" s="75">
        <f t="shared" si="21"/>
        <v>2.46</v>
      </c>
      <c r="F162" s="63">
        <f>'Прайс для расчета'!E147</f>
        <v>404.06100000000004</v>
      </c>
      <c r="G162" s="64">
        <f t="shared" si="22"/>
        <v>993.99006000000008</v>
      </c>
      <c r="I162" s="135">
        <f>'Прайс для расчета (М)'!E147</f>
        <v>202.03050000000002</v>
      </c>
      <c r="J162" s="36">
        <f t="shared" si="23"/>
        <v>496.99503000000004</v>
      </c>
    </row>
    <row r="163" spans="2:10" ht="15.6" hidden="1" x14ac:dyDescent="0.3">
      <c r="B163" s="59"/>
      <c r="C163" s="78" t="s">
        <v>365</v>
      </c>
      <c r="D163" s="74" t="s">
        <v>2</v>
      </c>
      <c r="E163" s="75">
        <f t="shared" si="21"/>
        <v>2.46</v>
      </c>
      <c r="F163" s="63">
        <f>'Прайс для расчета'!E148</f>
        <v>304.5</v>
      </c>
      <c r="G163" s="64">
        <f t="shared" si="22"/>
        <v>749.06999999999994</v>
      </c>
      <c r="I163" s="135">
        <f>'Прайс для расчета (М)'!E148</f>
        <v>152.25</v>
      </c>
      <c r="J163" s="36">
        <f t="shared" si="23"/>
        <v>374.53499999999997</v>
      </c>
    </row>
    <row r="164" spans="2:10" ht="15.6" hidden="1" x14ac:dyDescent="0.3">
      <c r="B164" s="59"/>
      <c r="C164" s="78" t="s">
        <v>366</v>
      </c>
      <c r="D164" s="74" t="s">
        <v>2</v>
      </c>
      <c r="E164" s="75">
        <f t="shared" si="21"/>
        <v>2.46</v>
      </c>
      <c r="F164" s="63">
        <f>'Прайс для расчета'!E149</f>
        <v>472.5</v>
      </c>
      <c r="G164" s="64">
        <f t="shared" si="22"/>
        <v>1162.3499999999999</v>
      </c>
      <c r="I164" s="135">
        <f>'Прайс для расчета (М)'!E149</f>
        <v>236.25</v>
      </c>
      <c r="J164" s="36">
        <f t="shared" si="23"/>
        <v>581.17499999999995</v>
      </c>
    </row>
    <row r="165" spans="2:10" ht="15.6" x14ac:dyDescent="0.25">
      <c r="B165" s="59">
        <f>IF(SUM(B166:B208)&gt;0,1,0)</f>
        <v>1</v>
      </c>
      <c r="C165" s="67" t="s">
        <v>878</v>
      </c>
      <c r="D165" s="61"/>
      <c r="E165" s="62"/>
      <c r="F165" s="63"/>
      <c r="G165" s="64"/>
    </row>
    <row r="166" spans="2:10" ht="15.6" x14ac:dyDescent="0.3">
      <c r="B166" s="59">
        <v>1</v>
      </c>
      <c r="C166" s="78" t="s">
        <v>1020</v>
      </c>
      <c r="D166" s="74" t="s">
        <v>2</v>
      </c>
      <c r="E166" s="75">
        <v>9.1999999999999993</v>
      </c>
      <c r="F166" s="63">
        <f>'Прайс для расчета'!E150</f>
        <v>124.95</v>
      </c>
      <c r="G166" s="64">
        <f>F166*E166</f>
        <v>1149.54</v>
      </c>
      <c r="I166" s="135">
        <f>'Прайс для расчета (М)'!E150</f>
        <v>62.475000000000001</v>
      </c>
      <c r="J166" s="36">
        <f t="shared" ref="J166:J208" si="24">I166*E166</f>
        <v>574.77</v>
      </c>
    </row>
    <row r="167" spans="2:10" ht="15.6" hidden="1" x14ac:dyDescent="0.3">
      <c r="B167" s="59"/>
      <c r="C167" s="69" t="s">
        <v>1107</v>
      </c>
      <c r="D167" s="74" t="s">
        <v>2</v>
      </c>
      <c r="E167" s="75" t="e">
        <f t="shared" ref="E167:E178" si="25">$A$6</f>
        <v>#REF!</v>
      </c>
      <c r="F167" s="63">
        <f>'Прайс для расчета'!E151</f>
        <v>892.5</v>
      </c>
      <c r="G167" s="64" t="e">
        <f>F167*E167</f>
        <v>#REF!</v>
      </c>
      <c r="I167" s="135">
        <f>'Прайс для расчета (М)'!E151</f>
        <v>446.25</v>
      </c>
      <c r="J167" s="36" t="e">
        <f t="shared" si="24"/>
        <v>#REF!</v>
      </c>
    </row>
    <row r="168" spans="2:10" ht="15.6" hidden="1" x14ac:dyDescent="0.3">
      <c r="B168" s="59"/>
      <c r="C168" s="69" t="s">
        <v>1108</v>
      </c>
      <c r="D168" s="74" t="s">
        <v>2</v>
      </c>
      <c r="E168" s="75" t="e">
        <f t="shared" si="25"/>
        <v>#REF!</v>
      </c>
      <c r="F168" s="63">
        <f>'Прайс для расчета'!E152</f>
        <v>1207.5</v>
      </c>
      <c r="G168" s="64" t="e">
        <f t="shared" ref="G168:G208" si="26">F168*E168</f>
        <v>#REF!</v>
      </c>
      <c r="I168" s="135">
        <f>'Прайс для расчета (М)'!E152</f>
        <v>603.75</v>
      </c>
      <c r="J168" s="36" t="e">
        <f t="shared" si="24"/>
        <v>#REF!</v>
      </c>
    </row>
    <row r="169" spans="2:10" ht="15.6" x14ac:dyDescent="0.3">
      <c r="B169" s="59">
        <v>1</v>
      </c>
      <c r="C169" s="69" t="s">
        <v>1109</v>
      </c>
      <c r="D169" s="74" t="s">
        <v>2</v>
      </c>
      <c r="E169" s="75" t="e">
        <f t="shared" si="25"/>
        <v>#REF!</v>
      </c>
      <c r="F169" s="63">
        <f>'Прайс для расчета'!E153</f>
        <v>624.75</v>
      </c>
      <c r="G169" s="64" t="e">
        <f t="shared" si="26"/>
        <v>#REF!</v>
      </c>
      <c r="I169" s="135">
        <f>'Прайс для расчета (М)'!E153</f>
        <v>312.375</v>
      </c>
      <c r="J169" s="36" t="e">
        <f t="shared" si="24"/>
        <v>#REF!</v>
      </c>
    </row>
    <row r="170" spans="2:10" ht="15.6" hidden="1" x14ac:dyDescent="0.3">
      <c r="B170" s="59"/>
      <c r="C170" s="69" t="s">
        <v>1110</v>
      </c>
      <c r="D170" s="74" t="s">
        <v>2</v>
      </c>
      <c r="E170" s="75" t="e">
        <f t="shared" si="25"/>
        <v>#REF!</v>
      </c>
      <c r="F170" s="63">
        <f>'Прайс для расчета'!E154</f>
        <v>729.75</v>
      </c>
      <c r="G170" s="64" t="e">
        <f t="shared" si="26"/>
        <v>#REF!</v>
      </c>
      <c r="I170" s="135">
        <f>'Прайс для расчета (М)'!E154</f>
        <v>364.875</v>
      </c>
      <c r="J170" s="36" t="e">
        <f t="shared" si="24"/>
        <v>#REF!</v>
      </c>
    </row>
    <row r="171" spans="2:10" ht="15.6" hidden="1" x14ac:dyDescent="0.3">
      <c r="B171" s="59"/>
      <c r="C171" s="69" t="s">
        <v>1115</v>
      </c>
      <c r="D171" s="74" t="s">
        <v>2</v>
      </c>
      <c r="E171" s="75" t="e">
        <f t="shared" si="25"/>
        <v>#REF!</v>
      </c>
      <c r="F171" s="63">
        <f>'Прайс для расчета'!E155</f>
        <v>943.95</v>
      </c>
      <c r="G171" s="64" t="e">
        <f t="shared" si="26"/>
        <v>#REF!</v>
      </c>
      <c r="I171" s="135">
        <f>'Прайс для расчета (М)'!E155</f>
        <v>471.97500000000002</v>
      </c>
      <c r="J171" s="36" t="e">
        <f t="shared" si="24"/>
        <v>#REF!</v>
      </c>
    </row>
    <row r="172" spans="2:10" ht="15.6" hidden="1" x14ac:dyDescent="0.3">
      <c r="B172" s="59"/>
      <c r="C172" s="78" t="s">
        <v>1028</v>
      </c>
      <c r="D172" s="74" t="s">
        <v>2</v>
      </c>
      <c r="E172" s="75" t="e">
        <f t="shared" si="25"/>
        <v>#REF!</v>
      </c>
      <c r="F172" s="63">
        <f>'Прайс для расчета'!E156</f>
        <v>787.5</v>
      </c>
      <c r="G172" s="64" t="e">
        <f t="shared" si="26"/>
        <v>#REF!</v>
      </c>
      <c r="I172" s="135">
        <f>'Прайс для расчета (М)'!E156</f>
        <v>393.75</v>
      </c>
      <c r="J172" s="36" t="e">
        <f t="shared" si="24"/>
        <v>#REF!</v>
      </c>
    </row>
    <row r="173" spans="2:10" ht="15.6" hidden="1" x14ac:dyDescent="0.3">
      <c r="B173" s="59"/>
      <c r="C173" s="78" t="s">
        <v>1029</v>
      </c>
      <c r="D173" s="74" t="s">
        <v>3</v>
      </c>
      <c r="E173" s="75" t="e">
        <f t="shared" si="25"/>
        <v>#REF!</v>
      </c>
      <c r="F173" s="63">
        <f>'Прайс для расчета'!E157</f>
        <v>651</v>
      </c>
      <c r="G173" s="64" t="e">
        <f t="shared" si="26"/>
        <v>#REF!</v>
      </c>
      <c r="I173" s="135">
        <f>'Прайс для расчета (М)'!E157</f>
        <v>325.5</v>
      </c>
      <c r="J173" s="36" t="e">
        <f t="shared" si="24"/>
        <v>#REF!</v>
      </c>
    </row>
    <row r="174" spans="2:10" ht="15.6" hidden="1" x14ac:dyDescent="0.3">
      <c r="B174" s="59"/>
      <c r="C174" s="78" t="s">
        <v>674</v>
      </c>
      <c r="D174" s="74" t="s">
        <v>2</v>
      </c>
      <c r="E174" s="75">
        <v>7.08</v>
      </c>
      <c r="F174" s="63">
        <f>'Прайс для расчета'!E158</f>
        <v>267.75</v>
      </c>
      <c r="G174" s="64">
        <f t="shared" si="26"/>
        <v>1895.67</v>
      </c>
      <c r="I174" s="135">
        <f>'Прайс для расчета (М)'!E158</f>
        <v>133.875</v>
      </c>
      <c r="J174" s="36">
        <f t="shared" si="24"/>
        <v>947.83500000000004</v>
      </c>
    </row>
    <row r="175" spans="2:10" ht="15.6" hidden="1" x14ac:dyDescent="0.3">
      <c r="B175" s="59"/>
      <c r="C175" s="200" t="s">
        <v>1007</v>
      </c>
      <c r="D175" s="74" t="s">
        <v>2</v>
      </c>
      <c r="E175" s="75" t="e">
        <f t="shared" si="25"/>
        <v>#REF!</v>
      </c>
      <c r="F175" s="63">
        <f>'Прайс для расчета'!E159</f>
        <v>2992.5</v>
      </c>
      <c r="G175" s="64" t="e">
        <f t="shared" si="26"/>
        <v>#REF!</v>
      </c>
      <c r="I175" s="135">
        <f>'Прайс для расчета (М)'!E159</f>
        <v>1496.25</v>
      </c>
      <c r="J175" s="36" t="e">
        <f t="shared" si="24"/>
        <v>#REF!</v>
      </c>
    </row>
    <row r="176" spans="2:10" ht="15.6" hidden="1" x14ac:dyDescent="0.3">
      <c r="B176" s="59"/>
      <c r="C176" s="69" t="s">
        <v>1021</v>
      </c>
      <c r="D176" s="74" t="s">
        <v>2</v>
      </c>
      <c r="E176" s="75" t="e">
        <f t="shared" si="25"/>
        <v>#REF!</v>
      </c>
      <c r="F176" s="63">
        <f>'Прайс для расчета'!E160</f>
        <v>94.5</v>
      </c>
      <c r="G176" s="64" t="e">
        <f t="shared" si="26"/>
        <v>#REF!</v>
      </c>
      <c r="I176" s="135">
        <f>'Прайс для расчета (М)'!E160</f>
        <v>47.25</v>
      </c>
      <c r="J176" s="36" t="e">
        <f t="shared" si="24"/>
        <v>#REF!</v>
      </c>
    </row>
    <row r="177" spans="2:10" ht="15.6" x14ac:dyDescent="0.3">
      <c r="B177" s="59">
        <v>1</v>
      </c>
      <c r="C177" s="69" t="s">
        <v>1125</v>
      </c>
      <c r="D177" s="74" t="s">
        <v>2</v>
      </c>
      <c r="E177" s="75">
        <v>7.08</v>
      </c>
      <c r="F177" s="63">
        <f>'Прайс для расчета'!E161</f>
        <v>157.5</v>
      </c>
      <c r="G177" s="64">
        <f t="shared" si="26"/>
        <v>1115.0999999999999</v>
      </c>
      <c r="I177" s="135">
        <f>'Прайс для расчета (М)'!E161</f>
        <v>78.75</v>
      </c>
      <c r="J177" s="36">
        <f t="shared" si="24"/>
        <v>557.54999999999995</v>
      </c>
    </row>
    <row r="178" spans="2:10" ht="15.6" hidden="1" x14ac:dyDescent="0.3">
      <c r="B178" s="59"/>
      <c r="C178" s="69" t="s">
        <v>1126</v>
      </c>
      <c r="D178" s="74" t="s">
        <v>2</v>
      </c>
      <c r="E178" s="75" t="e">
        <f t="shared" si="25"/>
        <v>#REF!</v>
      </c>
      <c r="F178" s="63">
        <f>'Прайс для расчета'!E162</f>
        <v>519.75</v>
      </c>
      <c r="G178" s="64" t="e">
        <f t="shared" si="26"/>
        <v>#REF!</v>
      </c>
      <c r="I178" s="135">
        <f>'Прайс для расчета (М)'!E162</f>
        <v>259.875</v>
      </c>
      <c r="J178" s="36" t="e">
        <f t="shared" si="24"/>
        <v>#REF!</v>
      </c>
    </row>
    <row r="179" spans="2:10" ht="15.6" x14ac:dyDescent="0.3">
      <c r="B179" s="59">
        <v>1</v>
      </c>
      <c r="C179" s="69" t="s">
        <v>1119</v>
      </c>
      <c r="D179" s="74" t="s">
        <v>2</v>
      </c>
      <c r="E179" s="75">
        <v>7.08</v>
      </c>
      <c r="F179" s="63">
        <f>'Прайс для расчета'!E163</f>
        <v>687.75</v>
      </c>
      <c r="G179" s="64">
        <f t="shared" si="26"/>
        <v>4869.2700000000004</v>
      </c>
      <c r="I179" s="135">
        <f>'Прайс для расчета (М)'!E163</f>
        <v>343.875</v>
      </c>
      <c r="J179" s="36">
        <f t="shared" si="24"/>
        <v>2434.6350000000002</v>
      </c>
    </row>
    <row r="180" spans="2:10" ht="15.6" hidden="1" x14ac:dyDescent="0.3">
      <c r="B180" s="59"/>
      <c r="C180" s="69" t="s">
        <v>1121</v>
      </c>
      <c r="D180" s="74" t="s">
        <v>2</v>
      </c>
      <c r="E180" s="75">
        <v>7.08</v>
      </c>
      <c r="F180" s="63">
        <f>'Прайс для расчета'!E164</f>
        <v>420</v>
      </c>
      <c r="G180" s="64">
        <f t="shared" si="26"/>
        <v>2973.6</v>
      </c>
      <c r="I180" s="135">
        <f>'Прайс для расчета (М)'!E164</f>
        <v>210</v>
      </c>
      <c r="J180" s="36">
        <f t="shared" si="24"/>
        <v>1486.8</v>
      </c>
    </row>
    <row r="181" spans="2:10" ht="15.6" hidden="1" x14ac:dyDescent="0.3">
      <c r="B181" s="59"/>
      <c r="C181" s="69" t="s">
        <v>1122</v>
      </c>
      <c r="D181" s="74" t="s">
        <v>2</v>
      </c>
      <c r="E181" s="75">
        <v>7.08</v>
      </c>
      <c r="F181" s="63">
        <f>'Прайс для расчета'!E165</f>
        <v>829.5</v>
      </c>
      <c r="G181" s="64">
        <f t="shared" si="26"/>
        <v>5872.86</v>
      </c>
      <c r="I181" s="135">
        <f>'Прайс для расчета (М)'!E165</f>
        <v>414.75</v>
      </c>
      <c r="J181" s="36">
        <f t="shared" si="24"/>
        <v>2936.43</v>
      </c>
    </row>
    <row r="182" spans="2:10" ht="15.6" x14ac:dyDescent="0.3">
      <c r="B182" s="59">
        <v>1</v>
      </c>
      <c r="C182" s="69" t="s">
        <v>1120</v>
      </c>
      <c r="D182" s="74" t="s">
        <v>2</v>
      </c>
      <c r="E182" s="75">
        <v>7.08</v>
      </c>
      <c r="F182" s="63">
        <f>'Прайс для расчета'!E166</f>
        <v>204.75</v>
      </c>
      <c r="G182" s="64">
        <f t="shared" si="26"/>
        <v>1449.63</v>
      </c>
      <c r="I182" s="135">
        <f>'Прайс для расчета (М)'!E166</f>
        <v>102.375</v>
      </c>
      <c r="J182" s="36">
        <f t="shared" si="24"/>
        <v>724.81500000000005</v>
      </c>
    </row>
    <row r="183" spans="2:10" ht="15.6" x14ac:dyDescent="0.3">
      <c r="B183" s="59">
        <v>1</v>
      </c>
      <c r="C183" s="69" t="s">
        <v>1105</v>
      </c>
      <c r="D183" s="74" t="s">
        <v>3</v>
      </c>
      <c r="E183" s="75">
        <v>18.2</v>
      </c>
      <c r="F183" s="63">
        <f>'Прайс для расчета'!E167</f>
        <v>157.5</v>
      </c>
      <c r="G183" s="64">
        <f t="shared" si="26"/>
        <v>2866.5</v>
      </c>
      <c r="I183" s="135">
        <f>'Прайс для расчета (М)'!E167</f>
        <v>78.75</v>
      </c>
      <c r="J183" s="36">
        <f t="shared" si="24"/>
        <v>1433.25</v>
      </c>
    </row>
    <row r="184" spans="2:10" ht="15.6" x14ac:dyDescent="0.3">
      <c r="B184" s="59">
        <v>1</v>
      </c>
      <c r="C184" s="69" t="s">
        <v>1106</v>
      </c>
      <c r="D184" s="74" t="s">
        <v>3</v>
      </c>
      <c r="E184" s="75">
        <v>18.2</v>
      </c>
      <c r="F184" s="63">
        <f>'Прайс для расчета'!E168</f>
        <v>157.5</v>
      </c>
      <c r="G184" s="64">
        <f t="shared" si="26"/>
        <v>2866.5</v>
      </c>
      <c r="I184" s="135">
        <f>'Прайс для расчета (М)'!E168</f>
        <v>78.75</v>
      </c>
      <c r="J184" s="36">
        <f t="shared" si="24"/>
        <v>1433.25</v>
      </c>
    </row>
    <row r="185" spans="2:10" ht="15.6" hidden="1" x14ac:dyDescent="0.3">
      <c r="B185" s="59"/>
      <c r="C185" s="69" t="s">
        <v>1117</v>
      </c>
      <c r="D185" s="74" t="s">
        <v>2</v>
      </c>
      <c r="E185" s="75" t="e">
        <f t="shared" ref="E185:E191" si="27">$A$6</f>
        <v>#REF!</v>
      </c>
      <c r="F185" s="63">
        <f>'Прайс для расчета'!E169</f>
        <v>204.75</v>
      </c>
      <c r="G185" s="64" t="e">
        <f t="shared" si="26"/>
        <v>#REF!</v>
      </c>
      <c r="I185" s="135">
        <f>'Прайс для расчета (М)'!E169</f>
        <v>102.375</v>
      </c>
      <c r="J185" s="36" t="e">
        <f t="shared" si="24"/>
        <v>#REF!</v>
      </c>
    </row>
    <row r="186" spans="2:10" ht="15.6" x14ac:dyDescent="0.3">
      <c r="B186" s="59">
        <v>1</v>
      </c>
      <c r="C186" s="69" t="s">
        <v>1116</v>
      </c>
      <c r="D186" s="74" t="s">
        <v>2</v>
      </c>
      <c r="E186" s="75">
        <v>9.1999999999999993</v>
      </c>
      <c r="F186" s="63">
        <f>'Прайс для расчета'!E170</f>
        <v>204.75</v>
      </c>
      <c r="G186" s="64">
        <f t="shared" si="26"/>
        <v>1883.6999999999998</v>
      </c>
      <c r="I186" s="135">
        <f>'Прайс для расчета (М)'!E170</f>
        <v>102.375</v>
      </c>
      <c r="J186" s="36">
        <f t="shared" si="24"/>
        <v>941.84999999999991</v>
      </c>
    </row>
    <row r="187" spans="2:10" ht="15.6" hidden="1" x14ac:dyDescent="0.3">
      <c r="B187" s="59"/>
      <c r="C187" s="78" t="s">
        <v>376</v>
      </c>
      <c r="D187" s="74" t="s">
        <v>2</v>
      </c>
      <c r="E187" s="75" t="e">
        <f t="shared" si="27"/>
        <v>#REF!</v>
      </c>
      <c r="F187" s="63">
        <f>'Прайс для расчета'!E171</f>
        <v>1559.586</v>
      </c>
      <c r="G187" s="64" t="e">
        <f t="shared" si="26"/>
        <v>#REF!</v>
      </c>
      <c r="I187" s="135">
        <f>'Прайс для расчета (М)'!E171</f>
        <v>779.79300000000001</v>
      </c>
      <c r="J187" s="36" t="e">
        <f t="shared" si="24"/>
        <v>#REF!</v>
      </c>
    </row>
    <row r="188" spans="2:10" ht="15.6" hidden="1" x14ac:dyDescent="0.3">
      <c r="B188" s="59"/>
      <c r="C188" s="78" t="s">
        <v>377</v>
      </c>
      <c r="D188" s="74" t="s">
        <v>2</v>
      </c>
      <c r="E188" s="75" t="e">
        <f t="shared" si="27"/>
        <v>#REF!</v>
      </c>
      <c r="F188" s="63">
        <f>'Прайс для расчета'!E172</f>
        <v>1616.2440000000001</v>
      </c>
      <c r="G188" s="64" t="e">
        <f t="shared" si="26"/>
        <v>#REF!</v>
      </c>
      <c r="I188" s="135">
        <f>'Прайс для расчета (М)'!E172</f>
        <v>808.12200000000007</v>
      </c>
      <c r="J188" s="36" t="e">
        <f t="shared" si="24"/>
        <v>#REF!</v>
      </c>
    </row>
    <row r="189" spans="2:10" ht="15.6" hidden="1" x14ac:dyDescent="0.3">
      <c r="B189" s="59"/>
      <c r="C189" s="78" t="s">
        <v>378</v>
      </c>
      <c r="D189" s="74" t="s">
        <v>2</v>
      </c>
      <c r="E189" s="75" t="e">
        <f t="shared" si="27"/>
        <v>#REF!</v>
      </c>
      <c r="F189" s="63">
        <f>'Прайс для расчета'!E173</f>
        <v>1131.6690000000001</v>
      </c>
      <c r="G189" s="64" t="e">
        <f t="shared" si="26"/>
        <v>#REF!</v>
      </c>
      <c r="I189" s="135">
        <f>'Прайс для расчета (М)'!E173</f>
        <v>565.83450000000005</v>
      </c>
      <c r="J189" s="36" t="e">
        <f t="shared" si="24"/>
        <v>#REF!</v>
      </c>
    </row>
    <row r="190" spans="2:10" ht="15.6" hidden="1" x14ac:dyDescent="0.3">
      <c r="B190" s="59"/>
      <c r="C190" s="78" t="s">
        <v>379</v>
      </c>
      <c r="D190" s="74" t="s">
        <v>2</v>
      </c>
      <c r="E190" s="75" t="e">
        <f t="shared" si="27"/>
        <v>#REF!</v>
      </c>
      <c r="F190" s="63">
        <f>'Прайс для расчета'!E174</f>
        <v>1191.309</v>
      </c>
      <c r="G190" s="64" t="e">
        <f t="shared" si="26"/>
        <v>#REF!</v>
      </c>
      <c r="I190" s="135">
        <f>'Прайс для расчета (М)'!E174</f>
        <v>595.65449999999998</v>
      </c>
      <c r="J190" s="36" t="e">
        <f t="shared" si="24"/>
        <v>#REF!</v>
      </c>
    </row>
    <row r="191" spans="2:10" ht="15.6" hidden="1" x14ac:dyDescent="0.3">
      <c r="B191" s="59"/>
      <c r="C191" s="78" t="s">
        <v>380</v>
      </c>
      <c r="D191" s="74" t="s">
        <v>2</v>
      </c>
      <c r="E191" s="75" t="e">
        <f t="shared" si="27"/>
        <v>#REF!</v>
      </c>
      <c r="F191" s="63">
        <f>'Прайс для расчета'!E175</f>
        <v>1265.8589999999999</v>
      </c>
      <c r="G191" s="64" t="e">
        <f t="shared" si="26"/>
        <v>#REF!</v>
      </c>
      <c r="I191" s="135">
        <f>'Прайс для расчета (М)'!E175</f>
        <v>632.92949999999996</v>
      </c>
      <c r="J191" s="36" t="e">
        <f t="shared" si="24"/>
        <v>#REF!</v>
      </c>
    </row>
    <row r="192" spans="2:10" ht="15.6" hidden="1" x14ac:dyDescent="0.3">
      <c r="B192" s="59"/>
      <c r="C192" s="78" t="s">
        <v>1044</v>
      </c>
      <c r="D192" s="74" t="s">
        <v>0</v>
      </c>
      <c r="E192" s="75">
        <v>1</v>
      </c>
      <c r="F192" s="63">
        <f>'Прайс для расчета'!E176</f>
        <v>1417.5</v>
      </c>
      <c r="G192" s="64">
        <f t="shared" si="26"/>
        <v>1417.5</v>
      </c>
      <c r="I192" s="135">
        <f>'Прайс для расчета (М)'!E176</f>
        <v>708.75</v>
      </c>
      <c r="J192" s="36">
        <f t="shared" si="24"/>
        <v>708.75</v>
      </c>
    </row>
    <row r="193" spans="2:10" ht="15.6" hidden="1" x14ac:dyDescent="0.3">
      <c r="B193" s="59"/>
      <c r="C193" s="78" t="s">
        <v>1047</v>
      </c>
      <c r="D193" s="74" t="s">
        <v>0</v>
      </c>
      <c r="E193" s="75">
        <v>1</v>
      </c>
      <c r="F193" s="63">
        <f>'Прайс для расчета'!E177</f>
        <v>1837.5</v>
      </c>
      <c r="G193" s="64">
        <f t="shared" si="26"/>
        <v>1837.5</v>
      </c>
      <c r="I193" s="135">
        <f>'Прайс для расчета (М)'!E177</f>
        <v>918.75</v>
      </c>
      <c r="J193" s="36">
        <f t="shared" si="24"/>
        <v>918.75</v>
      </c>
    </row>
    <row r="194" spans="2:10" ht="15.6" hidden="1" x14ac:dyDescent="0.3">
      <c r="B194" s="59"/>
      <c r="C194" s="78" t="s">
        <v>381</v>
      </c>
      <c r="D194" s="74" t="s">
        <v>3</v>
      </c>
      <c r="E194" s="75">
        <v>1</v>
      </c>
      <c r="F194" s="63">
        <f>'Прайс для расчета'!E178</f>
        <v>183.75</v>
      </c>
      <c r="G194" s="64">
        <f t="shared" si="26"/>
        <v>183.75</v>
      </c>
      <c r="I194" s="135">
        <f>'Прайс для расчета (М)'!E178</f>
        <v>91.875</v>
      </c>
      <c r="J194" s="36">
        <f t="shared" si="24"/>
        <v>91.875</v>
      </c>
    </row>
    <row r="195" spans="2:10" ht="15.6" hidden="1" x14ac:dyDescent="0.3">
      <c r="B195" s="59"/>
      <c r="C195" s="78" t="s">
        <v>382</v>
      </c>
      <c r="D195" s="74" t="s">
        <v>3</v>
      </c>
      <c r="E195" s="75">
        <v>1</v>
      </c>
      <c r="F195" s="63">
        <f>'Прайс для расчета'!E179</f>
        <v>367.5</v>
      </c>
      <c r="G195" s="64">
        <f t="shared" si="26"/>
        <v>367.5</v>
      </c>
      <c r="I195" s="135">
        <f>'Прайс для расчета (М)'!E179</f>
        <v>183.75</v>
      </c>
      <c r="J195" s="36">
        <f t="shared" si="24"/>
        <v>183.75</v>
      </c>
    </row>
    <row r="196" spans="2:10" ht="15.6" hidden="1" x14ac:dyDescent="0.3">
      <c r="B196" s="59"/>
      <c r="C196" s="78" t="s">
        <v>508</v>
      </c>
      <c r="D196" s="74" t="s">
        <v>2</v>
      </c>
      <c r="E196" s="75" t="e">
        <f t="shared" ref="E196:E201" si="28">$A$6</f>
        <v>#REF!</v>
      </c>
      <c r="F196" s="63">
        <f>'Прайс для расчета'!E180</f>
        <v>481.95000000000005</v>
      </c>
      <c r="G196" s="64" t="e">
        <f t="shared" si="26"/>
        <v>#REF!</v>
      </c>
      <c r="I196" s="135">
        <f>'Прайс для расчета (М)'!E180</f>
        <v>240.97500000000002</v>
      </c>
      <c r="J196" s="36" t="e">
        <f t="shared" si="24"/>
        <v>#REF!</v>
      </c>
    </row>
    <row r="197" spans="2:10" ht="15.6" hidden="1" x14ac:dyDescent="0.3">
      <c r="B197" s="59"/>
      <c r="C197" s="78" t="s">
        <v>383</v>
      </c>
      <c r="D197" s="74" t="s">
        <v>2</v>
      </c>
      <c r="E197" s="75" t="e">
        <f t="shared" si="28"/>
        <v>#REF!</v>
      </c>
      <c r="F197" s="63">
        <f>'Прайс для расчета'!E181</f>
        <v>1506.75</v>
      </c>
      <c r="G197" s="64" t="e">
        <f t="shared" si="26"/>
        <v>#REF!</v>
      </c>
      <c r="I197" s="135">
        <f>'Прайс для расчета (М)'!E181</f>
        <v>753.375</v>
      </c>
      <c r="J197" s="36" t="e">
        <f t="shared" si="24"/>
        <v>#REF!</v>
      </c>
    </row>
    <row r="198" spans="2:10" ht="15.6" hidden="1" x14ac:dyDescent="0.3">
      <c r="B198" s="59"/>
      <c r="C198" s="78" t="s">
        <v>384</v>
      </c>
      <c r="D198" s="74" t="s">
        <v>2</v>
      </c>
      <c r="E198" s="75" t="e">
        <f t="shared" si="28"/>
        <v>#REF!</v>
      </c>
      <c r="F198" s="63">
        <f>'Прайс для расчета'!E182</f>
        <v>1821.75</v>
      </c>
      <c r="G198" s="64" t="e">
        <f t="shared" si="26"/>
        <v>#REF!</v>
      </c>
      <c r="I198" s="135">
        <f>'Прайс для расчета (М)'!E182</f>
        <v>910.875</v>
      </c>
      <c r="J198" s="36" t="e">
        <f t="shared" si="24"/>
        <v>#REF!</v>
      </c>
    </row>
    <row r="199" spans="2:10" ht="15.6" hidden="1" x14ac:dyDescent="0.3">
      <c r="B199" s="59"/>
      <c r="C199" s="78" t="s">
        <v>385</v>
      </c>
      <c r="D199" s="74" t="s">
        <v>2</v>
      </c>
      <c r="E199" s="75" t="e">
        <f t="shared" si="28"/>
        <v>#REF!</v>
      </c>
      <c r="F199" s="63">
        <f>'Прайс для расчета'!E183</f>
        <v>1149.75</v>
      </c>
      <c r="G199" s="64" t="e">
        <f t="shared" si="26"/>
        <v>#REF!</v>
      </c>
      <c r="I199" s="135">
        <f>'Прайс для расчета (М)'!E183</f>
        <v>574.875</v>
      </c>
      <c r="J199" s="36" t="e">
        <f t="shared" si="24"/>
        <v>#REF!</v>
      </c>
    </row>
    <row r="200" spans="2:10" ht="15.6" hidden="1" x14ac:dyDescent="0.3">
      <c r="B200" s="59"/>
      <c r="C200" s="78" t="s">
        <v>509</v>
      </c>
      <c r="D200" s="74" t="s">
        <v>2</v>
      </c>
      <c r="E200" s="75" t="e">
        <f t="shared" si="28"/>
        <v>#REF!</v>
      </c>
      <c r="F200" s="63">
        <f>'Прайс для расчета'!E184</f>
        <v>1527.75</v>
      </c>
      <c r="G200" s="64" t="e">
        <f t="shared" si="26"/>
        <v>#REF!</v>
      </c>
      <c r="I200" s="135">
        <f>'Прайс для расчета (М)'!E184</f>
        <v>763.875</v>
      </c>
      <c r="J200" s="36" t="e">
        <f t="shared" si="24"/>
        <v>#REF!</v>
      </c>
    </row>
    <row r="201" spans="2:10" ht="15.6" hidden="1" x14ac:dyDescent="0.3">
      <c r="B201" s="59"/>
      <c r="C201" s="78" t="s">
        <v>510</v>
      </c>
      <c r="D201" s="74" t="s">
        <v>2</v>
      </c>
      <c r="E201" s="75" t="e">
        <f t="shared" si="28"/>
        <v>#REF!</v>
      </c>
      <c r="F201" s="63">
        <f>'Прайс для расчета'!E185</f>
        <v>1737.75</v>
      </c>
      <c r="G201" s="64" t="e">
        <f t="shared" si="26"/>
        <v>#REF!</v>
      </c>
      <c r="I201" s="135">
        <f>'Прайс для расчета (М)'!E185</f>
        <v>868.875</v>
      </c>
      <c r="J201" s="36" t="e">
        <f t="shared" si="24"/>
        <v>#REF!</v>
      </c>
    </row>
    <row r="202" spans="2:10" ht="15.6" hidden="1" x14ac:dyDescent="0.3">
      <c r="B202" s="59"/>
      <c r="C202" s="78" t="s">
        <v>43</v>
      </c>
      <c r="D202" s="74" t="s">
        <v>3</v>
      </c>
      <c r="E202" s="75" t="e">
        <f>ROUND($A$6*1.25,0)</f>
        <v>#REF!</v>
      </c>
      <c r="F202" s="63">
        <f>'Прайс для расчета'!E186</f>
        <v>194.25</v>
      </c>
      <c r="G202" s="64" t="e">
        <f t="shared" si="26"/>
        <v>#REF!</v>
      </c>
      <c r="I202" s="135">
        <f>'Прайс для расчета (М)'!E186</f>
        <v>97.125</v>
      </c>
      <c r="J202" s="36" t="e">
        <f t="shared" si="24"/>
        <v>#REF!</v>
      </c>
    </row>
    <row r="203" spans="2:10" ht="15.6" hidden="1" x14ac:dyDescent="0.3">
      <c r="B203" s="59"/>
      <c r="C203" s="78" t="s">
        <v>386</v>
      </c>
      <c r="D203" s="74" t="s">
        <v>646</v>
      </c>
      <c r="E203" s="75">
        <v>1</v>
      </c>
      <c r="F203" s="63">
        <f>'Прайс для расчета'!E187</f>
        <v>2089.5</v>
      </c>
      <c r="G203" s="64">
        <f t="shared" si="26"/>
        <v>2089.5</v>
      </c>
      <c r="I203" s="135">
        <f>'Прайс для расчета (М)'!E187</f>
        <v>1044.75</v>
      </c>
      <c r="J203" s="36">
        <f t="shared" si="24"/>
        <v>1044.75</v>
      </c>
    </row>
    <row r="204" spans="2:10" ht="15.6" hidden="1" x14ac:dyDescent="0.3">
      <c r="B204" s="59"/>
      <c r="C204" s="78" t="s">
        <v>387</v>
      </c>
      <c r="D204" s="74" t="s">
        <v>2</v>
      </c>
      <c r="E204" s="75">
        <v>1</v>
      </c>
      <c r="F204" s="63">
        <f>'Прайс для расчета'!E188</f>
        <v>3097.5</v>
      </c>
      <c r="G204" s="64">
        <f t="shared" si="26"/>
        <v>3097.5</v>
      </c>
      <c r="I204" s="135">
        <f>'Прайс для расчета (М)'!E188</f>
        <v>1548.75</v>
      </c>
      <c r="J204" s="36">
        <f t="shared" si="24"/>
        <v>1548.75</v>
      </c>
    </row>
    <row r="205" spans="2:10" ht="15.6" hidden="1" x14ac:dyDescent="0.3">
      <c r="B205" s="59"/>
      <c r="C205" s="78" t="s">
        <v>388</v>
      </c>
      <c r="D205" s="74" t="s">
        <v>0</v>
      </c>
      <c r="E205" s="75">
        <v>1</v>
      </c>
      <c r="F205" s="63">
        <f>'Прайс для расчета'!E189</f>
        <v>2992.5</v>
      </c>
      <c r="G205" s="64">
        <f t="shared" si="26"/>
        <v>2992.5</v>
      </c>
      <c r="I205" s="135">
        <f>'Прайс для расчета (М)'!E189</f>
        <v>1496.25</v>
      </c>
      <c r="J205" s="36">
        <f t="shared" si="24"/>
        <v>1496.25</v>
      </c>
    </row>
    <row r="206" spans="2:10" ht="15.6" hidden="1" x14ac:dyDescent="0.3">
      <c r="B206" s="59"/>
      <c r="C206" s="78" t="s">
        <v>230</v>
      </c>
      <c r="D206" s="74" t="s">
        <v>2</v>
      </c>
      <c r="E206" s="75" t="e">
        <f>$A$6</f>
        <v>#REF!</v>
      </c>
      <c r="F206" s="63">
        <f>'Прайс для расчета'!E190</f>
        <v>404.06100000000004</v>
      </c>
      <c r="G206" s="64" t="e">
        <f t="shared" si="26"/>
        <v>#REF!</v>
      </c>
      <c r="I206" s="135">
        <f>'Прайс для расчета (М)'!E190</f>
        <v>202.03050000000002</v>
      </c>
      <c r="J206" s="36" t="e">
        <f t="shared" si="24"/>
        <v>#REF!</v>
      </c>
    </row>
    <row r="207" spans="2:10" ht="15.6" hidden="1" x14ac:dyDescent="0.3">
      <c r="B207" s="59"/>
      <c r="C207" s="78" t="s">
        <v>225</v>
      </c>
      <c r="D207" s="74" t="s">
        <v>2</v>
      </c>
      <c r="E207" s="75" t="e">
        <f>$A$6</f>
        <v>#REF!</v>
      </c>
      <c r="F207" s="63">
        <f>'Прайс для расчета'!E191</f>
        <v>282.45</v>
      </c>
      <c r="G207" s="64" t="e">
        <f t="shared" si="26"/>
        <v>#REF!</v>
      </c>
      <c r="I207" s="135">
        <f>'Прайс для расчета (М)'!E191</f>
        <v>141.22499999999999</v>
      </c>
      <c r="J207" s="36" t="e">
        <f t="shared" si="24"/>
        <v>#REF!</v>
      </c>
    </row>
    <row r="208" spans="2:10" ht="15.6" hidden="1" x14ac:dyDescent="0.3">
      <c r="B208" s="59"/>
      <c r="C208" s="78" t="s">
        <v>1026</v>
      </c>
      <c r="D208" s="74" t="s">
        <v>2</v>
      </c>
      <c r="E208" s="75" t="e">
        <f>$A$6</f>
        <v>#REF!</v>
      </c>
      <c r="F208" s="63">
        <f>'Прайс для расчета'!E192</f>
        <v>614.25</v>
      </c>
      <c r="G208" s="64" t="e">
        <f t="shared" si="26"/>
        <v>#REF!</v>
      </c>
      <c r="I208" s="135">
        <f>'Прайс для расчета (М)'!E192</f>
        <v>307.125</v>
      </c>
      <c r="J208" s="36" t="e">
        <f t="shared" si="24"/>
        <v>#REF!</v>
      </c>
    </row>
    <row r="209" spans="2:10" ht="15.6" hidden="1" x14ac:dyDescent="0.25">
      <c r="B209" s="59">
        <f>IF(SUM(B210:B218)&gt;0,1,0)</f>
        <v>0</v>
      </c>
      <c r="C209" s="67" t="s">
        <v>884</v>
      </c>
      <c r="D209" s="61"/>
      <c r="E209" s="62"/>
      <c r="F209" s="63"/>
      <c r="G209" s="64"/>
    </row>
    <row r="210" spans="2:10" ht="15.6" hidden="1" x14ac:dyDescent="0.25">
      <c r="B210" s="59"/>
      <c r="C210" s="65" t="s">
        <v>389</v>
      </c>
      <c r="D210" s="61" t="s">
        <v>3</v>
      </c>
      <c r="E210" s="62">
        <v>1</v>
      </c>
      <c r="F210" s="63">
        <f>'Прайс для расчета'!E193</f>
        <v>84</v>
      </c>
      <c r="G210" s="64">
        <f t="shared" ref="G210:G218" si="29">F210*E210</f>
        <v>84</v>
      </c>
      <c r="I210" s="135">
        <f>'Прайс для расчета (М)'!E193</f>
        <v>42</v>
      </c>
      <c r="J210" s="36">
        <f t="shared" ref="J210:J218" si="30">I210*E210</f>
        <v>42</v>
      </c>
    </row>
    <row r="211" spans="2:10" ht="15.6" hidden="1" x14ac:dyDescent="0.25">
      <c r="B211" s="59"/>
      <c r="C211" s="65" t="s">
        <v>390</v>
      </c>
      <c r="D211" s="61" t="s">
        <v>3</v>
      </c>
      <c r="E211" s="62">
        <f>E210</f>
        <v>1</v>
      </c>
      <c r="F211" s="63">
        <f>'Прайс для расчета'!E194</f>
        <v>787.5</v>
      </c>
      <c r="G211" s="64">
        <f t="shared" si="29"/>
        <v>787.5</v>
      </c>
      <c r="I211" s="135">
        <f>'Прайс для расчета (М)'!E194</f>
        <v>393.75</v>
      </c>
      <c r="J211" s="36">
        <f t="shared" si="30"/>
        <v>393.75</v>
      </c>
    </row>
    <row r="212" spans="2:10" ht="15.6" hidden="1" x14ac:dyDescent="0.25">
      <c r="B212" s="59"/>
      <c r="C212" s="65" t="s">
        <v>391</v>
      </c>
      <c r="D212" s="61" t="s">
        <v>3</v>
      </c>
      <c r="E212" s="62">
        <f>E210</f>
        <v>1</v>
      </c>
      <c r="F212" s="63">
        <f>'Прайс для расчета'!E195</f>
        <v>892.5</v>
      </c>
      <c r="G212" s="64">
        <f t="shared" si="29"/>
        <v>892.5</v>
      </c>
      <c r="I212" s="135">
        <f>'Прайс для расчета (М)'!E195</f>
        <v>446.25</v>
      </c>
      <c r="J212" s="36">
        <f t="shared" si="30"/>
        <v>446.25</v>
      </c>
    </row>
    <row r="213" spans="2:10" ht="15.6" hidden="1" x14ac:dyDescent="0.25">
      <c r="B213" s="59"/>
      <c r="C213" s="65" t="s">
        <v>392</v>
      </c>
      <c r="D213" s="61" t="s">
        <v>3</v>
      </c>
      <c r="E213" s="62">
        <f>E210</f>
        <v>1</v>
      </c>
      <c r="F213" s="63">
        <f>'Прайс для расчета'!E196</f>
        <v>997.5</v>
      </c>
      <c r="G213" s="64">
        <f t="shared" si="29"/>
        <v>997.5</v>
      </c>
      <c r="I213" s="135">
        <f>'Прайс для расчета (М)'!E196</f>
        <v>498.75</v>
      </c>
      <c r="J213" s="36">
        <f t="shared" si="30"/>
        <v>498.75</v>
      </c>
    </row>
    <row r="214" spans="2:10" ht="15.6" hidden="1" x14ac:dyDescent="0.25">
      <c r="B214" s="59"/>
      <c r="C214" s="65" t="s">
        <v>393</v>
      </c>
      <c r="D214" s="61" t="s">
        <v>3</v>
      </c>
      <c r="E214" s="62">
        <f>E210</f>
        <v>1</v>
      </c>
      <c r="F214" s="63">
        <f>'Прайс для расчета'!E197</f>
        <v>787.5</v>
      </c>
      <c r="G214" s="64">
        <f t="shared" si="29"/>
        <v>787.5</v>
      </c>
      <c r="I214" s="135">
        <f>'Прайс для расчета (М)'!E197</f>
        <v>393.75</v>
      </c>
      <c r="J214" s="36">
        <f t="shared" si="30"/>
        <v>393.75</v>
      </c>
    </row>
    <row r="215" spans="2:10" ht="15.6" hidden="1" x14ac:dyDescent="0.25">
      <c r="B215" s="59"/>
      <c r="C215" s="65" t="s">
        <v>52</v>
      </c>
      <c r="D215" s="61" t="s">
        <v>3</v>
      </c>
      <c r="E215" s="62">
        <f>E210</f>
        <v>1</v>
      </c>
      <c r="F215" s="63">
        <f>'Прайс для расчета'!E198</f>
        <v>204.75</v>
      </c>
      <c r="G215" s="64">
        <f t="shared" si="29"/>
        <v>204.75</v>
      </c>
      <c r="I215" s="135">
        <f>'Прайс для расчета (М)'!E198</f>
        <v>102.375</v>
      </c>
      <c r="J215" s="36">
        <f t="shared" si="30"/>
        <v>102.375</v>
      </c>
    </row>
    <row r="216" spans="2:10" ht="15.6" hidden="1" x14ac:dyDescent="0.25">
      <c r="B216" s="59"/>
      <c r="C216" s="65" t="s">
        <v>53</v>
      </c>
      <c r="D216" s="61" t="s">
        <v>3</v>
      </c>
      <c r="E216" s="62">
        <f>E210</f>
        <v>1</v>
      </c>
      <c r="F216" s="63">
        <f>'Прайс для расчета'!E199</f>
        <v>194.25</v>
      </c>
      <c r="G216" s="64">
        <f t="shared" si="29"/>
        <v>194.25</v>
      </c>
      <c r="I216" s="135">
        <f>'Прайс для расчета (М)'!E199</f>
        <v>97.125</v>
      </c>
      <c r="J216" s="36">
        <f t="shared" si="30"/>
        <v>97.125</v>
      </c>
    </row>
    <row r="217" spans="2:10" ht="15.6" hidden="1" x14ac:dyDescent="0.25">
      <c r="B217" s="59"/>
      <c r="C217" s="65" t="s">
        <v>394</v>
      </c>
      <c r="D217" s="61" t="s">
        <v>3</v>
      </c>
      <c r="E217" s="62">
        <f>E210</f>
        <v>1</v>
      </c>
      <c r="F217" s="63">
        <f>'Прайс для расчета'!E200</f>
        <v>866.25</v>
      </c>
      <c r="G217" s="64">
        <f t="shared" si="29"/>
        <v>866.25</v>
      </c>
      <c r="I217" s="135">
        <f>'Прайс для расчета (М)'!E200</f>
        <v>433.125</v>
      </c>
      <c r="J217" s="36">
        <f t="shared" si="30"/>
        <v>433.125</v>
      </c>
    </row>
    <row r="218" spans="2:10" ht="15.6" hidden="1" x14ac:dyDescent="0.25">
      <c r="B218" s="59"/>
      <c r="C218" s="65" t="s">
        <v>395</v>
      </c>
      <c r="D218" s="61" t="s">
        <v>3</v>
      </c>
      <c r="E218" s="62">
        <f>E210</f>
        <v>1</v>
      </c>
      <c r="F218" s="63">
        <f>'Прайс для расчета'!E201</f>
        <v>262.5</v>
      </c>
      <c r="G218" s="64">
        <f t="shared" si="29"/>
        <v>262.5</v>
      </c>
      <c r="I218" s="135">
        <f>'Прайс для расчета (М)'!E201</f>
        <v>131.25</v>
      </c>
      <c r="J218" s="36">
        <f t="shared" si="30"/>
        <v>131.25</v>
      </c>
    </row>
    <row r="219" spans="2:10" ht="15.6" hidden="1" x14ac:dyDescent="0.25">
      <c r="B219" s="59">
        <f>IF(SUM(B220:B247)&gt;0,1,0)</f>
        <v>0</v>
      </c>
      <c r="C219" s="67" t="s">
        <v>879</v>
      </c>
      <c r="D219" s="61"/>
      <c r="E219" s="62"/>
      <c r="F219" s="63"/>
      <c r="G219" s="64"/>
    </row>
    <row r="220" spans="2:10" ht="15.6" hidden="1" x14ac:dyDescent="0.25">
      <c r="B220" s="59"/>
      <c r="C220" s="65" t="s">
        <v>1022</v>
      </c>
      <c r="D220" s="61" t="s">
        <v>2</v>
      </c>
      <c r="E220" s="62">
        <f t="shared" ref="E220:E226" si="31">$A$4</f>
        <v>2.46</v>
      </c>
      <c r="F220" s="63">
        <f>'Прайс для расчета'!E202</f>
        <v>135.45000000000002</v>
      </c>
      <c r="G220" s="64">
        <f t="shared" ref="G220:G247" si="32">F220*E220</f>
        <v>333.20700000000005</v>
      </c>
      <c r="I220" s="135">
        <f>'Прайс для расчета (М)'!E202</f>
        <v>67.725000000000009</v>
      </c>
      <c r="J220" s="36">
        <f t="shared" ref="J220:J247" si="33">I220*E220</f>
        <v>166.60350000000003</v>
      </c>
    </row>
    <row r="221" spans="2:10" ht="15.6" hidden="1" x14ac:dyDescent="0.25">
      <c r="B221" s="59"/>
      <c r="C221" s="65" t="s">
        <v>1105</v>
      </c>
      <c r="D221" s="61" t="s">
        <v>3</v>
      </c>
      <c r="E221" s="62">
        <f t="shared" si="31"/>
        <v>2.46</v>
      </c>
      <c r="F221" s="63">
        <f>'Прайс для расчета'!E203</f>
        <v>210</v>
      </c>
      <c r="G221" s="64">
        <f t="shared" si="32"/>
        <v>516.6</v>
      </c>
      <c r="I221" s="135">
        <f>'Прайс для расчета (М)'!E203</f>
        <v>105</v>
      </c>
      <c r="J221" s="36">
        <f t="shared" si="33"/>
        <v>258.3</v>
      </c>
    </row>
    <row r="222" spans="2:10" ht="15.6" hidden="1" x14ac:dyDescent="0.25">
      <c r="B222" s="59"/>
      <c r="C222" s="65" t="s">
        <v>1032</v>
      </c>
      <c r="D222" s="61" t="s">
        <v>2</v>
      </c>
      <c r="E222" s="62">
        <f t="shared" si="31"/>
        <v>2.46</v>
      </c>
      <c r="F222" s="63">
        <f>'Прайс для расчета'!E204</f>
        <v>892.5</v>
      </c>
      <c r="G222" s="64">
        <f t="shared" si="32"/>
        <v>2195.5500000000002</v>
      </c>
      <c r="I222" s="135">
        <f>'Прайс для расчета (М)'!E204</f>
        <v>446.25</v>
      </c>
      <c r="J222" s="36">
        <f t="shared" si="33"/>
        <v>1097.7750000000001</v>
      </c>
    </row>
    <row r="223" spans="2:10" ht="15.6" hidden="1" x14ac:dyDescent="0.25">
      <c r="B223" s="59"/>
      <c r="C223" s="65" t="s">
        <v>1030</v>
      </c>
      <c r="D223" s="61" t="s">
        <v>2</v>
      </c>
      <c r="E223" s="62">
        <f t="shared" si="31"/>
        <v>2.46</v>
      </c>
      <c r="F223" s="63">
        <f>'Прайс для расчета'!E205</f>
        <v>1102.5</v>
      </c>
      <c r="G223" s="64">
        <f t="shared" si="32"/>
        <v>2712.15</v>
      </c>
      <c r="I223" s="135">
        <f>'Прайс для расчета (М)'!E205</f>
        <v>551.25</v>
      </c>
      <c r="J223" s="36">
        <f t="shared" si="33"/>
        <v>1356.075</v>
      </c>
    </row>
    <row r="224" spans="2:10" ht="15.6" hidden="1" x14ac:dyDescent="0.25">
      <c r="B224" s="59"/>
      <c r="C224" s="65" t="s">
        <v>1031</v>
      </c>
      <c r="D224" s="61" t="s">
        <v>2</v>
      </c>
      <c r="E224" s="62">
        <f t="shared" si="31"/>
        <v>2.46</v>
      </c>
      <c r="F224" s="63">
        <f>'Прайс для расчета'!E206</f>
        <v>892.5</v>
      </c>
      <c r="G224" s="64">
        <f t="shared" si="32"/>
        <v>2195.5500000000002</v>
      </c>
      <c r="I224" s="135">
        <f>'Прайс для расчета (М)'!E206</f>
        <v>446.25</v>
      </c>
      <c r="J224" s="36">
        <f t="shared" si="33"/>
        <v>1097.7750000000001</v>
      </c>
    </row>
    <row r="225" spans="2:10" ht="15.6" hidden="1" x14ac:dyDescent="0.25">
      <c r="B225" s="59"/>
      <c r="C225" s="65" t="s">
        <v>1106</v>
      </c>
      <c r="D225" s="61" t="s">
        <v>3</v>
      </c>
      <c r="E225" s="62">
        <f t="shared" si="31"/>
        <v>2.46</v>
      </c>
      <c r="F225" s="63">
        <f>'Прайс для расчета'!E207</f>
        <v>210</v>
      </c>
      <c r="G225" s="64">
        <f t="shared" si="32"/>
        <v>516.6</v>
      </c>
      <c r="I225" s="135">
        <f>'Прайс для расчета (М)'!E207</f>
        <v>105</v>
      </c>
      <c r="J225" s="36">
        <f t="shared" si="33"/>
        <v>258.3</v>
      </c>
    </row>
    <row r="226" spans="2:10" ht="15.6" hidden="1" x14ac:dyDescent="0.25">
      <c r="B226" s="59"/>
      <c r="C226" s="202" t="s">
        <v>1009</v>
      </c>
      <c r="D226" s="61" t="s">
        <v>2</v>
      </c>
      <c r="E226" s="62">
        <f t="shared" si="31"/>
        <v>2.46</v>
      </c>
      <c r="F226" s="63">
        <f>'Прайс для расчета'!E208</f>
        <v>3097.5</v>
      </c>
      <c r="G226" s="64">
        <f t="shared" si="32"/>
        <v>7619.8499999999995</v>
      </c>
      <c r="I226" s="135">
        <f>'Прайс для расчета (М)'!E208</f>
        <v>1548.75</v>
      </c>
      <c r="J226" s="36">
        <f t="shared" si="33"/>
        <v>3809.9249999999997</v>
      </c>
    </row>
    <row r="227" spans="2:10" ht="15.6" hidden="1" x14ac:dyDescent="0.25">
      <c r="B227" s="59"/>
      <c r="C227" s="65" t="s">
        <v>400</v>
      </c>
      <c r="D227" s="61" t="s">
        <v>3</v>
      </c>
      <c r="E227" s="62">
        <f>E79</f>
        <v>1</v>
      </c>
      <c r="F227" s="63">
        <f>'Прайс для расчета'!E209</f>
        <v>240.05099999999999</v>
      </c>
      <c r="G227" s="64">
        <f t="shared" si="32"/>
        <v>240.05099999999999</v>
      </c>
      <c r="I227" s="135">
        <f>'Прайс для расчета (М)'!E209</f>
        <v>120.02549999999999</v>
      </c>
      <c r="J227" s="36">
        <f t="shared" si="33"/>
        <v>120.02549999999999</v>
      </c>
    </row>
    <row r="228" spans="2:10" ht="15.6" hidden="1" x14ac:dyDescent="0.25">
      <c r="B228" s="59"/>
      <c r="C228" s="65" t="s">
        <v>401</v>
      </c>
      <c r="D228" s="61" t="s">
        <v>3</v>
      </c>
      <c r="E228" s="62">
        <f>ROUND($A$4*1.25,0)</f>
        <v>3</v>
      </c>
      <c r="F228" s="63">
        <f>'Прайс для расчета'!E210</f>
        <v>164.01</v>
      </c>
      <c r="G228" s="64">
        <f t="shared" si="32"/>
        <v>492.03</v>
      </c>
      <c r="I228" s="135">
        <f>'Прайс для расчета (М)'!E210</f>
        <v>82.004999999999995</v>
      </c>
      <c r="J228" s="36">
        <f t="shared" si="33"/>
        <v>246.01499999999999</v>
      </c>
    </row>
    <row r="229" spans="2:10" ht="15.6" hidden="1" x14ac:dyDescent="0.25">
      <c r="B229" s="59"/>
      <c r="C229" s="65" t="s">
        <v>675</v>
      </c>
      <c r="D229" s="61" t="s">
        <v>2</v>
      </c>
      <c r="E229" s="62">
        <f t="shared" ref="E229:E238" si="34">$A$4</f>
        <v>2.46</v>
      </c>
      <c r="F229" s="63">
        <f>'Прайс для расчета'!E211</f>
        <v>477.12</v>
      </c>
      <c r="G229" s="64">
        <f t="shared" si="32"/>
        <v>1173.7152000000001</v>
      </c>
      <c r="I229" s="135">
        <f>'Прайс для расчета (М)'!E211</f>
        <v>238.56</v>
      </c>
      <c r="J229" s="36">
        <f t="shared" si="33"/>
        <v>586.85760000000005</v>
      </c>
    </row>
    <row r="230" spans="2:10" ht="15.6" hidden="1" x14ac:dyDescent="0.25">
      <c r="B230" s="59"/>
      <c r="C230" s="65" t="s">
        <v>1023</v>
      </c>
      <c r="D230" s="61" t="s">
        <v>2</v>
      </c>
      <c r="E230" s="62">
        <f t="shared" si="34"/>
        <v>2.46</v>
      </c>
      <c r="F230" s="63">
        <f>'Прайс для расчета'!E212</f>
        <v>124.95</v>
      </c>
      <c r="G230" s="64">
        <f t="shared" si="32"/>
        <v>307.37700000000001</v>
      </c>
      <c r="I230" s="135">
        <f>'Прайс для расчета (М)'!E212</f>
        <v>62.475000000000001</v>
      </c>
      <c r="J230" s="36">
        <f t="shared" si="33"/>
        <v>153.6885</v>
      </c>
    </row>
    <row r="231" spans="2:10" ht="15.6" hidden="1" x14ac:dyDescent="0.25">
      <c r="B231" s="59"/>
      <c r="C231" s="65" t="s">
        <v>1132</v>
      </c>
      <c r="D231" s="61" t="s">
        <v>2</v>
      </c>
      <c r="E231" s="62">
        <f t="shared" si="34"/>
        <v>2.46</v>
      </c>
      <c r="F231" s="63">
        <f>'Прайс для расчета'!E213</f>
        <v>199.5</v>
      </c>
      <c r="G231" s="64">
        <f t="shared" si="32"/>
        <v>490.77</v>
      </c>
      <c r="I231" s="135">
        <f>'Прайс для расчета (М)'!E213</f>
        <v>99.75</v>
      </c>
      <c r="J231" s="36">
        <f t="shared" si="33"/>
        <v>245.38499999999999</v>
      </c>
    </row>
    <row r="232" spans="2:10" ht="15.6" hidden="1" x14ac:dyDescent="0.25">
      <c r="B232" s="59"/>
      <c r="C232" s="65" t="s">
        <v>676</v>
      </c>
      <c r="D232" s="61" t="s">
        <v>2</v>
      </c>
      <c r="E232" s="62">
        <f t="shared" si="34"/>
        <v>2.46</v>
      </c>
      <c r="F232" s="63">
        <f>'Прайс для расчета'!E214</f>
        <v>299.25</v>
      </c>
      <c r="G232" s="64">
        <f t="shared" si="32"/>
        <v>736.15499999999997</v>
      </c>
      <c r="I232" s="135">
        <f>'Прайс для расчета (М)'!E214</f>
        <v>149.625</v>
      </c>
      <c r="J232" s="36">
        <f t="shared" si="33"/>
        <v>368.07749999999999</v>
      </c>
    </row>
    <row r="233" spans="2:10" ht="15.6" hidden="1" x14ac:dyDescent="0.25">
      <c r="B233" s="59"/>
      <c r="C233" s="65" t="s">
        <v>403</v>
      </c>
      <c r="D233" s="61" t="s">
        <v>647</v>
      </c>
      <c r="E233" s="62">
        <f t="shared" si="34"/>
        <v>2.46</v>
      </c>
      <c r="F233" s="63">
        <f>'Прайс для расчета'!E215</f>
        <v>236.25</v>
      </c>
      <c r="G233" s="64">
        <f t="shared" si="32"/>
        <v>581.17499999999995</v>
      </c>
      <c r="I233" s="135">
        <f>'Прайс для расчета (М)'!E215</f>
        <v>118.125</v>
      </c>
      <c r="J233" s="36">
        <f t="shared" si="33"/>
        <v>290.58749999999998</v>
      </c>
    </row>
    <row r="234" spans="2:10" ht="15.6" hidden="1" x14ac:dyDescent="0.25">
      <c r="B234" s="59"/>
      <c r="C234" s="65" t="s">
        <v>1035</v>
      </c>
      <c r="D234" s="61" t="s">
        <v>2</v>
      </c>
      <c r="E234" s="62">
        <f t="shared" si="34"/>
        <v>2.46</v>
      </c>
      <c r="F234" s="63">
        <f>'Прайс для расчета'!E216</f>
        <v>624.75</v>
      </c>
      <c r="G234" s="64">
        <f t="shared" si="32"/>
        <v>1536.885</v>
      </c>
      <c r="I234" s="135">
        <f>'Прайс для расчета (М)'!E216</f>
        <v>312.375</v>
      </c>
      <c r="J234" s="36">
        <f t="shared" si="33"/>
        <v>768.4425</v>
      </c>
    </row>
    <row r="235" spans="2:10" ht="15.6" hidden="1" x14ac:dyDescent="0.25">
      <c r="B235" s="59"/>
      <c r="C235" s="65" t="s">
        <v>1041</v>
      </c>
      <c r="D235" s="61" t="s">
        <v>2</v>
      </c>
      <c r="E235" s="62">
        <f t="shared" si="34"/>
        <v>2.46</v>
      </c>
      <c r="F235" s="63">
        <f>'Прайс для расчета'!E217</f>
        <v>787.5</v>
      </c>
      <c r="G235" s="64">
        <f t="shared" si="32"/>
        <v>1937.25</v>
      </c>
      <c r="I235" s="135">
        <f>'Прайс для расчета (М)'!E217</f>
        <v>393.75</v>
      </c>
      <c r="J235" s="36">
        <f t="shared" si="33"/>
        <v>968.625</v>
      </c>
    </row>
    <row r="236" spans="2:10" ht="15.6" hidden="1" x14ac:dyDescent="0.25">
      <c r="B236" s="59"/>
      <c r="C236" s="69" t="s">
        <v>1137</v>
      </c>
      <c r="D236" s="61" t="s">
        <v>2</v>
      </c>
      <c r="E236" s="62">
        <f t="shared" si="34"/>
        <v>2.46</v>
      </c>
      <c r="F236" s="63">
        <f>'Прайс для расчета'!E218</f>
        <v>1207.5</v>
      </c>
      <c r="G236" s="64">
        <f t="shared" si="32"/>
        <v>2970.45</v>
      </c>
      <c r="I236" s="135">
        <f>'Прайс для расчета (М)'!E218</f>
        <v>603.75</v>
      </c>
      <c r="J236" s="36">
        <f t="shared" si="33"/>
        <v>1485.2249999999999</v>
      </c>
    </row>
    <row r="237" spans="2:10" ht="15.6" hidden="1" x14ac:dyDescent="0.25">
      <c r="B237" s="59"/>
      <c r="C237" s="69" t="s">
        <v>1139</v>
      </c>
      <c r="D237" s="61" t="s">
        <v>2</v>
      </c>
      <c r="E237" s="62">
        <f t="shared" si="34"/>
        <v>2.46</v>
      </c>
      <c r="F237" s="63">
        <f>'Прайс для расчета'!E219</f>
        <v>262.5</v>
      </c>
      <c r="G237" s="64">
        <f t="shared" si="32"/>
        <v>645.75</v>
      </c>
      <c r="I237" s="135">
        <f>'Прайс для расчета (М)'!E219</f>
        <v>131.25</v>
      </c>
      <c r="J237" s="36">
        <f t="shared" si="33"/>
        <v>322.875</v>
      </c>
    </row>
    <row r="238" spans="2:10" ht="15.6" hidden="1" x14ac:dyDescent="0.25">
      <c r="B238" s="59"/>
      <c r="C238" s="69" t="s">
        <v>1142</v>
      </c>
      <c r="D238" s="61" t="s">
        <v>2</v>
      </c>
      <c r="E238" s="62">
        <f t="shared" si="34"/>
        <v>2.46</v>
      </c>
      <c r="F238" s="63">
        <f>'Прайс для расчета'!E220</f>
        <v>997.5</v>
      </c>
      <c r="G238" s="64">
        <f t="shared" si="32"/>
        <v>2453.85</v>
      </c>
      <c r="I238" s="135">
        <f>'Прайс для расчета (М)'!E220</f>
        <v>498.75</v>
      </c>
      <c r="J238" s="36">
        <f t="shared" si="33"/>
        <v>1226.925</v>
      </c>
    </row>
    <row r="239" spans="2:10" ht="15.6" hidden="1" x14ac:dyDescent="0.25">
      <c r="B239" s="59"/>
      <c r="C239" s="65" t="s">
        <v>4</v>
      </c>
      <c r="D239" s="61" t="s">
        <v>3</v>
      </c>
      <c r="E239" s="62">
        <v>1</v>
      </c>
      <c r="F239" s="63">
        <f>'Прайс для расчета'!E221</f>
        <v>735</v>
      </c>
      <c r="G239" s="64">
        <f t="shared" si="32"/>
        <v>735</v>
      </c>
      <c r="I239" s="135">
        <f>'Прайс для расчета (М)'!E221</f>
        <v>367.5</v>
      </c>
      <c r="J239" s="36">
        <f t="shared" si="33"/>
        <v>367.5</v>
      </c>
    </row>
    <row r="240" spans="2:10" ht="15.6" hidden="1" x14ac:dyDescent="0.25">
      <c r="B240" s="59"/>
      <c r="C240" s="65" t="s">
        <v>1000</v>
      </c>
      <c r="D240" s="61" t="s">
        <v>2</v>
      </c>
      <c r="E240" s="62">
        <f>$A$4</f>
        <v>2.46</v>
      </c>
      <c r="F240" s="63">
        <f>'Прайс для расчета'!E222</f>
        <v>105</v>
      </c>
      <c r="G240" s="64">
        <f t="shared" si="32"/>
        <v>258.3</v>
      </c>
      <c r="I240" s="135">
        <f>'Прайс для расчета (М)'!E222</f>
        <v>52.5</v>
      </c>
      <c r="J240" s="36">
        <f t="shared" si="33"/>
        <v>129.15</v>
      </c>
    </row>
    <row r="241" spans="2:10" ht="15.6" hidden="1" x14ac:dyDescent="0.25">
      <c r="B241" s="59"/>
      <c r="C241" s="65" t="s">
        <v>153</v>
      </c>
      <c r="D241" s="61" t="s">
        <v>2</v>
      </c>
      <c r="E241" s="62">
        <f>$A$4</f>
        <v>2.46</v>
      </c>
      <c r="F241" s="63">
        <f>'Прайс для расчета'!E223</f>
        <v>292.95</v>
      </c>
      <c r="G241" s="64">
        <f t="shared" si="32"/>
        <v>720.65699999999993</v>
      </c>
      <c r="I241" s="135">
        <f>'Прайс для расчета (М)'!E223</f>
        <v>146.47499999999999</v>
      </c>
      <c r="J241" s="36">
        <f t="shared" si="33"/>
        <v>360.32849999999996</v>
      </c>
    </row>
    <row r="242" spans="2:10" ht="15.6" hidden="1" x14ac:dyDescent="0.25">
      <c r="B242" s="59"/>
      <c r="C242" s="65" t="s">
        <v>1027</v>
      </c>
      <c r="D242" s="61" t="s">
        <v>2</v>
      </c>
      <c r="E242" s="62">
        <f>$A$4</f>
        <v>2.46</v>
      </c>
      <c r="F242" s="63">
        <f>'Прайс для расчета'!E224</f>
        <v>719.25</v>
      </c>
      <c r="G242" s="64">
        <f t="shared" si="32"/>
        <v>1769.355</v>
      </c>
      <c r="I242" s="135">
        <f>'Прайс для расчета (М)'!E224</f>
        <v>359.625</v>
      </c>
      <c r="J242" s="36">
        <f t="shared" si="33"/>
        <v>884.67750000000001</v>
      </c>
    </row>
    <row r="243" spans="2:10" ht="15.6" hidden="1" x14ac:dyDescent="0.25">
      <c r="B243" s="59"/>
      <c r="C243" s="65" t="s">
        <v>982</v>
      </c>
      <c r="D243" s="61" t="s">
        <v>3</v>
      </c>
      <c r="E243" s="62">
        <v>1</v>
      </c>
      <c r="F243" s="63">
        <f>'Прайс для расчета'!E225</f>
        <v>2299.5</v>
      </c>
      <c r="G243" s="64">
        <f t="shared" si="32"/>
        <v>2299.5</v>
      </c>
      <c r="I243" s="135">
        <f>'Прайс для расчета (М)'!E225</f>
        <v>1149.75</v>
      </c>
      <c r="J243" s="36">
        <f t="shared" si="33"/>
        <v>1149.75</v>
      </c>
    </row>
    <row r="244" spans="2:10" ht="15.6" hidden="1" x14ac:dyDescent="0.25">
      <c r="B244" s="59"/>
      <c r="C244" s="65" t="s">
        <v>1050</v>
      </c>
      <c r="D244" s="61" t="s">
        <v>2</v>
      </c>
      <c r="E244" s="62">
        <f>$A$4</f>
        <v>2.46</v>
      </c>
      <c r="F244" s="63">
        <f>'Прайс для расчета'!E226</f>
        <v>1942.5</v>
      </c>
      <c r="G244" s="64">
        <f t="shared" si="32"/>
        <v>4778.55</v>
      </c>
      <c r="I244" s="135">
        <f>'Прайс для расчета (М)'!E226</f>
        <v>971.25</v>
      </c>
      <c r="J244" s="36">
        <f t="shared" si="33"/>
        <v>2389.2750000000001</v>
      </c>
    </row>
    <row r="245" spans="2:10" ht="15.6" hidden="1" x14ac:dyDescent="0.25">
      <c r="B245" s="59"/>
      <c r="C245" s="65" t="s">
        <v>1049</v>
      </c>
      <c r="D245" s="61" t="s">
        <v>2</v>
      </c>
      <c r="E245" s="62">
        <f>$A$4</f>
        <v>2.46</v>
      </c>
      <c r="F245" s="63">
        <f>'Прайс для расчета'!E227</f>
        <v>2047.5</v>
      </c>
      <c r="G245" s="64">
        <f t="shared" si="32"/>
        <v>5036.8500000000004</v>
      </c>
      <c r="I245" s="135">
        <f>'Прайс для расчета (М)'!E227</f>
        <v>1023.75</v>
      </c>
      <c r="J245" s="36">
        <f t="shared" si="33"/>
        <v>2518.4250000000002</v>
      </c>
    </row>
    <row r="246" spans="2:10" ht="15.6" hidden="1" x14ac:dyDescent="0.25">
      <c r="B246" s="59"/>
      <c r="C246" s="65" t="s">
        <v>1051</v>
      </c>
      <c r="D246" s="61" t="s">
        <v>3</v>
      </c>
      <c r="E246" s="62">
        <v>1</v>
      </c>
      <c r="F246" s="63">
        <f>'Прайс для расчета'!E228</f>
        <v>2467.5</v>
      </c>
      <c r="G246" s="64">
        <f t="shared" si="32"/>
        <v>2467.5</v>
      </c>
      <c r="I246" s="135">
        <f>'Прайс для расчета (М)'!E228</f>
        <v>1233.75</v>
      </c>
      <c r="J246" s="36">
        <f t="shared" si="33"/>
        <v>1233.75</v>
      </c>
    </row>
    <row r="247" spans="2:10" ht="15.6" hidden="1" x14ac:dyDescent="0.25">
      <c r="B247" s="59"/>
      <c r="C247" s="69" t="s">
        <v>888</v>
      </c>
      <c r="D247" s="61" t="s">
        <v>3</v>
      </c>
      <c r="E247" s="62">
        <v>1</v>
      </c>
      <c r="F247" s="63">
        <f>'Прайс для расчета'!E229</f>
        <v>2677.5</v>
      </c>
      <c r="G247" s="64">
        <f t="shared" si="32"/>
        <v>2677.5</v>
      </c>
      <c r="I247" s="135">
        <f>'Прайс для расчета (М)'!E229</f>
        <v>1338.75</v>
      </c>
      <c r="J247" s="36">
        <f t="shared" si="33"/>
        <v>1338.75</v>
      </c>
    </row>
    <row r="248" spans="2:10" ht="15.6" x14ac:dyDescent="0.25">
      <c r="B248" s="110">
        <f>IF(SUM(B139:B247)&gt;0,1,0)</f>
        <v>1</v>
      </c>
      <c r="C248" s="266" t="s">
        <v>514</v>
      </c>
      <c r="D248" s="266"/>
      <c r="E248" s="266"/>
      <c r="F248" s="266"/>
      <c r="G248" s="157" t="e">
        <f>SUMIF(B140:B247,1,G140:G247)</f>
        <v>#REF!</v>
      </c>
      <c r="J248" s="36" t="e">
        <f>SUMIF(B140:B247,1,J140:J247)</f>
        <v>#REF!</v>
      </c>
    </row>
    <row r="249" spans="2:10" ht="15.6" x14ac:dyDescent="0.25">
      <c r="B249" s="153">
        <f>IF(SUM(B250:B361)&gt;0,1,0)</f>
        <v>1</v>
      </c>
      <c r="C249" s="164" t="s">
        <v>1156</v>
      </c>
      <c r="D249" s="154" t="s">
        <v>179</v>
      </c>
      <c r="E249" s="154" t="s">
        <v>180</v>
      </c>
      <c r="F249" s="154" t="s">
        <v>1</v>
      </c>
      <c r="G249" s="154" t="s">
        <v>181</v>
      </c>
      <c r="I249" s="36" t="s">
        <v>1</v>
      </c>
      <c r="J249" s="36" t="s">
        <v>181</v>
      </c>
    </row>
    <row r="250" spans="2:10" ht="15.6" x14ac:dyDescent="0.25">
      <c r="B250" s="59">
        <f>IF(SUM(B251:B286)&gt;0,1,0)</f>
        <v>1</v>
      </c>
      <c r="C250" s="67" t="s">
        <v>877</v>
      </c>
      <c r="D250" s="61"/>
      <c r="E250" s="62"/>
      <c r="F250" s="63"/>
      <c r="G250" s="64"/>
    </row>
    <row r="251" spans="2:10" ht="15.6" hidden="1" x14ac:dyDescent="0.3">
      <c r="B251" s="59"/>
      <c r="C251" s="78" t="s">
        <v>933</v>
      </c>
      <c r="D251" s="74" t="s">
        <v>2</v>
      </c>
      <c r="E251" s="62">
        <f>$A$4</f>
        <v>2.46</v>
      </c>
      <c r="F251" s="63">
        <f>'Прайс для расчета'!E230</f>
        <v>2518.9500000000003</v>
      </c>
      <c r="G251" s="64">
        <f t="shared" ref="G251:G286" si="35">F251*E251</f>
        <v>6196.6170000000002</v>
      </c>
      <c r="I251" s="135">
        <f>'Прайс для расчета (М)'!E230</f>
        <v>1259.4750000000001</v>
      </c>
      <c r="J251" s="36">
        <f t="shared" ref="J251:J286" si="36">I251*E251</f>
        <v>3098.3085000000001</v>
      </c>
    </row>
    <row r="252" spans="2:10" ht="15.6" hidden="1" x14ac:dyDescent="0.3">
      <c r="B252" s="59"/>
      <c r="C252" s="78" t="s">
        <v>233</v>
      </c>
      <c r="D252" s="74" t="s">
        <v>3</v>
      </c>
      <c r="E252" s="62">
        <f t="shared" ref="E252:E267" si="37">$A$4</f>
        <v>2.46</v>
      </c>
      <c r="F252" s="63">
        <f>'Прайс для расчета'!E231</f>
        <v>509.25</v>
      </c>
      <c r="G252" s="64">
        <f t="shared" si="35"/>
        <v>1252.7549999999999</v>
      </c>
      <c r="I252" s="135">
        <f>'Прайс для расчета (М)'!E231</f>
        <v>254.625</v>
      </c>
      <c r="J252" s="36">
        <f t="shared" si="36"/>
        <v>626.37749999999994</v>
      </c>
    </row>
    <row r="253" spans="2:10" ht="15.6" hidden="1" x14ac:dyDescent="0.3">
      <c r="B253" s="59"/>
      <c r="C253" s="78" t="s">
        <v>409</v>
      </c>
      <c r="D253" s="74" t="s">
        <v>2</v>
      </c>
      <c r="E253" s="62">
        <f t="shared" si="37"/>
        <v>2.46</v>
      </c>
      <c r="F253" s="63">
        <f>'Прайс для расчета'!E232</f>
        <v>2718.4500000000003</v>
      </c>
      <c r="G253" s="64">
        <f t="shared" si="35"/>
        <v>6687.3870000000006</v>
      </c>
      <c r="I253" s="135">
        <f>'Прайс для расчета (М)'!E232</f>
        <v>1359.2250000000001</v>
      </c>
      <c r="J253" s="36">
        <f t="shared" si="36"/>
        <v>3343.6935000000003</v>
      </c>
    </row>
    <row r="254" spans="2:10" ht="15.6" hidden="1" x14ac:dyDescent="0.3">
      <c r="B254" s="59"/>
      <c r="C254" s="78" t="s">
        <v>1059</v>
      </c>
      <c r="D254" s="74" t="s">
        <v>2</v>
      </c>
      <c r="E254" s="62">
        <f t="shared" si="37"/>
        <v>2.46</v>
      </c>
      <c r="F254" s="63">
        <f>'Прайс для расчета'!E233</f>
        <v>1260</v>
      </c>
      <c r="G254" s="64">
        <f t="shared" si="35"/>
        <v>3099.6</v>
      </c>
      <c r="I254" s="135">
        <f>'Прайс для расчета (М)'!E233</f>
        <v>630</v>
      </c>
      <c r="J254" s="36">
        <f t="shared" si="36"/>
        <v>1549.8</v>
      </c>
    </row>
    <row r="255" spans="2:10" ht="15.6" hidden="1" x14ac:dyDescent="0.3">
      <c r="B255" s="59"/>
      <c r="C255" s="78" t="s">
        <v>411</v>
      </c>
      <c r="D255" s="74" t="s">
        <v>2</v>
      </c>
      <c r="E255" s="62">
        <f t="shared" si="37"/>
        <v>2.46</v>
      </c>
      <c r="F255" s="63">
        <f>'Прайс для расчета'!E234</f>
        <v>3033.4500000000003</v>
      </c>
      <c r="G255" s="64">
        <f t="shared" si="35"/>
        <v>7462.2870000000003</v>
      </c>
      <c r="I255" s="135">
        <f>'Прайс для расчета (М)'!E234</f>
        <v>1516.7250000000001</v>
      </c>
      <c r="J255" s="36">
        <f t="shared" si="36"/>
        <v>3731.1435000000001</v>
      </c>
    </row>
    <row r="256" spans="2:10" ht="15.6" hidden="1" x14ac:dyDescent="0.3">
      <c r="B256" s="59"/>
      <c r="C256" s="78" t="s">
        <v>1062</v>
      </c>
      <c r="D256" s="74" t="s">
        <v>3</v>
      </c>
      <c r="E256" s="62">
        <f t="shared" si="37"/>
        <v>2.46</v>
      </c>
      <c r="F256" s="63">
        <f>'Прайс для расчета'!E235</f>
        <v>971.25</v>
      </c>
      <c r="G256" s="64">
        <f t="shared" si="35"/>
        <v>2389.2750000000001</v>
      </c>
      <c r="I256" s="135">
        <f>'Прайс для расчета (М)'!E235</f>
        <v>485.625</v>
      </c>
      <c r="J256" s="36">
        <f t="shared" si="36"/>
        <v>1194.6375</v>
      </c>
    </row>
    <row r="257" spans="2:10" ht="15.6" hidden="1" x14ac:dyDescent="0.3">
      <c r="B257" s="59"/>
      <c r="C257" s="78" t="s">
        <v>923</v>
      </c>
      <c r="D257" s="74" t="s">
        <v>2</v>
      </c>
      <c r="E257" s="62">
        <f t="shared" si="37"/>
        <v>2.46</v>
      </c>
      <c r="F257" s="63">
        <f>'Прайс для расчета'!E236</f>
        <v>3412.5</v>
      </c>
      <c r="G257" s="64">
        <f t="shared" si="35"/>
        <v>8394.75</v>
      </c>
      <c r="I257" s="135">
        <f>'Прайс для расчета (М)'!E236</f>
        <v>1706.25</v>
      </c>
      <c r="J257" s="36">
        <f t="shared" si="36"/>
        <v>4197.375</v>
      </c>
    </row>
    <row r="258" spans="2:10" ht="15.6" hidden="1" x14ac:dyDescent="0.3">
      <c r="B258" s="59"/>
      <c r="C258" s="78" t="s">
        <v>988</v>
      </c>
      <c r="D258" s="74" t="s">
        <v>2</v>
      </c>
      <c r="E258" s="62">
        <f t="shared" si="37"/>
        <v>2.46</v>
      </c>
      <c r="F258" s="63">
        <f>'Прайс для расчета'!E237</f>
        <v>2938.9500000000003</v>
      </c>
      <c r="G258" s="64">
        <f t="shared" si="35"/>
        <v>7229.8170000000009</v>
      </c>
      <c r="I258" s="135">
        <f>'Прайс для расчета (М)'!E237</f>
        <v>1469.4750000000001</v>
      </c>
      <c r="J258" s="36">
        <f t="shared" si="36"/>
        <v>3614.9085000000005</v>
      </c>
    </row>
    <row r="259" spans="2:10" ht="15.6" hidden="1" x14ac:dyDescent="0.3">
      <c r="B259" s="59"/>
      <c r="C259" s="78" t="s">
        <v>922</v>
      </c>
      <c r="D259" s="74" t="s">
        <v>2</v>
      </c>
      <c r="E259" s="62">
        <f t="shared" si="37"/>
        <v>2.46</v>
      </c>
      <c r="F259" s="63">
        <f>'Прайс для расчета'!E238</f>
        <v>3097.5</v>
      </c>
      <c r="G259" s="64">
        <f t="shared" si="35"/>
        <v>7619.8499999999995</v>
      </c>
      <c r="I259" s="135">
        <f>'Прайс для расчета (М)'!E238</f>
        <v>1548.75</v>
      </c>
      <c r="J259" s="36">
        <f t="shared" si="36"/>
        <v>3809.9249999999997</v>
      </c>
    </row>
    <row r="260" spans="2:10" ht="15.6" hidden="1" x14ac:dyDescent="0.3">
      <c r="B260" s="59"/>
      <c r="C260" s="78" t="s">
        <v>989</v>
      </c>
      <c r="D260" s="74" t="s">
        <v>2</v>
      </c>
      <c r="E260" s="62">
        <f t="shared" si="37"/>
        <v>2.46</v>
      </c>
      <c r="F260" s="63">
        <f>'Прайс для расчета'!E239</f>
        <v>3717</v>
      </c>
      <c r="G260" s="64">
        <f t="shared" si="35"/>
        <v>9143.82</v>
      </c>
      <c r="I260" s="135">
        <f>'Прайс для расчета (М)'!E239</f>
        <v>1858.5</v>
      </c>
      <c r="J260" s="36">
        <f t="shared" si="36"/>
        <v>4571.91</v>
      </c>
    </row>
    <row r="261" spans="2:10" ht="15.6" hidden="1" x14ac:dyDescent="0.3">
      <c r="B261" s="59"/>
      <c r="C261" s="78" t="s">
        <v>936</v>
      </c>
      <c r="D261" s="74" t="s">
        <v>2</v>
      </c>
      <c r="E261" s="62">
        <f t="shared" si="37"/>
        <v>2.46</v>
      </c>
      <c r="F261" s="63">
        <f>'Прайс для расчета'!E240</f>
        <v>6237</v>
      </c>
      <c r="G261" s="64">
        <f t="shared" si="35"/>
        <v>15343.02</v>
      </c>
      <c r="I261" s="135">
        <f>'Прайс для расчета (М)'!E240</f>
        <v>3118.5</v>
      </c>
      <c r="J261" s="36">
        <f t="shared" si="36"/>
        <v>7671.51</v>
      </c>
    </row>
    <row r="262" spans="2:10" ht="15.6" hidden="1" x14ac:dyDescent="0.3">
      <c r="B262" s="59"/>
      <c r="C262" s="78" t="s">
        <v>1065</v>
      </c>
      <c r="D262" s="74" t="s">
        <v>2</v>
      </c>
      <c r="E262" s="62">
        <f t="shared" si="37"/>
        <v>2.46</v>
      </c>
      <c r="F262" s="63">
        <f>'Прайс для расчета'!E241</f>
        <v>3622.5</v>
      </c>
      <c r="G262" s="64">
        <f t="shared" si="35"/>
        <v>8911.35</v>
      </c>
      <c r="I262" s="135">
        <f>'Прайс для расчета (М)'!E241</f>
        <v>1811.25</v>
      </c>
      <c r="J262" s="36">
        <f t="shared" si="36"/>
        <v>4455.6750000000002</v>
      </c>
    </row>
    <row r="263" spans="2:10" ht="15.6" hidden="1" x14ac:dyDescent="0.3">
      <c r="B263" s="59"/>
      <c r="C263" s="78" t="s">
        <v>1066</v>
      </c>
      <c r="D263" s="74" t="s">
        <v>2</v>
      </c>
      <c r="E263" s="62">
        <f t="shared" si="37"/>
        <v>2.46</v>
      </c>
      <c r="F263" s="63">
        <f>'Прайс для расчета'!E242</f>
        <v>5197.5</v>
      </c>
      <c r="G263" s="64">
        <f t="shared" si="35"/>
        <v>12785.85</v>
      </c>
      <c r="I263" s="135">
        <f>'Прайс для расчета (М)'!E242</f>
        <v>2598.75</v>
      </c>
      <c r="J263" s="36">
        <f t="shared" si="36"/>
        <v>6392.9250000000002</v>
      </c>
    </row>
    <row r="264" spans="2:10" ht="15.6" hidden="1" x14ac:dyDescent="0.3">
      <c r="B264" s="59"/>
      <c r="C264" s="78" t="s">
        <v>1067</v>
      </c>
      <c r="D264" s="74" t="s">
        <v>2</v>
      </c>
      <c r="E264" s="62">
        <f t="shared" si="37"/>
        <v>2.46</v>
      </c>
      <c r="F264" s="63">
        <f>'Прайс для расчета'!E243</f>
        <v>3097.5</v>
      </c>
      <c r="G264" s="64">
        <f t="shared" si="35"/>
        <v>7619.8499999999995</v>
      </c>
      <c r="I264" s="135">
        <f>'Прайс для расчета (М)'!E243</f>
        <v>1548.75</v>
      </c>
      <c r="J264" s="36">
        <f t="shared" si="36"/>
        <v>3809.9249999999997</v>
      </c>
    </row>
    <row r="265" spans="2:10" ht="15.6" hidden="1" x14ac:dyDescent="0.3">
      <c r="B265" s="59"/>
      <c r="C265" s="78" t="s">
        <v>412</v>
      </c>
      <c r="D265" s="74" t="s">
        <v>2</v>
      </c>
      <c r="E265" s="62">
        <f t="shared" si="37"/>
        <v>2.46</v>
      </c>
      <c r="F265" s="63">
        <f>'Прайс для расчета'!E244</f>
        <v>404.25</v>
      </c>
      <c r="G265" s="64">
        <f t="shared" si="35"/>
        <v>994.45500000000004</v>
      </c>
      <c r="I265" s="135">
        <f>'Прайс для расчета (М)'!E244</f>
        <v>202.125</v>
      </c>
      <c r="J265" s="36">
        <f t="shared" si="36"/>
        <v>497.22750000000002</v>
      </c>
    </row>
    <row r="266" spans="2:10" ht="15.6" hidden="1" x14ac:dyDescent="0.3">
      <c r="B266" s="59"/>
      <c r="C266" s="78" t="s">
        <v>937</v>
      </c>
      <c r="D266" s="74" t="s">
        <v>2</v>
      </c>
      <c r="E266" s="62">
        <f t="shared" si="37"/>
        <v>2.46</v>
      </c>
      <c r="F266" s="63">
        <f>'Прайс для расчета'!E245</f>
        <v>1244.25</v>
      </c>
      <c r="G266" s="64">
        <f t="shared" si="35"/>
        <v>3060.855</v>
      </c>
      <c r="I266" s="135">
        <f>'Прайс для расчета (М)'!E245</f>
        <v>622.125</v>
      </c>
      <c r="J266" s="36">
        <f t="shared" si="36"/>
        <v>1530.4275</v>
      </c>
    </row>
    <row r="267" spans="2:10" ht="15.6" hidden="1" x14ac:dyDescent="0.3">
      <c r="B267" s="59"/>
      <c r="C267" s="78" t="s">
        <v>938</v>
      </c>
      <c r="D267" s="74" t="s">
        <v>2</v>
      </c>
      <c r="E267" s="62">
        <f t="shared" si="37"/>
        <v>2.46</v>
      </c>
      <c r="F267" s="63">
        <f>'Прайс для расчета'!E246</f>
        <v>929.25</v>
      </c>
      <c r="G267" s="64">
        <f t="shared" si="35"/>
        <v>2285.9549999999999</v>
      </c>
      <c r="I267" s="135">
        <f>'Прайс для расчета (М)'!E246</f>
        <v>464.625</v>
      </c>
      <c r="J267" s="36">
        <f t="shared" si="36"/>
        <v>1142.9775</v>
      </c>
    </row>
    <row r="268" spans="2:10" ht="15.6" hidden="1" x14ac:dyDescent="0.3">
      <c r="B268" s="59"/>
      <c r="C268" s="78" t="s">
        <v>677</v>
      </c>
      <c r="D268" s="74" t="s">
        <v>646</v>
      </c>
      <c r="E268" s="62">
        <f>ROUND(E262/2,0)</f>
        <v>1</v>
      </c>
      <c r="F268" s="63">
        <f>'Прайс для расчета'!E247</f>
        <v>572.25</v>
      </c>
      <c r="G268" s="64">
        <f t="shared" si="35"/>
        <v>572.25</v>
      </c>
      <c r="I268" s="135">
        <f>'Прайс для расчета (М)'!E247</f>
        <v>286.125</v>
      </c>
      <c r="J268" s="36">
        <f t="shared" si="36"/>
        <v>286.125</v>
      </c>
    </row>
    <row r="269" spans="2:10" ht="15.6" hidden="1" x14ac:dyDescent="0.3">
      <c r="B269" s="59"/>
      <c r="C269" s="78" t="s">
        <v>413</v>
      </c>
      <c r="D269" s="74" t="s">
        <v>646</v>
      </c>
      <c r="E269" s="62">
        <f>$A$2</f>
        <v>6.94</v>
      </c>
      <c r="F269" s="63">
        <f>'Прайс для расчета'!E248</f>
        <v>1023.75</v>
      </c>
      <c r="G269" s="64">
        <f t="shared" si="35"/>
        <v>7104.8250000000007</v>
      </c>
      <c r="I269" s="135">
        <f>'Прайс для расчета (М)'!E248</f>
        <v>511.875</v>
      </c>
      <c r="J269" s="36">
        <f t="shared" si="36"/>
        <v>3552.4125000000004</v>
      </c>
    </row>
    <row r="270" spans="2:10" ht="15.6" x14ac:dyDescent="0.25">
      <c r="B270" s="59">
        <v>1</v>
      </c>
      <c r="C270" s="69" t="s">
        <v>414</v>
      </c>
      <c r="D270" s="61" t="s">
        <v>2</v>
      </c>
      <c r="E270" s="62">
        <f t="shared" ref="E270:E280" si="38">$A$4</f>
        <v>2.46</v>
      </c>
      <c r="F270" s="63">
        <f>'Прайс для расчета'!E249</f>
        <v>715.68</v>
      </c>
      <c r="G270" s="64">
        <f t="shared" si="35"/>
        <v>1760.5727999999999</v>
      </c>
      <c r="I270" s="135">
        <f>'Прайс для расчета (М)'!E249</f>
        <v>357.84</v>
      </c>
      <c r="J270" s="36">
        <f t="shared" si="36"/>
        <v>880.28639999999996</v>
      </c>
    </row>
    <row r="271" spans="2:10" ht="15.6" hidden="1" x14ac:dyDescent="0.25">
      <c r="B271" s="59"/>
      <c r="C271" s="69" t="s">
        <v>145</v>
      </c>
      <c r="D271" s="61" t="s">
        <v>2</v>
      </c>
      <c r="E271" s="62">
        <f t="shared" si="38"/>
        <v>2.46</v>
      </c>
      <c r="F271" s="63">
        <f>'Прайс для расчета'!E250</f>
        <v>819</v>
      </c>
      <c r="G271" s="64">
        <f t="shared" si="35"/>
        <v>2014.74</v>
      </c>
      <c r="I271" s="135">
        <f>'Прайс для расчета (М)'!E250</f>
        <v>409.5</v>
      </c>
      <c r="J271" s="36">
        <f t="shared" si="36"/>
        <v>1007.37</v>
      </c>
    </row>
    <row r="272" spans="2:10" ht="15.6" hidden="1" x14ac:dyDescent="0.25">
      <c r="B272" s="59"/>
      <c r="C272" s="69" t="s">
        <v>1072</v>
      </c>
      <c r="D272" s="61" t="s">
        <v>2</v>
      </c>
      <c r="E272" s="62">
        <f t="shared" si="38"/>
        <v>2.46</v>
      </c>
      <c r="F272" s="63">
        <f>'Прайс для расчета'!E251</f>
        <v>876.75</v>
      </c>
      <c r="G272" s="64">
        <f t="shared" si="35"/>
        <v>2156.8049999999998</v>
      </c>
      <c r="I272" s="135">
        <f>'Прайс для расчета (М)'!E251</f>
        <v>438.375</v>
      </c>
      <c r="J272" s="36">
        <f t="shared" si="36"/>
        <v>1078.4024999999999</v>
      </c>
    </row>
    <row r="273" spans="2:10" ht="15.6" hidden="1" x14ac:dyDescent="0.25">
      <c r="B273" s="59"/>
      <c r="C273" s="69" t="s">
        <v>1073</v>
      </c>
      <c r="D273" s="61" t="s">
        <v>2</v>
      </c>
      <c r="E273" s="62">
        <f t="shared" si="38"/>
        <v>2.46</v>
      </c>
      <c r="F273" s="63">
        <f>'Прайс для расчета'!E252</f>
        <v>1097.25</v>
      </c>
      <c r="G273" s="64">
        <f t="shared" si="35"/>
        <v>2699.2350000000001</v>
      </c>
      <c r="I273" s="135">
        <f>'Прайс для расчета (М)'!E252</f>
        <v>548.625</v>
      </c>
      <c r="J273" s="36">
        <f t="shared" si="36"/>
        <v>1349.6175000000001</v>
      </c>
    </row>
    <row r="274" spans="2:10" ht="15.6" x14ac:dyDescent="0.25">
      <c r="B274" s="59">
        <v>1</v>
      </c>
      <c r="C274" s="69" t="s">
        <v>893</v>
      </c>
      <c r="D274" s="61" t="s">
        <v>2</v>
      </c>
      <c r="E274" s="62">
        <f t="shared" si="38"/>
        <v>2.46</v>
      </c>
      <c r="F274" s="63">
        <f>'Прайс для расчета'!E253</f>
        <v>299.25</v>
      </c>
      <c r="G274" s="64">
        <f t="shared" si="35"/>
        <v>736.15499999999997</v>
      </c>
      <c r="I274" s="135">
        <f>'Прайс для расчета (М)'!E253</f>
        <v>149.625</v>
      </c>
      <c r="J274" s="36">
        <f t="shared" si="36"/>
        <v>368.07749999999999</v>
      </c>
    </row>
    <row r="275" spans="2:10" ht="15.6" hidden="1" x14ac:dyDescent="0.25">
      <c r="B275" s="59"/>
      <c r="C275" s="69" t="s">
        <v>415</v>
      </c>
      <c r="D275" s="61" t="s">
        <v>2</v>
      </c>
      <c r="E275" s="62">
        <f t="shared" si="38"/>
        <v>2.46</v>
      </c>
      <c r="F275" s="63">
        <f>'Прайс для расчета'!E254</f>
        <v>1044.75</v>
      </c>
      <c r="G275" s="64">
        <f t="shared" si="35"/>
        <v>2570.085</v>
      </c>
      <c r="I275" s="135">
        <f>'Прайс для расчета (М)'!E254</f>
        <v>522.375</v>
      </c>
      <c r="J275" s="36">
        <f t="shared" si="36"/>
        <v>1285.0425</v>
      </c>
    </row>
    <row r="276" spans="2:10" ht="15.6" hidden="1" x14ac:dyDescent="0.25">
      <c r="B276" s="59"/>
      <c r="C276" s="69" t="s">
        <v>519</v>
      </c>
      <c r="D276" s="61" t="s">
        <v>2</v>
      </c>
      <c r="E276" s="62">
        <f t="shared" si="38"/>
        <v>2.46</v>
      </c>
      <c r="F276" s="63">
        <f>'Прайс для расчета'!E255</f>
        <v>1401.75</v>
      </c>
      <c r="G276" s="64">
        <f t="shared" si="35"/>
        <v>3448.3049999999998</v>
      </c>
      <c r="I276" s="135">
        <f>'Прайс для расчета (М)'!E255</f>
        <v>700.875</v>
      </c>
      <c r="J276" s="36">
        <f t="shared" si="36"/>
        <v>1724.1524999999999</v>
      </c>
    </row>
    <row r="277" spans="2:10" ht="15.6" hidden="1" x14ac:dyDescent="0.25">
      <c r="B277" s="59"/>
      <c r="C277" s="69" t="s">
        <v>891</v>
      </c>
      <c r="D277" s="61" t="s">
        <v>2</v>
      </c>
      <c r="E277" s="62">
        <f t="shared" si="38"/>
        <v>2.46</v>
      </c>
      <c r="F277" s="63">
        <f>'Прайс для расчета'!E256</f>
        <v>2982</v>
      </c>
      <c r="G277" s="64">
        <f t="shared" si="35"/>
        <v>7335.72</v>
      </c>
      <c r="I277" s="135">
        <f>'Прайс для расчета (М)'!E256</f>
        <v>1491</v>
      </c>
      <c r="J277" s="36">
        <f t="shared" si="36"/>
        <v>3667.86</v>
      </c>
    </row>
    <row r="278" spans="2:10" ht="15.6" hidden="1" x14ac:dyDescent="0.25">
      <c r="B278" s="59"/>
      <c r="C278" s="69" t="s">
        <v>416</v>
      </c>
      <c r="D278" s="61" t="s">
        <v>2</v>
      </c>
      <c r="E278" s="62">
        <f t="shared" si="38"/>
        <v>2.46</v>
      </c>
      <c r="F278" s="63">
        <f>'Прайс для расчета'!E257</f>
        <v>1155</v>
      </c>
      <c r="G278" s="64">
        <f t="shared" si="35"/>
        <v>2841.3</v>
      </c>
      <c r="I278" s="135">
        <f>'Прайс для расчета (М)'!E257</f>
        <v>577.5</v>
      </c>
      <c r="J278" s="36">
        <f t="shared" si="36"/>
        <v>1420.65</v>
      </c>
    </row>
    <row r="279" spans="2:10" ht="15.6" hidden="1" x14ac:dyDescent="0.25">
      <c r="B279" s="59"/>
      <c r="C279" s="69" t="s">
        <v>149</v>
      </c>
      <c r="D279" s="61" t="s">
        <v>2</v>
      </c>
      <c r="E279" s="62">
        <f t="shared" si="38"/>
        <v>2.46</v>
      </c>
      <c r="F279" s="63">
        <f>'Прайс для расчета'!E258</f>
        <v>441</v>
      </c>
      <c r="G279" s="64">
        <f t="shared" si="35"/>
        <v>1084.8599999999999</v>
      </c>
      <c r="I279" s="135">
        <f>'Прайс для расчета (М)'!E258</f>
        <v>220.5</v>
      </c>
      <c r="J279" s="36">
        <f t="shared" si="36"/>
        <v>542.42999999999995</v>
      </c>
    </row>
    <row r="280" spans="2:10" ht="15.6" hidden="1" x14ac:dyDescent="0.25">
      <c r="B280" s="59"/>
      <c r="C280" s="69" t="s">
        <v>150</v>
      </c>
      <c r="D280" s="61" t="s">
        <v>2</v>
      </c>
      <c r="E280" s="62">
        <f t="shared" si="38"/>
        <v>2.46</v>
      </c>
      <c r="F280" s="63">
        <f>'Прайс для расчета'!E259</f>
        <v>514.5</v>
      </c>
      <c r="G280" s="64">
        <f t="shared" si="35"/>
        <v>1265.67</v>
      </c>
      <c r="I280" s="135">
        <f>'Прайс для расчета (М)'!E259</f>
        <v>257.25</v>
      </c>
      <c r="J280" s="36">
        <f t="shared" si="36"/>
        <v>632.83500000000004</v>
      </c>
    </row>
    <row r="281" spans="2:10" ht="15.6" x14ac:dyDescent="0.25">
      <c r="B281" s="59">
        <v>1</v>
      </c>
      <c r="C281" s="69" t="s">
        <v>1167</v>
      </c>
      <c r="D281" s="61" t="s">
        <v>3</v>
      </c>
      <c r="E281" s="62">
        <v>1.1000000000000001</v>
      </c>
      <c r="F281" s="63">
        <v>445</v>
      </c>
      <c r="G281" s="64">
        <f t="shared" si="35"/>
        <v>489.50000000000006</v>
      </c>
      <c r="I281" s="135">
        <f>'Прайс для расчета (М)'!E260</f>
        <v>112.35000000000001</v>
      </c>
      <c r="J281" s="36">
        <f t="shared" si="36"/>
        <v>123.58500000000002</v>
      </c>
    </row>
    <row r="282" spans="2:10" ht="15.6" hidden="1" x14ac:dyDescent="0.25">
      <c r="B282" s="59"/>
      <c r="C282" s="69" t="s">
        <v>250</v>
      </c>
      <c r="D282" s="61" t="s">
        <v>3</v>
      </c>
      <c r="E282" s="62">
        <f>$A$2</f>
        <v>6.94</v>
      </c>
      <c r="F282" s="63">
        <f>'Прайс для расчета'!E261</f>
        <v>651</v>
      </c>
      <c r="G282" s="64">
        <f t="shared" si="35"/>
        <v>4517.9400000000005</v>
      </c>
      <c r="I282" s="135">
        <f>'Прайс для расчета (М)'!E261</f>
        <v>325.5</v>
      </c>
      <c r="J282" s="36">
        <f t="shared" si="36"/>
        <v>2258.9700000000003</v>
      </c>
    </row>
    <row r="283" spans="2:10" ht="15.6" hidden="1" x14ac:dyDescent="0.25">
      <c r="B283" s="59"/>
      <c r="C283" s="69" t="s">
        <v>890</v>
      </c>
      <c r="D283" s="61" t="s">
        <v>3</v>
      </c>
      <c r="E283" s="62">
        <f t="shared" ref="E283:E285" si="39">$A$2</f>
        <v>6.94</v>
      </c>
      <c r="F283" s="63">
        <f>'Прайс для расчета'!E262</f>
        <v>834.75</v>
      </c>
      <c r="G283" s="64">
        <f t="shared" si="35"/>
        <v>5793.165</v>
      </c>
      <c r="I283" s="135">
        <f>'Прайс для расчета (М)'!E262</f>
        <v>417.375</v>
      </c>
      <c r="J283" s="36">
        <f t="shared" si="36"/>
        <v>2896.5825</v>
      </c>
    </row>
    <row r="284" spans="2:10" ht="15.6" hidden="1" x14ac:dyDescent="0.25">
      <c r="B284" s="59"/>
      <c r="C284" s="69" t="s">
        <v>418</v>
      </c>
      <c r="D284" s="61" t="s">
        <v>0</v>
      </c>
      <c r="E284" s="62">
        <f t="shared" si="39"/>
        <v>6.94</v>
      </c>
      <c r="F284" s="63">
        <f>'Прайс для расчета'!E263</f>
        <v>787.5</v>
      </c>
      <c r="G284" s="64">
        <f t="shared" si="35"/>
        <v>5465.25</v>
      </c>
      <c r="I284" s="135">
        <f>'Прайс для расчета (М)'!E263</f>
        <v>393.75</v>
      </c>
      <c r="J284" s="36">
        <f t="shared" si="36"/>
        <v>2732.625</v>
      </c>
    </row>
    <row r="285" spans="2:10" ht="15.6" hidden="1" x14ac:dyDescent="0.25">
      <c r="B285" s="59"/>
      <c r="C285" s="69" t="s">
        <v>137</v>
      </c>
      <c r="D285" s="61" t="s">
        <v>0</v>
      </c>
      <c r="E285" s="62">
        <f t="shared" si="39"/>
        <v>6.94</v>
      </c>
      <c r="F285" s="63">
        <f>'Прайс для расчета'!E264</f>
        <v>2551.5</v>
      </c>
      <c r="G285" s="64">
        <f t="shared" si="35"/>
        <v>17707.41</v>
      </c>
      <c r="I285" s="135">
        <f>'Прайс для расчета (М)'!E264</f>
        <v>1275.75</v>
      </c>
      <c r="J285" s="36">
        <f t="shared" si="36"/>
        <v>8853.7049999999999</v>
      </c>
    </row>
    <row r="286" spans="2:10" ht="15.6" hidden="1" x14ac:dyDescent="0.25">
      <c r="B286" s="59"/>
      <c r="C286" s="69" t="s">
        <v>520</v>
      </c>
      <c r="D286" s="61" t="s">
        <v>3</v>
      </c>
      <c r="E286" s="62">
        <f>$A$2</f>
        <v>6.94</v>
      </c>
      <c r="F286" s="63">
        <f>'Прайс для расчета'!E265</f>
        <v>152.25</v>
      </c>
      <c r="G286" s="64">
        <f t="shared" si="35"/>
        <v>1056.615</v>
      </c>
      <c r="I286" s="135">
        <f>'Прайс для расчета (М)'!E265</f>
        <v>76.125</v>
      </c>
      <c r="J286" s="36">
        <f t="shared" si="36"/>
        <v>528.3075</v>
      </c>
    </row>
    <row r="287" spans="2:10" ht="15.6" x14ac:dyDescent="0.25">
      <c r="B287" s="59">
        <f>IF(SUM(B288:B311)&gt;0,1,0)</f>
        <v>1</v>
      </c>
      <c r="C287" s="67" t="s">
        <v>878</v>
      </c>
      <c r="D287" s="61"/>
      <c r="E287" s="62"/>
      <c r="F287" s="63"/>
      <c r="G287" s="64"/>
    </row>
    <row r="288" spans="2:10" ht="15.6" hidden="1" x14ac:dyDescent="0.25">
      <c r="B288" s="59"/>
      <c r="C288" s="69" t="s">
        <v>522</v>
      </c>
      <c r="D288" s="61" t="s">
        <v>2</v>
      </c>
      <c r="E288" s="62" t="e">
        <f>$A$6</f>
        <v>#REF!</v>
      </c>
      <c r="F288" s="63">
        <f>'Прайс для расчета'!E276</f>
        <v>4384.8</v>
      </c>
      <c r="G288" s="64" t="e">
        <f t="shared" ref="G288:G311" si="40">F288*E288</f>
        <v>#REF!</v>
      </c>
      <c r="I288" s="135">
        <f>'Прайс для расчета (М)'!E276</f>
        <v>2192.4</v>
      </c>
      <c r="J288" s="36" t="e">
        <f t="shared" ref="J288:J311" si="41">I288*E288</f>
        <v>#REF!</v>
      </c>
    </row>
    <row r="289" spans="2:10" ht="15.6" hidden="1" x14ac:dyDescent="0.25">
      <c r="B289" s="59"/>
      <c r="C289" s="69" t="s">
        <v>270</v>
      </c>
      <c r="D289" s="61" t="s">
        <v>2</v>
      </c>
      <c r="E289" s="62" t="e">
        <f t="shared" ref="E289:E305" si="42">$A$6</f>
        <v>#REF!</v>
      </c>
      <c r="F289" s="63">
        <f>'Прайс для расчета'!E287</f>
        <v>2220.75</v>
      </c>
      <c r="G289" s="64" t="e">
        <f t="shared" si="40"/>
        <v>#REF!</v>
      </c>
      <c r="I289" s="135">
        <f>'Прайс для расчета (М)'!E287</f>
        <v>1110.375</v>
      </c>
      <c r="J289" s="36" t="e">
        <f t="shared" si="41"/>
        <v>#REF!</v>
      </c>
    </row>
    <row r="290" spans="2:10" ht="15.6" hidden="1" x14ac:dyDescent="0.25">
      <c r="B290" s="59"/>
      <c r="C290" s="69" t="s">
        <v>524</v>
      </c>
      <c r="D290" s="61" t="s">
        <v>2</v>
      </c>
      <c r="E290" s="62" t="e">
        <f t="shared" si="42"/>
        <v>#REF!</v>
      </c>
      <c r="F290" s="63">
        <f>'Прайс для расчета'!E288</f>
        <v>2577.75</v>
      </c>
      <c r="G290" s="64" t="e">
        <f t="shared" si="40"/>
        <v>#REF!</v>
      </c>
      <c r="I290" s="135">
        <f>'Прайс для расчета (М)'!E288</f>
        <v>1288.875</v>
      </c>
      <c r="J290" s="36" t="e">
        <f t="shared" si="41"/>
        <v>#REF!</v>
      </c>
    </row>
    <row r="291" spans="2:10" ht="15.6" hidden="1" x14ac:dyDescent="0.25">
      <c r="B291" s="59"/>
      <c r="C291" s="69" t="s">
        <v>525</v>
      </c>
      <c r="D291" s="61" t="s">
        <v>2</v>
      </c>
      <c r="E291" s="62" t="e">
        <f t="shared" si="42"/>
        <v>#REF!</v>
      </c>
      <c r="F291" s="63">
        <f>'Прайс для расчета'!E289</f>
        <v>1291.5</v>
      </c>
      <c r="G291" s="64" t="e">
        <f t="shared" si="40"/>
        <v>#REF!</v>
      </c>
      <c r="I291" s="135">
        <f>'Прайс для расчета (М)'!E289</f>
        <v>645.75</v>
      </c>
      <c r="J291" s="36" t="e">
        <f t="shared" si="41"/>
        <v>#REF!</v>
      </c>
    </row>
    <row r="292" spans="2:10" ht="15.6" hidden="1" x14ac:dyDescent="0.25">
      <c r="B292" s="59"/>
      <c r="C292" s="69" t="s">
        <v>526</v>
      </c>
      <c r="D292" s="61" t="s">
        <v>2</v>
      </c>
      <c r="E292" s="62" t="e">
        <f t="shared" si="42"/>
        <v>#REF!</v>
      </c>
      <c r="F292" s="63">
        <f>'Прайс для расчета'!E290</f>
        <v>1186.5</v>
      </c>
      <c r="G292" s="64" t="e">
        <f t="shared" si="40"/>
        <v>#REF!</v>
      </c>
      <c r="I292" s="135">
        <f>'Прайс для расчета (М)'!E290</f>
        <v>593.25</v>
      </c>
      <c r="J292" s="36" t="e">
        <f t="shared" si="41"/>
        <v>#REF!</v>
      </c>
    </row>
    <row r="293" spans="2:10" ht="15.6" hidden="1" x14ac:dyDescent="0.25">
      <c r="B293" s="59"/>
      <c r="C293" s="69" t="s">
        <v>271</v>
      </c>
      <c r="D293" s="61" t="s">
        <v>3</v>
      </c>
      <c r="E293" s="62" t="e">
        <f t="shared" si="42"/>
        <v>#REF!</v>
      </c>
      <c r="F293" s="63">
        <f>'Прайс для расчета'!E291</f>
        <v>761.25</v>
      </c>
      <c r="G293" s="64" t="e">
        <f t="shared" si="40"/>
        <v>#REF!</v>
      </c>
      <c r="I293" s="135">
        <f>'Прайс для расчета (М)'!E291</f>
        <v>380.625</v>
      </c>
      <c r="J293" s="36" t="e">
        <f t="shared" si="41"/>
        <v>#REF!</v>
      </c>
    </row>
    <row r="294" spans="2:10" ht="15.6" hidden="1" x14ac:dyDescent="0.25">
      <c r="B294" s="59"/>
      <c r="C294" s="69" t="s">
        <v>962</v>
      </c>
      <c r="D294" s="61" t="s">
        <v>3</v>
      </c>
      <c r="E294" s="62" t="e">
        <f t="shared" si="42"/>
        <v>#REF!</v>
      </c>
      <c r="F294" s="63">
        <f>'Прайс для расчета'!E292</f>
        <v>519.75</v>
      </c>
      <c r="G294" s="64" t="e">
        <f t="shared" si="40"/>
        <v>#REF!</v>
      </c>
      <c r="I294" s="135">
        <f>'Прайс для расчета (М)'!E292</f>
        <v>259.875</v>
      </c>
      <c r="J294" s="36" t="e">
        <f t="shared" si="41"/>
        <v>#REF!</v>
      </c>
    </row>
    <row r="295" spans="2:10" ht="15.6" hidden="1" x14ac:dyDescent="0.25">
      <c r="B295" s="59"/>
      <c r="C295" s="69" t="s">
        <v>963</v>
      </c>
      <c r="D295" s="61" t="s">
        <v>3</v>
      </c>
      <c r="E295" s="62" t="e">
        <f t="shared" si="42"/>
        <v>#REF!</v>
      </c>
      <c r="F295" s="63">
        <f>'Прайс для расчета'!E293</f>
        <v>824.25</v>
      </c>
      <c r="G295" s="64" t="e">
        <f t="shared" si="40"/>
        <v>#REF!</v>
      </c>
      <c r="I295" s="135">
        <f>'Прайс для расчета (М)'!E293</f>
        <v>412.125</v>
      </c>
      <c r="J295" s="36" t="e">
        <f t="shared" si="41"/>
        <v>#REF!</v>
      </c>
    </row>
    <row r="296" spans="2:10" ht="15.6" hidden="1" x14ac:dyDescent="0.25">
      <c r="B296" s="59"/>
      <c r="C296" s="69" t="s">
        <v>527</v>
      </c>
      <c r="D296" s="61" t="s">
        <v>2</v>
      </c>
      <c r="E296" s="62" t="e">
        <f t="shared" si="42"/>
        <v>#REF!</v>
      </c>
      <c r="F296" s="63">
        <f>'Прайс для расчета'!E294</f>
        <v>1732.5</v>
      </c>
      <c r="G296" s="64" t="e">
        <f t="shared" si="40"/>
        <v>#REF!</v>
      </c>
      <c r="I296" s="135">
        <f>'Прайс для расчета (М)'!E294</f>
        <v>866.25</v>
      </c>
      <c r="J296" s="36" t="e">
        <f t="shared" si="41"/>
        <v>#REF!</v>
      </c>
    </row>
    <row r="297" spans="2:10" ht="15.6" hidden="1" x14ac:dyDescent="0.25">
      <c r="B297" s="59"/>
      <c r="C297" s="69" t="s">
        <v>678</v>
      </c>
      <c r="D297" s="61" t="s">
        <v>2</v>
      </c>
      <c r="E297" s="62" t="e">
        <f t="shared" si="42"/>
        <v>#REF!</v>
      </c>
      <c r="F297" s="63">
        <f>'Прайс для расчета'!E296</f>
        <v>3097.5</v>
      </c>
      <c r="G297" s="64" t="e">
        <f t="shared" si="40"/>
        <v>#REF!</v>
      </c>
      <c r="I297" s="135">
        <f>'Прайс для расчета (М)'!E296</f>
        <v>1548.75</v>
      </c>
      <c r="J297" s="36" t="e">
        <f t="shared" si="41"/>
        <v>#REF!</v>
      </c>
    </row>
    <row r="298" spans="2:10" ht="15.6" hidden="1" x14ac:dyDescent="0.25">
      <c r="B298" s="59"/>
      <c r="C298" s="69" t="s">
        <v>680</v>
      </c>
      <c r="D298" s="61" t="s">
        <v>2</v>
      </c>
      <c r="E298" s="62" t="e">
        <f t="shared" si="42"/>
        <v>#REF!</v>
      </c>
      <c r="F298" s="63">
        <f>'Прайс для расчета'!E310</f>
        <v>5040</v>
      </c>
      <c r="G298" s="64" t="e">
        <f t="shared" si="40"/>
        <v>#REF!</v>
      </c>
      <c r="I298" s="135">
        <f>'Прайс для расчета (М)'!E310</f>
        <v>2520</v>
      </c>
      <c r="J298" s="36" t="e">
        <f t="shared" si="41"/>
        <v>#REF!</v>
      </c>
    </row>
    <row r="299" spans="2:10" ht="15.6" hidden="1" x14ac:dyDescent="0.25">
      <c r="B299" s="59"/>
      <c r="C299" s="69" t="s">
        <v>679</v>
      </c>
      <c r="D299" s="61" t="s">
        <v>2</v>
      </c>
      <c r="E299" s="62" t="e">
        <f t="shared" si="42"/>
        <v>#REF!</v>
      </c>
      <c r="F299" s="63">
        <f>'Прайс для расчета'!E297</f>
        <v>1044.75</v>
      </c>
      <c r="G299" s="64" t="e">
        <f t="shared" si="40"/>
        <v>#REF!</v>
      </c>
      <c r="I299" s="135">
        <f>'Прайс для расчета (М)'!E297</f>
        <v>522.375</v>
      </c>
      <c r="J299" s="36" t="e">
        <f t="shared" si="41"/>
        <v>#REF!</v>
      </c>
    </row>
    <row r="300" spans="2:10" ht="15.6" hidden="1" x14ac:dyDescent="0.25">
      <c r="B300" s="59"/>
      <c r="C300" s="69" t="s">
        <v>895</v>
      </c>
      <c r="D300" s="61" t="s">
        <v>2</v>
      </c>
      <c r="E300" s="62" t="e">
        <f t="shared" si="42"/>
        <v>#REF!</v>
      </c>
      <c r="F300" s="63">
        <f>'Прайс для расчета'!E298</f>
        <v>593.25</v>
      </c>
      <c r="G300" s="64" t="e">
        <f t="shared" si="40"/>
        <v>#REF!</v>
      </c>
      <c r="I300" s="135">
        <f>'Прайс для расчета (М)'!E298</f>
        <v>296.625</v>
      </c>
      <c r="J300" s="36" t="e">
        <f t="shared" si="41"/>
        <v>#REF!</v>
      </c>
    </row>
    <row r="301" spans="2:10" ht="15.6" hidden="1" x14ac:dyDescent="0.25">
      <c r="B301" s="59"/>
      <c r="C301" s="69" t="s">
        <v>947</v>
      </c>
      <c r="D301" s="61" t="s">
        <v>2</v>
      </c>
      <c r="E301" s="62" t="e">
        <f t="shared" si="42"/>
        <v>#REF!</v>
      </c>
      <c r="F301" s="63">
        <f>'Прайс для расчета'!E299</f>
        <v>635.25</v>
      </c>
      <c r="G301" s="64" t="e">
        <f t="shared" si="40"/>
        <v>#REF!</v>
      </c>
      <c r="I301" s="135">
        <f>'Прайс для расчета (М)'!E299</f>
        <v>317.625</v>
      </c>
      <c r="J301" s="36" t="e">
        <f t="shared" si="41"/>
        <v>#REF!</v>
      </c>
    </row>
    <row r="302" spans="2:10" ht="31.2" hidden="1" x14ac:dyDescent="0.25">
      <c r="B302" s="59"/>
      <c r="C302" s="69" t="s">
        <v>1074</v>
      </c>
      <c r="D302" s="86" t="s">
        <v>2</v>
      </c>
      <c r="E302" s="62" t="e">
        <f t="shared" si="42"/>
        <v>#REF!</v>
      </c>
      <c r="F302" s="63">
        <f>'Прайс для расчета'!E300</f>
        <v>1181.25</v>
      </c>
      <c r="G302" s="64" t="e">
        <f t="shared" si="40"/>
        <v>#REF!</v>
      </c>
      <c r="I302" s="135">
        <f>'Прайс для расчета (М)'!E300</f>
        <v>590.625</v>
      </c>
      <c r="J302" s="36" t="e">
        <f t="shared" si="41"/>
        <v>#REF!</v>
      </c>
    </row>
    <row r="303" spans="2:10" ht="15.6" hidden="1" x14ac:dyDescent="0.25">
      <c r="B303" s="59"/>
      <c r="C303" s="69" t="s">
        <v>896</v>
      </c>
      <c r="D303" s="61" t="s">
        <v>2</v>
      </c>
      <c r="E303" s="62" t="e">
        <f t="shared" si="42"/>
        <v>#REF!</v>
      </c>
      <c r="F303" s="63">
        <f>'Прайс для расчета'!E301</f>
        <v>635.25</v>
      </c>
      <c r="G303" s="64" t="e">
        <f t="shared" si="40"/>
        <v>#REF!</v>
      </c>
      <c r="I303" s="135">
        <f>'Прайс для расчета (М)'!E301</f>
        <v>317.625</v>
      </c>
      <c r="J303" s="36" t="e">
        <f t="shared" si="41"/>
        <v>#REF!</v>
      </c>
    </row>
    <row r="304" spans="2:10" ht="15.6" x14ac:dyDescent="0.25">
      <c r="B304" s="59">
        <v>1</v>
      </c>
      <c r="C304" s="69" t="s">
        <v>897</v>
      </c>
      <c r="D304" s="61" t="s">
        <v>2</v>
      </c>
      <c r="E304" s="62">
        <v>7.08</v>
      </c>
      <c r="F304" s="63">
        <f>'Прайс для расчета'!E302</f>
        <v>498.75</v>
      </c>
      <c r="G304" s="64">
        <f t="shared" si="40"/>
        <v>3531.15</v>
      </c>
      <c r="I304" s="135">
        <f>'Прайс для расчета (М)'!E302</f>
        <v>249.375</v>
      </c>
      <c r="J304" s="36">
        <f t="shared" si="41"/>
        <v>1765.575</v>
      </c>
    </row>
    <row r="305" spans="2:10" ht="15.6" hidden="1" x14ac:dyDescent="0.25">
      <c r="B305" s="59"/>
      <c r="C305" s="69" t="s">
        <v>898</v>
      </c>
      <c r="D305" s="61" t="s">
        <v>3</v>
      </c>
      <c r="E305" s="62" t="e">
        <f t="shared" si="42"/>
        <v>#REF!</v>
      </c>
      <c r="F305" s="63">
        <f>'Прайс для расчета'!E303</f>
        <v>183.75</v>
      </c>
      <c r="G305" s="64" t="e">
        <f t="shared" si="40"/>
        <v>#REF!</v>
      </c>
      <c r="I305" s="135">
        <f>'Прайс для расчета (М)'!E303</f>
        <v>91.875</v>
      </c>
      <c r="J305" s="36" t="e">
        <f t="shared" si="41"/>
        <v>#REF!</v>
      </c>
    </row>
    <row r="306" spans="2:10" ht="15.6" hidden="1" x14ac:dyDescent="0.25">
      <c r="B306" s="59"/>
      <c r="C306" s="69" t="s">
        <v>899</v>
      </c>
      <c r="D306" s="61" t="s">
        <v>2</v>
      </c>
      <c r="E306" s="62" t="e">
        <f>$A$6</f>
        <v>#REF!</v>
      </c>
      <c r="F306" s="63">
        <f>'Прайс для расчета'!E304</f>
        <v>1181.25</v>
      </c>
      <c r="G306" s="64" t="e">
        <f t="shared" si="40"/>
        <v>#REF!</v>
      </c>
      <c r="I306" s="135">
        <f>'Прайс для расчета (М)'!E304</f>
        <v>590.625</v>
      </c>
      <c r="J306" s="36" t="e">
        <f t="shared" si="41"/>
        <v>#REF!</v>
      </c>
    </row>
    <row r="307" spans="2:10" ht="15.6" hidden="1" x14ac:dyDescent="0.25">
      <c r="B307" s="59"/>
      <c r="C307" s="69" t="s">
        <v>427</v>
      </c>
      <c r="D307" s="61" t="s">
        <v>2</v>
      </c>
      <c r="E307" s="62" t="e">
        <f>$A$6</f>
        <v>#REF!</v>
      </c>
      <c r="F307" s="63">
        <f>'Прайс для расчета'!E305</f>
        <v>1055.25</v>
      </c>
      <c r="G307" s="64" t="e">
        <f t="shared" si="40"/>
        <v>#REF!</v>
      </c>
      <c r="I307" s="135">
        <f>'Прайс для расчета (М)'!E305</f>
        <v>527.625</v>
      </c>
      <c r="J307" s="36" t="e">
        <f t="shared" si="41"/>
        <v>#REF!</v>
      </c>
    </row>
    <row r="308" spans="2:10" ht="15.6" hidden="1" x14ac:dyDescent="0.25">
      <c r="B308" s="59"/>
      <c r="C308" s="69" t="s">
        <v>528</v>
      </c>
      <c r="D308" s="61" t="s">
        <v>2</v>
      </c>
      <c r="E308" s="62" t="e">
        <f t="shared" ref="E308" si="43">$A$6</f>
        <v>#REF!</v>
      </c>
      <c r="F308" s="63">
        <f>'Прайс для расчета'!E306</f>
        <v>3990</v>
      </c>
      <c r="G308" s="64" t="e">
        <f t="shared" si="40"/>
        <v>#REF!</v>
      </c>
      <c r="I308" s="135">
        <f>'Прайс для расчета (М)'!E306</f>
        <v>1995</v>
      </c>
      <c r="J308" s="36" t="e">
        <f t="shared" si="41"/>
        <v>#REF!</v>
      </c>
    </row>
    <row r="309" spans="2:10" ht="15.6" hidden="1" x14ac:dyDescent="0.25">
      <c r="B309" s="59"/>
      <c r="C309" s="69" t="s">
        <v>429</v>
      </c>
      <c r="D309" s="61" t="s">
        <v>2</v>
      </c>
      <c r="E309" s="62">
        <v>7.08</v>
      </c>
      <c r="F309" s="63">
        <f>'Прайс для расчета'!E307</f>
        <v>472.5</v>
      </c>
      <c r="G309" s="64">
        <f t="shared" si="40"/>
        <v>3345.3</v>
      </c>
      <c r="I309" s="135">
        <f>'Прайс для расчета (М)'!E307</f>
        <v>236.25</v>
      </c>
      <c r="J309" s="36">
        <f t="shared" si="41"/>
        <v>1672.65</v>
      </c>
    </row>
    <row r="310" spans="2:10" ht="15.6" hidden="1" x14ac:dyDescent="0.25">
      <c r="B310" s="59"/>
      <c r="C310" s="69" t="s">
        <v>529</v>
      </c>
      <c r="D310" s="61" t="s">
        <v>2</v>
      </c>
      <c r="E310" s="62" t="e">
        <f>$A$6</f>
        <v>#REF!</v>
      </c>
      <c r="F310" s="63">
        <f>'Прайс для расчета'!E308</f>
        <v>787.5</v>
      </c>
      <c r="G310" s="64" t="e">
        <f t="shared" si="40"/>
        <v>#REF!</v>
      </c>
      <c r="I310" s="135">
        <f>'Прайс для расчета (М)'!E308</f>
        <v>393.75</v>
      </c>
      <c r="J310" s="36" t="e">
        <f t="shared" si="41"/>
        <v>#REF!</v>
      </c>
    </row>
    <row r="311" spans="2:10" ht="15.6" x14ac:dyDescent="0.25">
      <c r="B311" s="59">
        <v>1</v>
      </c>
      <c r="C311" s="69" t="s">
        <v>430</v>
      </c>
      <c r="D311" s="61" t="s">
        <v>2</v>
      </c>
      <c r="E311" s="62">
        <v>7.08</v>
      </c>
      <c r="F311" s="63">
        <f>'Прайс для расчета'!E309</f>
        <v>420</v>
      </c>
      <c r="G311" s="64">
        <f t="shared" si="40"/>
        <v>2973.6</v>
      </c>
      <c r="I311" s="135">
        <f>'Прайс для расчета (М)'!E309</f>
        <v>210</v>
      </c>
      <c r="J311" s="36">
        <f t="shared" si="41"/>
        <v>1486.8</v>
      </c>
    </row>
    <row r="312" spans="2:10" ht="15.6" hidden="1" x14ac:dyDescent="0.25">
      <c r="B312" s="59">
        <f>IF(SUM(B313:B319)&gt;0,1,0)</f>
        <v>0</v>
      </c>
      <c r="C312" s="67" t="s">
        <v>884</v>
      </c>
      <c r="D312" s="61"/>
      <c r="E312" s="62"/>
      <c r="F312" s="63"/>
      <c r="G312" s="64"/>
    </row>
    <row r="313" spans="2:10" ht="15.6" hidden="1" x14ac:dyDescent="0.25">
      <c r="B313" s="59"/>
      <c r="C313" s="65" t="s">
        <v>431</v>
      </c>
      <c r="D313" s="61" t="s">
        <v>3</v>
      </c>
      <c r="E313" s="62">
        <f>E210</f>
        <v>1</v>
      </c>
      <c r="F313" s="63">
        <f>'Прайс для расчета'!E311</f>
        <v>315</v>
      </c>
      <c r="G313" s="64">
        <f t="shared" ref="G313:G319" si="44">F313*E313</f>
        <v>315</v>
      </c>
      <c r="I313" s="135">
        <f>'Прайс для расчета (М)'!E311</f>
        <v>157.5</v>
      </c>
      <c r="J313" s="36">
        <f t="shared" ref="J313:J319" si="45">I313*E313</f>
        <v>157.5</v>
      </c>
    </row>
    <row r="314" spans="2:10" ht="15.6" hidden="1" x14ac:dyDescent="0.25">
      <c r="B314" s="59"/>
      <c r="C314" s="65" t="s">
        <v>432</v>
      </c>
      <c r="D314" s="61" t="s">
        <v>3</v>
      </c>
      <c r="E314" s="62">
        <f>E210</f>
        <v>1</v>
      </c>
      <c r="F314" s="63">
        <f>'Прайс для расчета'!E312</f>
        <v>367.5</v>
      </c>
      <c r="G314" s="64">
        <f t="shared" si="44"/>
        <v>367.5</v>
      </c>
      <c r="I314" s="135">
        <f>'Прайс для расчета (М)'!E312</f>
        <v>183.75</v>
      </c>
      <c r="J314" s="36">
        <f t="shared" si="45"/>
        <v>183.75</v>
      </c>
    </row>
    <row r="315" spans="2:10" ht="15.6" hidden="1" x14ac:dyDescent="0.25">
      <c r="B315" s="59"/>
      <c r="C315" s="65" t="s">
        <v>115</v>
      </c>
      <c r="D315" s="61" t="s">
        <v>3</v>
      </c>
      <c r="E315" s="62">
        <f>E210</f>
        <v>1</v>
      </c>
      <c r="F315" s="63">
        <f>'Прайс для расчета'!E313</f>
        <v>194.25</v>
      </c>
      <c r="G315" s="64">
        <f t="shared" si="44"/>
        <v>194.25</v>
      </c>
      <c r="I315" s="135">
        <f>'Прайс для расчета (М)'!E313</f>
        <v>97.125</v>
      </c>
      <c r="J315" s="36">
        <f t="shared" si="45"/>
        <v>97.125</v>
      </c>
    </row>
    <row r="316" spans="2:10" ht="15.6" hidden="1" x14ac:dyDescent="0.25">
      <c r="B316" s="59"/>
      <c r="C316" s="65" t="s">
        <v>433</v>
      </c>
      <c r="D316" s="61" t="s">
        <v>3</v>
      </c>
      <c r="E316" s="62">
        <f>E210</f>
        <v>1</v>
      </c>
      <c r="F316" s="63">
        <f>'Прайс для расчета'!E314</f>
        <v>735</v>
      </c>
      <c r="G316" s="64">
        <f t="shared" si="44"/>
        <v>735</v>
      </c>
      <c r="I316" s="135">
        <f>'Прайс для расчета (М)'!E314</f>
        <v>367.5</v>
      </c>
      <c r="J316" s="36">
        <f t="shared" si="45"/>
        <v>367.5</v>
      </c>
    </row>
    <row r="317" spans="2:10" ht="15.6" hidden="1" x14ac:dyDescent="0.25">
      <c r="B317" s="59"/>
      <c r="C317" s="65" t="s">
        <v>434</v>
      </c>
      <c r="D317" s="61" t="s">
        <v>3</v>
      </c>
      <c r="E317" s="62">
        <f>E210</f>
        <v>1</v>
      </c>
      <c r="F317" s="63">
        <f>'Прайс для расчета'!E315</f>
        <v>1349.25</v>
      </c>
      <c r="G317" s="64">
        <f t="shared" si="44"/>
        <v>1349.25</v>
      </c>
      <c r="I317" s="135">
        <f>'Прайс для расчета (М)'!E315</f>
        <v>674.625</v>
      </c>
      <c r="J317" s="36">
        <f t="shared" si="45"/>
        <v>674.625</v>
      </c>
    </row>
    <row r="318" spans="2:10" ht="15.6" hidden="1" x14ac:dyDescent="0.25">
      <c r="B318" s="59"/>
      <c r="C318" s="65" t="s">
        <v>1075</v>
      </c>
      <c r="D318" s="61" t="s">
        <v>3</v>
      </c>
      <c r="E318" s="62">
        <f>E210</f>
        <v>1</v>
      </c>
      <c r="F318" s="63">
        <f>'Прайс для расчета'!E316</f>
        <v>0</v>
      </c>
      <c r="G318" s="64">
        <f t="shared" si="44"/>
        <v>0</v>
      </c>
      <c r="I318" s="135">
        <f>'Прайс для расчета (М)'!E316</f>
        <v>0</v>
      </c>
      <c r="J318" s="36">
        <f t="shared" si="45"/>
        <v>0</v>
      </c>
    </row>
    <row r="319" spans="2:10" ht="15.6" hidden="1" x14ac:dyDescent="0.25">
      <c r="B319" s="59"/>
      <c r="C319" s="65" t="s">
        <v>435</v>
      </c>
      <c r="D319" s="61" t="s">
        <v>3</v>
      </c>
      <c r="E319" s="62">
        <f>E318</f>
        <v>1</v>
      </c>
      <c r="F319" s="63">
        <f>'Прайс для расчета'!E317</f>
        <v>1464.75</v>
      </c>
      <c r="G319" s="64">
        <f t="shared" si="44"/>
        <v>1464.75</v>
      </c>
      <c r="I319" s="135">
        <f>'Прайс для расчета (М)'!E317</f>
        <v>732.375</v>
      </c>
      <c r="J319" s="36">
        <f t="shared" si="45"/>
        <v>732.375</v>
      </c>
    </row>
    <row r="320" spans="2:10" ht="15.6" hidden="1" x14ac:dyDescent="0.25">
      <c r="B320" s="59">
        <f>IF(SUM(B321:B333)&gt;0,1,0)</f>
        <v>0</v>
      </c>
      <c r="C320" s="67" t="s">
        <v>879</v>
      </c>
      <c r="D320" s="61"/>
      <c r="E320" s="62"/>
      <c r="F320" s="63"/>
      <c r="G320" s="64"/>
    </row>
    <row r="321" spans="2:10" ht="15.6" hidden="1" x14ac:dyDescent="0.25">
      <c r="B321" s="59"/>
      <c r="C321" s="65" t="s">
        <v>436</v>
      </c>
      <c r="D321" s="61" t="s">
        <v>2</v>
      </c>
      <c r="E321" s="62">
        <f>$A$4</f>
        <v>2.46</v>
      </c>
      <c r="F321" s="63">
        <f>'Прайс для расчета'!E318</f>
        <v>577.5</v>
      </c>
      <c r="G321" s="64">
        <f t="shared" ref="G321:G333" si="46">F321*E321</f>
        <v>1420.65</v>
      </c>
      <c r="I321" s="135">
        <f>'Прайс для расчета (М)'!E318</f>
        <v>288.75</v>
      </c>
      <c r="J321" s="36">
        <f t="shared" ref="J321:J333" si="47">I321*E321</f>
        <v>710.32500000000005</v>
      </c>
    </row>
    <row r="322" spans="2:10" ht="15.6" hidden="1" x14ac:dyDescent="0.25">
      <c r="B322" s="59"/>
      <c r="C322" s="65" t="s">
        <v>437</v>
      </c>
      <c r="D322" s="61" t="s">
        <v>2</v>
      </c>
      <c r="E322" s="62">
        <f>$A$4</f>
        <v>2.46</v>
      </c>
      <c r="F322" s="63">
        <f>'Прайс для расчета'!E319</f>
        <v>1396.5</v>
      </c>
      <c r="G322" s="64">
        <f t="shared" si="46"/>
        <v>3435.39</v>
      </c>
      <c r="I322" s="135">
        <f>'Прайс для расчета (М)'!E319</f>
        <v>698.25</v>
      </c>
      <c r="J322" s="36">
        <f t="shared" si="47"/>
        <v>1717.6949999999999</v>
      </c>
    </row>
    <row r="323" spans="2:10" ht="15.6" hidden="1" x14ac:dyDescent="0.25">
      <c r="B323" s="59"/>
      <c r="C323" s="65" t="s">
        <v>438</v>
      </c>
      <c r="D323" s="61" t="s">
        <v>2</v>
      </c>
      <c r="E323" s="62">
        <f>$A$4</f>
        <v>2.46</v>
      </c>
      <c r="F323" s="63">
        <f>'Прайс для расчета'!E320</f>
        <v>1291.5</v>
      </c>
      <c r="G323" s="64">
        <f t="shared" si="46"/>
        <v>3177.09</v>
      </c>
      <c r="I323" s="135">
        <f>'Прайс для расчета (М)'!E320</f>
        <v>645.75</v>
      </c>
      <c r="J323" s="36">
        <f t="shared" si="47"/>
        <v>1588.5450000000001</v>
      </c>
    </row>
    <row r="324" spans="2:10" ht="15.6" hidden="1" x14ac:dyDescent="0.25">
      <c r="B324" s="59"/>
      <c r="C324" s="65" t="s">
        <v>439</v>
      </c>
      <c r="D324" s="61" t="s">
        <v>2</v>
      </c>
      <c r="E324" s="62">
        <f>$A$4</f>
        <v>2.46</v>
      </c>
      <c r="F324" s="63">
        <f>'Прайс для расчета'!E321</f>
        <v>1386</v>
      </c>
      <c r="G324" s="64">
        <f t="shared" si="46"/>
        <v>3409.56</v>
      </c>
      <c r="I324" s="135">
        <f>'Прайс для расчета (М)'!E321</f>
        <v>693</v>
      </c>
      <c r="J324" s="36">
        <f t="shared" si="47"/>
        <v>1704.78</v>
      </c>
    </row>
    <row r="325" spans="2:10" ht="15.6" hidden="1" x14ac:dyDescent="0.25">
      <c r="B325" s="59"/>
      <c r="C325" s="65" t="s">
        <v>440</v>
      </c>
      <c r="D325" s="61" t="s">
        <v>2</v>
      </c>
      <c r="E325" s="62">
        <f>$A$4</f>
        <v>2.46</v>
      </c>
      <c r="F325" s="63">
        <f>'Прайс для расчета'!E322</f>
        <v>1281</v>
      </c>
      <c r="G325" s="64">
        <f t="shared" si="46"/>
        <v>3151.2599999999998</v>
      </c>
      <c r="I325" s="135">
        <f>'Прайс для расчета (М)'!E322</f>
        <v>640.5</v>
      </c>
      <c r="J325" s="36">
        <f t="shared" si="47"/>
        <v>1575.6299999999999</v>
      </c>
    </row>
    <row r="326" spans="2:10" ht="15.6" hidden="1" x14ac:dyDescent="0.25">
      <c r="B326" s="59"/>
      <c r="C326" s="65" t="s">
        <v>441</v>
      </c>
      <c r="D326" s="61" t="s">
        <v>645</v>
      </c>
      <c r="E326" s="62">
        <f>$A$2</f>
        <v>6.94</v>
      </c>
      <c r="F326" s="63">
        <f>'Прайс для расчета'!E323</f>
        <v>330.75</v>
      </c>
      <c r="G326" s="64">
        <f t="shared" si="46"/>
        <v>2295.4050000000002</v>
      </c>
      <c r="I326" s="135">
        <f>'Прайс для расчета (М)'!E323</f>
        <v>165.375</v>
      </c>
      <c r="J326" s="36">
        <f t="shared" si="47"/>
        <v>1147.7025000000001</v>
      </c>
    </row>
    <row r="327" spans="2:10" ht="15.6" hidden="1" x14ac:dyDescent="0.25">
      <c r="B327" s="59"/>
      <c r="C327" s="65" t="s">
        <v>531</v>
      </c>
      <c r="D327" s="61" t="s">
        <v>645</v>
      </c>
      <c r="E327" s="62">
        <f>$A$2</f>
        <v>6.94</v>
      </c>
      <c r="F327" s="63">
        <f>'Прайс для расчета'!E324</f>
        <v>866.25</v>
      </c>
      <c r="G327" s="64">
        <f t="shared" si="46"/>
        <v>6011.7750000000005</v>
      </c>
      <c r="I327" s="135">
        <f>'Прайс для расчета (М)'!E324</f>
        <v>433.125</v>
      </c>
      <c r="J327" s="36">
        <f t="shared" si="47"/>
        <v>3005.8875000000003</v>
      </c>
    </row>
    <row r="328" spans="2:10" ht="15.6" hidden="1" x14ac:dyDescent="0.25">
      <c r="B328" s="59"/>
      <c r="C328" s="65" t="s">
        <v>532</v>
      </c>
      <c r="D328" s="61" t="s">
        <v>645</v>
      </c>
      <c r="E328" s="62">
        <f>$A$2</f>
        <v>6.94</v>
      </c>
      <c r="F328" s="63">
        <f>'Прайс для расчета'!E325</f>
        <v>1097.376</v>
      </c>
      <c r="G328" s="64">
        <f t="shared" si="46"/>
        <v>7615.7894400000005</v>
      </c>
      <c r="I328" s="135">
        <f>'Прайс для расчета (М)'!E325</f>
        <v>548.68799999999999</v>
      </c>
      <c r="J328" s="36">
        <f t="shared" si="47"/>
        <v>3807.8947200000002</v>
      </c>
    </row>
    <row r="329" spans="2:10" ht="15.6" hidden="1" x14ac:dyDescent="0.25">
      <c r="B329" s="59"/>
      <c r="C329" s="65" t="s">
        <v>533</v>
      </c>
      <c r="D329" s="61" t="s">
        <v>645</v>
      </c>
      <c r="E329" s="62">
        <f>$A$2</f>
        <v>6.94</v>
      </c>
      <c r="F329" s="63">
        <f>'Прайс для расчета'!E326</f>
        <v>852.6</v>
      </c>
      <c r="G329" s="64">
        <f t="shared" si="46"/>
        <v>5917.0440000000008</v>
      </c>
      <c r="I329" s="135">
        <f>'Прайс для расчета (М)'!E326</f>
        <v>426.3</v>
      </c>
      <c r="J329" s="36">
        <f t="shared" si="47"/>
        <v>2958.5220000000004</v>
      </c>
    </row>
    <row r="330" spans="2:10" ht="15.6" hidden="1" x14ac:dyDescent="0.25">
      <c r="B330" s="59"/>
      <c r="C330" s="65" t="s">
        <v>442</v>
      </c>
      <c r="D330" s="61" t="s">
        <v>645</v>
      </c>
      <c r="E330" s="62">
        <f>$A$2</f>
        <v>6.94</v>
      </c>
      <c r="F330" s="63">
        <f>'Прайс для расчета'!E327</f>
        <v>225.75</v>
      </c>
      <c r="G330" s="64">
        <f t="shared" si="46"/>
        <v>1566.7050000000002</v>
      </c>
      <c r="I330" s="135">
        <f>'Прайс для расчета (М)'!E327</f>
        <v>112.875</v>
      </c>
      <c r="J330" s="36">
        <f t="shared" si="47"/>
        <v>783.35250000000008</v>
      </c>
    </row>
    <row r="331" spans="2:10" ht="15.6" hidden="1" x14ac:dyDescent="0.25">
      <c r="B331" s="59"/>
      <c r="C331" s="65" t="s">
        <v>443</v>
      </c>
      <c r="D331" s="61" t="s">
        <v>2</v>
      </c>
      <c r="E331" s="62">
        <f>$A$4</f>
        <v>2.46</v>
      </c>
      <c r="F331" s="63">
        <f>'Прайс для расчета'!E328</f>
        <v>462</v>
      </c>
      <c r="G331" s="64">
        <f t="shared" si="46"/>
        <v>1136.52</v>
      </c>
      <c r="I331" s="135">
        <f>'Прайс для расчета (М)'!E328</f>
        <v>231</v>
      </c>
      <c r="J331" s="36">
        <f t="shared" si="47"/>
        <v>568.26</v>
      </c>
    </row>
    <row r="332" spans="2:10" ht="15.6" hidden="1" x14ac:dyDescent="0.25">
      <c r="B332" s="59"/>
      <c r="C332" s="65" t="s">
        <v>534</v>
      </c>
      <c r="D332" s="61" t="s">
        <v>2</v>
      </c>
      <c r="E332" s="62">
        <f>$A$4</f>
        <v>2.46</v>
      </c>
      <c r="F332" s="63">
        <f>'Прайс для расчета'!E329</f>
        <v>1060.5</v>
      </c>
      <c r="G332" s="64">
        <f t="shared" si="46"/>
        <v>2608.83</v>
      </c>
      <c r="I332" s="135">
        <f>'Прайс для расчета (М)'!E329</f>
        <v>530.25</v>
      </c>
      <c r="J332" s="36">
        <f t="shared" si="47"/>
        <v>1304.415</v>
      </c>
    </row>
    <row r="333" spans="2:10" ht="15.6" hidden="1" x14ac:dyDescent="0.25">
      <c r="B333" s="59"/>
      <c r="C333" s="65" t="s">
        <v>444</v>
      </c>
      <c r="D333" s="61" t="s">
        <v>2</v>
      </c>
      <c r="E333" s="62">
        <f>$A$4</f>
        <v>2.46</v>
      </c>
      <c r="F333" s="63">
        <f>'Прайс для расчета'!E330</f>
        <v>735</v>
      </c>
      <c r="G333" s="64">
        <f t="shared" si="46"/>
        <v>1808.1</v>
      </c>
      <c r="I333" s="135">
        <f>'Прайс для расчета (М)'!E330</f>
        <v>367.5</v>
      </c>
      <c r="J333" s="36">
        <f t="shared" si="47"/>
        <v>904.05</v>
      </c>
    </row>
    <row r="334" spans="2:10" ht="15.6" hidden="1" x14ac:dyDescent="0.25">
      <c r="B334" s="59">
        <f>IF(SUM(B335:B353)&gt;0,1,0)</f>
        <v>0</v>
      </c>
      <c r="C334" s="67" t="s">
        <v>880</v>
      </c>
      <c r="D334" s="61"/>
      <c r="E334" s="62"/>
      <c r="F334" s="63"/>
      <c r="G334" s="64"/>
    </row>
    <row r="335" spans="2:10" ht="15.6" hidden="1" x14ac:dyDescent="0.25">
      <c r="B335" s="59"/>
      <c r="C335" s="65" t="s">
        <v>118</v>
      </c>
      <c r="D335" s="61" t="s">
        <v>0</v>
      </c>
      <c r="E335" s="62">
        <v>1</v>
      </c>
      <c r="F335" s="63">
        <f>'Прайс для расчета'!E331</f>
        <v>525</v>
      </c>
      <c r="G335" s="64">
        <f t="shared" ref="G335:G353" si="48">F335*E335</f>
        <v>525</v>
      </c>
      <c r="I335" s="135">
        <f>'Прайс для расчета (М)'!E331</f>
        <v>262.5</v>
      </c>
      <c r="J335" s="36">
        <f t="shared" ref="J335:J353" si="49">I335*E335</f>
        <v>262.5</v>
      </c>
    </row>
    <row r="336" spans="2:10" ht="15.6" hidden="1" x14ac:dyDescent="0.25">
      <c r="B336" s="59"/>
      <c r="C336" s="65" t="s">
        <v>119</v>
      </c>
      <c r="D336" s="61" t="s">
        <v>0</v>
      </c>
      <c r="E336" s="62">
        <v>1</v>
      </c>
      <c r="F336" s="63">
        <f>'Прайс для расчета'!E332</f>
        <v>945</v>
      </c>
      <c r="G336" s="64">
        <f t="shared" si="48"/>
        <v>945</v>
      </c>
      <c r="I336" s="135">
        <f>'Прайс для расчета (М)'!E332</f>
        <v>472.5</v>
      </c>
      <c r="J336" s="36">
        <f t="shared" si="49"/>
        <v>472.5</v>
      </c>
    </row>
    <row r="337" spans="2:10" ht="15.6" hidden="1" x14ac:dyDescent="0.25">
      <c r="B337" s="59"/>
      <c r="C337" s="65" t="s">
        <v>120</v>
      </c>
      <c r="D337" s="61" t="s">
        <v>0</v>
      </c>
      <c r="E337" s="62">
        <v>1</v>
      </c>
      <c r="F337" s="63">
        <f>'Прайс для расчета'!E333</f>
        <v>1575</v>
      </c>
      <c r="G337" s="64">
        <f t="shared" si="48"/>
        <v>1575</v>
      </c>
      <c r="I337" s="135">
        <f>'Прайс для расчета (М)'!E333</f>
        <v>787.5</v>
      </c>
      <c r="J337" s="36">
        <f t="shared" si="49"/>
        <v>787.5</v>
      </c>
    </row>
    <row r="338" spans="2:10" ht="15.6" hidden="1" x14ac:dyDescent="0.25">
      <c r="B338" s="59"/>
      <c r="C338" s="65" t="s">
        <v>121</v>
      </c>
      <c r="D338" s="61" t="s">
        <v>0</v>
      </c>
      <c r="E338" s="62">
        <v>1</v>
      </c>
      <c r="F338" s="63">
        <f>'Прайс для расчета'!E334</f>
        <v>840</v>
      </c>
      <c r="G338" s="64">
        <f t="shared" si="48"/>
        <v>840</v>
      </c>
      <c r="I338" s="135">
        <f>'Прайс для расчета (М)'!E334</f>
        <v>420</v>
      </c>
      <c r="J338" s="36">
        <f t="shared" si="49"/>
        <v>420</v>
      </c>
    </row>
    <row r="339" spans="2:10" ht="15.6" hidden="1" x14ac:dyDescent="0.25">
      <c r="B339" s="59"/>
      <c r="C339" s="65" t="s">
        <v>122</v>
      </c>
      <c r="D339" s="61" t="s">
        <v>3</v>
      </c>
      <c r="E339" s="62">
        <v>1</v>
      </c>
      <c r="F339" s="63">
        <f>'Прайс для расчета'!E335</f>
        <v>273</v>
      </c>
      <c r="G339" s="64">
        <f t="shared" si="48"/>
        <v>273</v>
      </c>
      <c r="I339" s="135">
        <f>'Прайс для расчета (М)'!E335</f>
        <v>136.5</v>
      </c>
      <c r="J339" s="36">
        <f t="shared" si="49"/>
        <v>136.5</v>
      </c>
    </row>
    <row r="340" spans="2:10" ht="15.6" hidden="1" x14ac:dyDescent="0.25">
      <c r="B340" s="59"/>
      <c r="C340" s="65" t="s">
        <v>123</v>
      </c>
      <c r="D340" s="61" t="s">
        <v>2</v>
      </c>
      <c r="E340" s="62">
        <v>1</v>
      </c>
      <c r="F340" s="63">
        <f>'Прайс для расчета'!E336</f>
        <v>1890</v>
      </c>
      <c r="G340" s="64">
        <f t="shared" si="48"/>
        <v>1890</v>
      </c>
      <c r="I340" s="135">
        <f>'Прайс для расчета (М)'!E336</f>
        <v>945</v>
      </c>
      <c r="J340" s="36">
        <f t="shared" si="49"/>
        <v>945</v>
      </c>
    </row>
    <row r="341" spans="2:10" ht="15.6" hidden="1" x14ac:dyDescent="0.25">
      <c r="B341" s="59"/>
      <c r="C341" s="65" t="s">
        <v>124</v>
      </c>
      <c r="D341" s="61" t="s">
        <v>3</v>
      </c>
      <c r="E341" s="62">
        <v>1</v>
      </c>
      <c r="F341" s="63">
        <f>'Прайс для расчета'!E337</f>
        <v>346.5</v>
      </c>
      <c r="G341" s="64">
        <f t="shared" si="48"/>
        <v>346.5</v>
      </c>
      <c r="I341" s="135">
        <f>'Прайс для расчета (М)'!E337</f>
        <v>173.25</v>
      </c>
      <c r="J341" s="36">
        <f t="shared" si="49"/>
        <v>173.25</v>
      </c>
    </row>
    <row r="342" spans="2:10" ht="15.6" hidden="1" x14ac:dyDescent="0.25">
      <c r="B342" s="59"/>
      <c r="C342" s="65" t="s">
        <v>681</v>
      </c>
      <c r="D342" s="61" t="s">
        <v>0</v>
      </c>
      <c r="E342" s="62">
        <v>1</v>
      </c>
      <c r="F342" s="63">
        <f>'Прайс для расчета'!E338</f>
        <v>4179</v>
      </c>
      <c r="G342" s="64">
        <f t="shared" si="48"/>
        <v>4179</v>
      </c>
      <c r="I342" s="135">
        <f>'Прайс для расчета (М)'!E338</f>
        <v>2089.5</v>
      </c>
      <c r="J342" s="36">
        <f t="shared" si="49"/>
        <v>2089.5</v>
      </c>
    </row>
    <row r="343" spans="2:10" ht="15.6" hidden="1" x14ac:dyDescent="0.25">
      <c r="B343" s="59"/>
      <c r="C343" s="65" t="s">
        <v>228</v>
      </c>
      <c r="D343" s="61" t="s">
        <v>0</v>
      </c>
      <c r="E343" s="62">
        <v>1</v>
      </c>
      <c r="F343" s="63">
        <f>'Прайс для расчета'!E339</f>
        <v>3255</v>
      </c>
      <c r="G343" s="64">
        <f t="shared" si="48"/>
        <v>3255</v>
      </c>
      <c r="I343" s="135">
        <f>'Прайс для расчета (М)'!E339</f>
        <v>1627.5</v>
      </c>
      <c r="J343" s="36">
        <f t="shared" si="49"/>
        <v>1627.5</v>
      </c>
    </row>
    <row r="344" spans="2:10" ht="15.6" hidden="1" x14ac:dyDescent="0.25">
      <c r="B344" s="59"/>
      <c r="C344" s="65" t="s">
        <v>132</v>
      </c>
      <c r="D344" s="61" t="s">
        <v>0</v>
      </c>
      <c r="E344" s="62">
        <v>1</v>
      </c>
      <c r="F344" s="63">
        <f>'Прайс для расчета'!E340</f>
        <v>1176</v>
      </c>
      <c r="G344" s="64">
        <f t="shared" si="48"/>
        <v>1176</v>
      </c>
      <c r="I344" s="135">
        <f>'Прайс для расчета (М)'!E340</f>
        <v>588</v>
      </c>
      <c r="J344" s="36">
        <f t="shared" si="49"/>
        <v>588</v>
      </c>
    </row>
    <row r="345" spans="2:10" ht="15.6" hidden="1" x14ac:dyDescent="0.25">
      <c r="B345" s="59"/>
      <c r="C345" s="65" t="s">
        <v>125</v>
      </c>
      <c r="D345" s="61" t="s">
        <v>0</v>
      </c>
      <c r="E345" s="62">
        <v>1</v>
      </c>
      <c r="F345" s="63">
        <f>'Прайс для расчета'!E341</f>
        <v>367.5</v>
      </c>
      <c r="G345" s="64">
        <f t="shared" si="48"/>
        <v>367.5</v>
      </c>
      <c r="I345" s="135">
        <f>'Прайс для расчета (М)'!E341</f>
        <v>183.75</v>
      </c>
      <c r="J345" s="36">
        <f t="shared" si="49"/>
        <v>183.75</v>
      </c>
    </row>
    <row r="346" spans="2:10" ht="15.6" hidden="1" x14ac:dyDescent="0.25">
      <c r="B346" s="59"/>
      <c r="C346" s="65" t="s">
        <v>126</v>
      </c>
      <c r="D346" s="61" t="s">
        <v>3</v>
      </c>
      <c r="E346" s="62">
        <v>1</v>
      </c>
      <c r="F346" s="63">
        <f>'Прайс для расчета'!E342</f>
        <v>199.5</v>
      </c>
      <c r="G346" s="64">
        <f t="shared" si="48"/>
        <v>199.5</v>
      </c>
      <c r="I346" s="135">
        <f>'Прайс для расчета (М)'!E342</f>
        <v>99.75</v>
      </c>
      <c r="J346" s="36">
        <f t="shared" si="49"/>
        <v>99.75</v>
      </c>
    </row>
    <row r="347" spans="2:10" ht="15.6" hidden="1" x14ac:dyDescent="0.25">
      <c r="B347" s="59"/>
      <c r="C347" s="65" t="s">
        <v>127</v>
      </c>
      <c r="D347" s="61" t="s">
        <v>2</v>
      </c>
      <c r="E347" s="62">
        <v>1</v>
      </c>
      <c r="F347" s="63">
        <f>'Прайс для расчета'!E343</f>
        <v>1995</v>
      </c>
      <c r="G347" s="64">
        <f t="shared" si="48"/>
        <v>1995</v>
      </c>
      <c r="I347" s="135">
        <f>'Прайс для расчета (М)'!E343</f>
        <v>997.5</v>
      </c>
      <c r="J347" s="36">
        <f t="shared" si="49"/>
        <v>997.5</v>
      </c>
    </row>
    <row r="348" spans="2:10" ht="15.6" hidden="1" x14ac:dyDescent="0.25">
      <c r="B348" s="59"/>
      <c r="C348" s="65" t="s">
        <v>535</v>
      </c>
      <c r="D348" s="61" t="s">
        <v>2</v>
      </c>
      <c r="E348" s="62">
        <v>1</v>
      </c>
      <c r="F348" s="63">
        <f>'Прайс для расчета'!E344</f>
        <v>840</v>
      </c>
      <c r="G348" s="64">
        <f t="shared" si="48"/>
        <v>840</v>
      </c>
      <c r="I348" s="135">
        <f>'Прайс для расчета (М)'!E344</f>
        <v>420</v>
      </c>
      <c r="J348" s="36">
        <f t="shared" si="49"/>
        <v>420</v>
      </c>
    </row>
    <row r="349" spans="2:10" ht="15.6" hidden="1" x14ac:dyDescent="0.25">
      <c r="B349" s="59"/>
      <c r="C349" s="65" t="s">
        <v>536</v>
      </c>
      <c r="D349" s="61" t="s">
        <v>0</v>
      </c>
      <c r="E349" s="62">
        <v>1</v>
      </c>
      <c r="F349" s="63">
        <f>'Прайс для расчета'!E345</f>
        <v>3097.5</v>
      </c>
      <c r="G349" s="64">
        <f t="shared" si="48"/>
        <v>3097.5</v>
      </c>
      <c r="I349" s="135">
        <f>'Прайс для расчета (М)'!E345</f>
        <v>1548.75</v>
      </c>
      <c r="J349" s="36">
        <f t="shared" si="49"/>
        <v>1548.75</v>
      </c>
    </row>
    <row r="350" spans="2:10" ht="15.6" hidden="1" x14ac:dyDescent="0.25">
      <c r="B350" s="59"/>
      <c r="C350" s="65" t="s">
        <v>128</v>
      </c>
      <c r="D350" s="61" t="s">
        <v>2</v>
      </c>
      <c r="E350" s="62">
        <v>1</v>
      </c>
      <c r="F350" s="63">
        <f>'Прайс для расчета'!E346</f>
        <v>1029</v>
      </c>
      <c r="G350" s="64">
        <f t="shared" si="48"/>
        <v>1029</v>
      </c>
      <c r="I350" s="135">
        <f>'Прайс для расчета (М)'!E346</f>
        <v>514.5</v>
      </c>
      <c r="J350" s="36">
        <f t="shared" si="49"/>
        <v>514.5</v>
      </c>
    </row>
    <row r="351" spans="2:10" ht="15.6" hidden="1" x14ac:dyDescent="0.25">
      <c r="B351" s="59"/>
      <c r="C351" s="65" t="s">
        <v>129</v>
      </c>
      <c r="D351" s="61" t="s">
        <v>3</v>
      </c>
      <c r="E351" s="62">
        <v>1</v>
      </c>
      <c r="F351" s="63">
        <f>'Прайс для расчета'!E347</f>
        <v>1627.5</v>
      </c>
      <c r="G351" s="64">
        <f t="shared" si="48"/>
        <v>1627.5</v>
      </c>
      <c r="I351" s="135">
        <f>'Прайс для расчета (М)'!E347</f>
        <v>813.75</v>
      </c>
      <c r="J351" s="36">
        <f t="shared" si="49"/>
        <v>813.75</v>
      </c>
    </row>
    <row r="352" spans="2:10" ht="15.6" hidden="1" x14ac:dyDescent="0.25">
      <c r="B352" s="59"/>
      <c r="C352" s="65" t="s">
        <v>130</v>
      </c>
      <c r="D352" s="61" t="s">
        <v>3</v>
      </c>
      <c r="E352" s="62">
        <v>1</v>
      </c>
      <c r="F352" s="63">
        <f>'Прайс для расчета'!E348</f>
        <v>1627.5</v>
      </c>
      <c r="G352" s="64">
        <f t="shared" si="48"/>
        <v>1627.5</v>
      </c>
      <c r="I352" s="135">
        <f>'Прайс для расчета (М)'!E348</f>
        <v>813.75</v>
      </c>
      <c r="J352" s="36">
        <f t="shared" si="49"/>
        <v>813.75</v>
      </c>
    </row>
    <row r="353" spans="2:10" ht="15.6" hidden="1" x14ac:dyDescent="0.25">
      <c r="B353" s="59"/>
      <c r="C353" s="65" t="s">
        <v>131</v>
      </c>
      <c r="D353" s="61" t="s">
        <v>3</v>
      </c>
      <c r="E353" s="62">
        <v>1</v>
      </c>
      <c r="F353" s="63">
        <f>'Прайс для расчета'!E349</f>
        <v>420</v>
      </c>
      <c r="G353" s="64">
        <f t="shared" si="48"/>
        <v>420</v>
      </c>
      <c r="I353" s="135">
        <f>'Прайс для расчета (М)'!E349</f>
        <v>210</v>
      </c>
      <c r="J353" s="36">
        <f t="shared" si="49"/>
        <v>210</v>
      </c>
    </row>
    <row r="354" spans="2:10" ht="15.6" hidden="1" x14ac:dyDescent="0.25">
      <c r="B354" s="59">
        <f>IF(SUM(B355:B361)&gt;0,1,0)</f>
        <v>0</v>
      </c>
      <c r="C354" s="67" t="s">
        <v>881</v>
      </c>
      <c r="D354" s="61"/>
      <c r="E354" s="62"/>
      <c r="F354" s="63"/>
      <c r="G354" s="64"/>
    </row>
    <row r="355" spans="2:10" ht="15.6" hidden="1" x14ac:dyDescent="0.25">
      <c r="B355" s="59"/>
      <c r="C355" s="69" t="s">
        <v>445</v>
      </c>
      <c r="D355" s="61" t="s">
        <v>3</v>
      </c>
      <c r="E355" s="62">
        <f>E7</f>
        <v>0</v>
      </c>
      <c r="F355" s="63">
        <f>'Прайс для расчета'!E351</f>
        <v>404.25</v>
      </c>
      <c r="G355" s="64">
        <f t="shared" ref="G355:G361" si="50">F355*E355</f>
        <v>0</v>
      </c>
      <c r="I355" s="135">
        <f>'Прайс для расчета (М)'!E351</f>
        <v>202.125</v>
      </c>
      <c r="J355" s="36">
        <f t="shared" ref="J355:J361" si="51">I355*E355</f>
        <v>0</v>
      </c>
    </row>
    <row r="356" spans="2:10" ht="15.6" hidden="1" x14ac:dyDescent="0.25">
      <c r="B356" s="59"/>
      <c r="C356" s="69" t="s">
        <v>8</v>
      </c>
      <c r="D356" s="61" t="s">
        <v>2</v>
      </c>
      <c r="E356" s="62">
        <v>1</v>
      </c>
      <c r="F356" s="63">
        <f>'Прайс для расчета'!E352</f>
        <v>3858.7080000000001</v>
      </c>
      <c r="G356" s="64">
        <f t="shared" si="50"/>
        <v>3858.7080000000001</v>
      </c>
      <c r="I356" s="135">
        <f>'Прайс для расчета (М)'!E352</f>
        <v>1929.354</v>
      </c>
      <c r="J356" s="36">
        <f t="shared" si="51"/>
        <v>1929.354</v>
      </c>
    </row>
    <row r="357" spans="2:10" ht="15.6" hidden="1" x14ac:dyDescent="0.25">
      <c r="B357" s="59"/>
      <c r="C357" s="69" t="s">
        <v>446</v>
      </c>
      <c r="D357" s="61" t="s">
        <v>0</v>
      </c>
      <c r="E357" s="62">
        <v>1</v>
      </c>
      <c r="F357" s="63">
        <f>'Прайс для расчета'!E353</f>
        <v>1044.75</v>
      </c>
      <c r="G357" s="64">
        <f t="shared" si="50"/>
        <v>1044.75</v>
      </c>
      <c r="I357" s="135">
        <f>'Прайс для расчета (М)'!E353</f>
        <v>522.375</v>
      </c>
      <c r="J357" s="36">
        <f t="shared" si="51"/>
        <v>522.375</v>
      </c>
    </row>
    <row r="358" spans="2:10" ht="15.6" hidden="1" x14ac:dyDescent="0.25">
      <c r="B358" s="59"/>
      <c r="C358" s="69" t="s">
        <v>447</v>
      </c>
      <c r="D358" s="61" t="s">
        <v>0</v>
      </c>
      <c r="E358" s="62">
        <v>1</v>
      </c>
      <c r="F358" s="63">
        <f>'Прайс для расчета'!E354</f>
        <v>1522.5</v>
      </c>
      <c r="G358" s="64">
        <f t="shared" si="50"/>
        <v>1522.5</v>
      </c>
      <c r="I358" s="135">
        <f>'Прайс для расчета (М)'!E354</f>
        <v>761.25</v>
      </c>
      <c r="J358" s="36">
        <f t="shared" si="51"/>
        <v>761.25</v>
      </c>
    </row>
    <row r="359" spans="2:10" ht="15.6" hidden="1" x14ac:dyDescent="0.25">
      <c r="B359" s="59"/>
      <c r="C359" s="69" t="s">
        <v>448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0"/>
        <v>1522.5</v>
      </c>
      <c r="I359" s="135">
        <f>'Прайс для расчета (М)'!E355</f>
        <v>761.25</v>
      </c>
      <c r="J359" s="36">
        <f t="shared" si="51"/>
        <v>761.25</v>
      </c>
    </row>
    <row r="360" spans="2:10" ht="15.6" hidden="1" x14ac:dyDescent="0.25">
      <c r="B360" s="59"/>
      <c r="C360" s="69" t="s">
        <v>538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0"/>
        <v>577.5</v>
      </c>
      <c r="I360" s="135">
        <f>'Прайс для расчета (М)'!E356</f>
        <v>288.75</v>
      </c>
      <c r="J360" s="36">
        <f t="shared" si="51"/>
        <v>288.75</v>
      </c>
    </row>
    <row r="361" spans="2:10" ht="15.6" hidden="1" x14ac:dyDescent="0.25">
      <c r="B361" s="59"/>
      <c r="C361" s="69" t="s">
        <v>539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0"/>
        <v>210</v>
      </c>
      <c r="I361" s="135">
        <f>'Прайс для расчета (М)'!E357</f>
        <v>105</v>
      </c>
      <c r="J361" s="36">
        <f t="shared" si="51"/>
        <v>105</v>
      </c>
    </row>
    <row r="362" spans="2:10" ht="15.6" x14ac:dyDescent="0.25">
      <c r="B362" s="110">
        <f>IF(SUM(B250:B361)&gt;0,1,0)</f>
        <v>1</v>
      </c>
      <c r="C362" s="266" t="s">
        <v>540</v>
      </c>
      <c r="D362" s="266"/>
      <c r="E362" s="266"/>
      <c r="F362" s="266"/>
      <c r="G362" s="157">
        <f>SUMIF(B251:B361,1,G251:G361)</f>
        <v>9490.9778000000006</v>
      </c>
      <c r="J362" s="36">
        <f>SUMIF(B251:B361,1,J251:J361)</f>
        <v>4624.3239000000003</v>
      </c>
    </row>
    <row r="363" spans="2:10" ht="15.6" x14ac:dyDescent="0.25">
      <c r="B363" s="153">
        <f>IF(SUM(B364:B371)&gt;0,1,0)</f>
        <v>1</v>
      </c>
      <c r="C363" s="164" t="s">
        <v>1157</v>
      </c>
      <c r="D363" s="154" t="s">
        <v>179</v>
      </c>
      <c r="E363" s="154" t="s">
        <v>180</v>
      </c>
      <c r="F363" s="154" t="s">
        <v>1</v>
      </c>
      <c r="G363" s="154" t="s">
        <v>181</v>
      </c>
      <c r="I363" s="36" t="s">
        <v>1</v>
      </c>
      <c r="J363" s="36" t="s">
        <v>181</v>
      </c>
    </row>
    <row r="364" spans="2:10" ht="15.6" x14ac:dyDescent="0.25">
      <c r="B364" s="59">
        <v>1</v>
      </c>
      <c r="C364" s="69" t="s">
        <v>1078</v>
      </c>
      <c r="D364" s="61" t="s">
        <v>2</v>
      </c>
      <c r="E364" s="62">
        <f>$A$4</f>
        <v>2.46</v>
      </c>
      <c r="F364" s="63">
        <f>'Прайс для расчета'!E412</f>
        <v>110.25</v>
      </c>
      <c r="G364" s="64">
        <f t="shared" ref="G364:G371" si="52">F364*E364</f>
        <v>271.21499999999997</v>
      </c>
      <c r="I364" s="135">
        <f>'Прайс для расчета (М)'!E412</f>
        <v>55.125</v>
      </c>
      <c r="J364" s="36">
        <f t="shared" ref="J364:J371" si="53">I364*E364</f>
        <v>135.60749999999999</v>
      </c>
    </row>
    <row r="365" spans="2:10" ht="15.6" hidden="1" x14ac:dyDescent="0.25">
      <c r="B365" s="59"/>
      <c r="C365" s="69" t="s">
        <v>688</v>
      </c>
      <c r="D365" s="61" t="s">
        <v>0</v>
      </c>
      <c r="E365" s="62">
        <v>1</v>
      </c>
      <c r="F365" s="63">
        <f>'Прайс для расчета'!E413</f>
        <v>1714.65</v>
      </c>
      <c r="G365" s="64">
        <f t="shared" si="52"/>
        <v>1714.65</v>
      </c>
      <c r="I365" s="135">
        <f>'Прайс для расчета (М)'!E413</f>
        <v>857.32500000000005</v>
      </c>
      <c r="J365" s="36">
        <f t="shared" si="53"/>
        <v>857.32500000000005</v>
      </c>
    </row>
    <row r="366" spans="2:10" ht="15.6" hidden="1" x14ac:dyDescent="0.25">
      <c r="B366" s="59"/>
      <c r="C366" s="69" t="s">
        <v>452</v>
      </c>
      <c r="D366" s="61" t="s">
        <v>0</v>
      </c>
      <c r="E366" s="62">
        <v>1</v>
      </c>
      <c r="F366" s="63">
        <f>'Прайс для расчета'!E414</f>
        <v>2571.9749999999999</v>
      </c>
      <c r="G366" s="64">
        <f t="shared" si="52"/>
        <v>2571.9749999999999</v>
      </c>
      <c r="I366" s="135">
        <f>'Прайс для расчета (М)'!E414</f>
        <v>1285.9875</v>
      </c>
      <c r="J366" s="36">
        <f t="shared" si="53"/>
        <v>1285.9875</v>
      </c>
    </row>
    <row r="367" spans="2:10" ht="15.6" hidden="1" x14ac:dyDescent="0.25">
      <c r="B367" s="59"/>
      <c r="C367" s="69" t="s">
        <v>453</v>
      </c>
      <c r="D367" s="61" t="s">
        <v>0</v>
      </c>
      <c r="E367" s="62">
        <v>1</v>
      </c>
      <c r="F367" s="63">
        <f>'Прайс для расчета'!E415</f>
        <v>857.32500000000005</v>
      </c>
      <c r="G367" s="64">
        <f t="shared" si="52"/>
        <v>857.32500000000005</v>
      </c>
      <c r="I367" s="135">
        <f>'Прайс для расчета (М)'!E415</f>
        <v>428.66250000000002</v>
      </c>
      <c r="J367" s="36">
        <f t="shared" si="53"/>
        <v>428.66250000000002</v>
      </c>
    </row>
    <row r="368" spans="2:10" ht="15.6" hidden="1" x14ac:dyDescent="0.25">
      <c r="B368" s="59"/>
      <c r="C368" s="69" t="s">
        <v>454</v>
      </c>
      <c r="D368" s="61" t="s">
        <v>885</v>
      </c>
      <c r="E368" s="62">
        <v>1</v>
      </c>
      <c r="F368" s="63">
        <f>'Прайс для расчета'!E416</f>
        <v>1470</v>
      </c>
      <c r="G368" s="64">
        <f t="shared" si="52"/>
        <v>1470</v>
      </c>
      <c r="I368" s="135">
        <f>'Прайс для расчета (М)'!E416</f>
        <v>735</v>
      </c>
      <c r="J368" s="36">
        <f t="shared" si="53"/>
        <v>735</v>
      </c>
    </row>
    <row r="369" spans="2:10" ht="15.6" hidden="1" x14ac:dyDescent="0.25">
      <c r="B369" s="59"/>
      <c r="C369" s="69" t="s">
        <v>455</v>
      </c>
      <c r="D369" s="61" t="s">
        <v>886</v>
      </c>
      <c r="E369" s="62">
        <v>1</v>
      </c>
      <c r="F369" s="63">
        <f>'Прайс для расчета'!E417</f>
        <v>315</v>
      </c>
      <c r="G369" s="64">
        <f t="shared" si="52"/>
        <v>315</v>
      </c>
      <c r="I369" s="135">
        <f>'Прайс для расчета (М)'!E417</f>
        <v>157.5</v>
      </c>
      <c r="J369" s="36">
        <f t="shared" si="53"/>
        <v>157.5</v>
      </c>
    </row>
    <row r="370" spans="2:10" ht="15.6" hidden="1" x14ac:dyDescent="0.25">
      <c r="B370" s="59"/>
      <c r="C370" s="69" t="s">
        <v>456</v>
      </c>
      <c r="D370" s="61" t="s">
        <v>886</v>
      </c>
      <c r="E370" s="62">
        <v>1</v>
      </c>
      <c r="F370" s="63">
        <f>'Прайс для расчета'!E418</f>
        <v>1575</v>
      </c>
      <c r="G370" s="64">
        <f t="shared" si="52"/>
        <v>1575</v>
      </c>
      <c r="I370" s="135">
        <f>'Прайс для расчета (М)'!E418</f>
        <v>787.5</v>
      </c>
      <c r="J370" s="36">
        <f t="shared" si="53"/>
        <v>787.5</v>
      </c>
    </row>
    <row r="371" spans="2:10" ht="15.6" hidden="1" x14ac:dyDescent="0.25">
      <c r="B371" s="59"/>
      <c r="C371" s="69" t="s">
        <v>689</v>
      </c>
      <c r="D371" s="61" t="s">
        <v>886</v>
      </c>
      <c r="E371" s="62">
        <v>1</v>
      </c>
      <c r="F371" s="63">
        <f>'Прайс для расчета'!E419</f>
        <v>315</v>
      </c>
      <c r="G371" s="64">
        <f t="shared" si="52"/>
        <v>315</v>
      </c>
      <c r="I371" s="135">
        <f>'Прайс для расчета (М)'!E419</f>
        <v>157.5</v>
      </c>
      <c r="J371" s="36">
        <f t="shared" si="53"/>
        <v>157.5</v>
      </c>
    </row>
    <row r="372" spans="2:10" ht="15.6" x14ac:dyDescent="0.25">
      <c r="B372" s="110">
        <f>IF(SUM(B364:B371)&gt;0,1,0)</f>
        <v>1</v>
      </c>
      <c r="C372" s="266" t="s">
        <v>546</v>
      </c>
      <c r="D372" s="266"/>
      <c r="E372" s="266"/>
      <c r="F372" s="266"/>
      <c r="G372" s="157">
        <f>SUMIF(B364:B371,1,G364:G371)</f>
        <v>271.21499999999997</v>
      </c>
      <c r="J372" s="36">
        <f>SUMIF(B364:B371,1,J364:J371)</f>
        <v>135.60749999999999</v>
      </c>
    </row>
    <row r="373" spans="2:10" ht="15.6" x14ac:dyDescent="0.25">
      <c r="B373" s="153">
        <f>IF(SUM(B10:B372)&gt;0,1,0)</f>
        <v>1</v>
      </c>
      <c r="C373" s="265" t="s">
        <v>191</v>
      </c>
      <c r="D373" s="265"/>
      <c r="E373" s="265"/>
      <c r="F373" s="265"/>
      <c r="G373" s="155" t="e">
        <f>G137+G248+G362+G372</f>
        <v>#REF!</v>
      </c>
      <c r="J373" s="36" t="e">
        <f>J137+J248+J362+J372</f>
        <v>#REF!</v>
      </c>
    </row>
    <row r="374" spans="2:10" ht="15.6" x14ac:dyDescent="0.25">
      <c r="B374" s="153" t="e">
        <f>IF(G374&gt;0,1,0)</f>
        <v>#REF!</v>
      </c>
      <c r="C374" s="265" t="s">
        <v>241</v>
      </c>
      <c r="D374" s="265"/>
      <c r="E374" s="265"/>
      <c r="F374" s="265"/>
      <c r="G374" s="156" t="e">
        <f>#REF!</f>
        <v>#REF!</v>
      </c>
      <c r="J374" s="136">
        <v>0</v>
      </c>
    </row>
    <row r="375" spans="2:10" ht="15.6" x14ac:dyDescent="0.25">
      <c r="B375" s="153" t="e">
        <f>IF(G375&gt;0,1,0)</f>
        <v>#REF!</v>
      </c>
      <c r="C375" s="265" t="s">
        <v>240</v>
      </c>
      <c r="D375" s="265"/>
      <c r="E375" s="265"/>
      <c r="F375" s="265"/>
      <c r="G375" s="155" t="e">
        <f>G373-(G373*G374)</f>
        <v>#REF!</v>
      </c>
      <c r="J375" s="36" t="e">
        <f>J373-(J373*J374)</f>
        <v>#REF!</v>
      </c>
    </row>
    <row r="377" spans="2:10" ht="15.6" x14ac:dyDescent="0.25">
      <c r="B377"/>
      <c r="C377" s="3" t="s">
        <v>238</v>
      </c>
      <c r="E377" s="16" t="s">
        <v>239</v>
      </c>
    </row>
    <row r="378" spans="2:10" x14ac:dyDescent="0.25">
      <c r="B378"/>
      <c r="C378" s="1"/>
    </row>
    <row r="379" spans="2:10" x14ac:dyDescent="0.25">
      <c r="B379"/>
      <c r="C379" s="4" t="s">
        <v>185</v>
      </c>
      <c r="E379" s="17" t="s">
        <v>185</v>
      </c>
    </row>
    <row r="380" spans="2:10" x14ac:dyDescent="0.25">
      <c r="B380"/>
      <c r="C380" s="5" t="s">
        <v>690</v>
      </c>
      <c r="E380" s="15" t="s">
        <v>186</v>
      </c>
    </row>
  </sheetData>
  <autoFilter ref="B9:H375">
    <filterColumn colId="0">
      <filters>
        <filter val="1"/>
      </filters>
    </filterColumn>
  </autoFilter>
  <mergeCells count="12">
    <mergeCell ref="C362:F362"/>
    <mergeCell ref="C372:F372"/>
    <mergeCell ref="C373:F373"/>
    <mergeCell ref="C374:F374"/>
    <mergeCell ref="C375:F375"/>
    <mergeCell ref="C137:F137"/>
    <mergeCell ref="C248:F248"/>
    <mergeCell ref="D4:F4"/>
    <mergeCell ref="C1:C4"/>
    <mergeCell ref="C5:G5"/>
    <mergeCell ref="C6:C7"/>
    <mergeCell ref="D8:G8"/>
  </mergeCells>
  <conditionalFormatting sqref="B11:G11 B165:G165 B140:B164 B209:G209 B166:B208 B287:G287 B251:B286 G251:G286 B288:B311 B312:G312 B320:G320 B313:E319 G313:G319 B334:G334 B321:E333 G321:G333 B335:E353 G335:G353 B372:G375 B364:B371 G364:G371 G166:G208 B12:E32 G12:G32 B60:G60 B59 D59:E59 B33:G58 G59 B69:G69 B61:E68 G61:G68 B87:G87 B70:E86 G70:G86 B97:G97 B88:E96 G88:G96 B105:G105 B98:E104 G98:G104 B126:G126 B106:E125 G106:G125 B127:E136 G127:G136 B210:E235 G210:G247 B354:G354 B355:B361 G355:G361 G140:G164 G288:G311 B139:G139 B250:G250 B362:G362 B248:G248 B137:G137 B239:E246 B236:B238 D236:E238">
    <cfRule type="expression" dxfId="224" priority="45">
      <formula>$B11=0</formula>
    </cfRule>
  </conditionalFormatting>
  <conditionalFormatting sqref="B10:G10">
    <cfRule type="expression" dxfId="223" priority="44">
      <formula>$B10=0</formula>
    </cfRule>
  </conditionalFormatting>
  <conditionalFormatting sqref="B247:E247">
    <cfRule type="expression" dxfId="222" priority="43">
      <formula>$B247=0</formula>
    </cfRule>
  </conditionalFormatting>
  <conditionalFormatting sqref="C141">
    <cfRule type="expression" dxfId="221" priority="39">
      <formula>$B141=0</formula>
    </cfRule>
  </conditionalFormatting>
  <conditionalFormatting sqref="C144:C148">
    <cfRule type="expression" dxfId="220" priority="38">
      <formula>$B144=0</formula>
    </cfRule>
  </conditionalFormatting>
  <conditionalFormatting sqref="C302 C303:D305 E302:E305 C288:E293 C296:E301 D294:E295">
    <cfRule type="expression" dxfId="219" priority="32">
      <formula>$B288=0</formula>
    </cfRule>
  </conditionalFormatting>
  <conditionalFormatting sqref="E151">
    <cfRule type="expression" dxfId="218" priority="40">
      <formula>$B151=0</formula>
    </cfRule>
  </conditionalFormatting>
  <conditionalFormatting sqref="C270:E286 E251:E269">
    <cfRule type="expression" dxfId="217" priority="36">
      <formula>$B251=0</formula>
    </cfRule>
  </conditionalFormatting>
  <conditionalFormatting sqref="C251:C269">
    <cfRule type="expression" dxfId="216" priority="35">
      <formula>$B251=0</formula>
    </cfRule>
  </conditionalFormatting>
  <conditionalFormatting sqref="C166:E166 C172:E175 D167:E171 C187:E208 D176:E186">
    <cfRule type="expression" dxfId="215" priority="37">
      <formula>$B166=0</formula>
    </cfRule>
  </conditionalFormatting>
  <conditionalFormatting sqref="C140:E140 C152:E163 C151:D151 C149:E150 D141:E141 D148:E148 C142:E142 C143:D143 D144:D147 E143:E147">
    <cfRule type="expression" dxfId="214" priority="42">
      <formula>$B140=0</formula>
    </cfRule>
  </conditionalFormatting>
  <conditionalFormatting sqref="C164:E164">
    <cfRule type="expression" dxfId="213" priority="41">
      <formula>$B164=0</formula>
    </cfRule>
  </conditionalFormatting>
  <conditionalFormatting sqref="D251:D269">
    <cfRule type="expression" dxfId="212" priority="34">
      <formula>$B251=0</formula>
    </cfRule>
  </conditionalFormatting>
  <conditionalFormatting sqref="C306:E311">
    <cfRule type="expression" dxfId="211" priority="33">
      <formula>$B306=0</formula>
    </cfRule>
  </conditionalFormatting>
  <conditionalFormatting sqref="C364:F371">
    <cfRule type="expression" dxfId="210" priority="31">
      <formula>$B364=0</formula>
    </cfRule>
  </conditionalFormatting>
  <conditionalFormatting sqref="F12:F32">
    <cfRule type="expression" dxfId="209" priority="30">
      <formula>$B12=0</formula>
    </cfRule>
  </conditionalFormatting>
  <conditionalFormatting sqref="C59">
    <cfRule type="expression" dxfId="208" priority="29">
      <formula>$B59=0</formula>
    </cfRule>
  </conditionalFormatting>
  <conditionalFormatting sqref="F59">
    <cfRule type="expression" dxfId="207" priority="28">
      <formula>$B59=0</formula>
    </cfRule>
  </conditionalFormatting>
  <conditionalFormatting sqref="F61:F68">
    <cfRule type="expression" dxfId="206" priority="27">
      <formula>$B61=0</formula>
    </cfRule>
  </conditionalFormatting>
  <conditionalFormatting sqref="F70:F86">
    <cfRule type="expression" dxfId="205" priority="26">
      <formula>$B70=0</formula>
    </cfRule>
  </conditionalFormatting>
  <conditionalFormatting sqref="F88:F96">
    <cfRule type="expression" dxfId="204" priority="25">
      <formula>$B88=0</formula>
    </cfRule>
  </conditionalFormatting>
  <conditionalFormatting sqref="F98:F104">
    <cfRule type="expression" dxfId="203" priority="24">
      <formula>$B98=0</formula>
    </cfRule>
  </conditionalFormatting>
  <conditionalFormatting sqref="F106:F125">
    <cfRule type="expression" dxfId="202" priority="23">
      <formula>$B106=0</formula>
    </cfRule>
  </conditionalFormatting>
  <conditionalFormatting sqref="F127:F136">
    <cfRule type="expression" dxfId="201" priority="22">
      <formula>$B127=0</formula>
    </cfRule>
  </conditionalFormatting>
  <conditionalFormatting sqref="F140:F164">
    <cfRule type="expression" dxfId="200" priority="21">
      <formula>$B140=0</formula>
    </cfRule>
  </conditionalFormatting>
  <conditionalFormatting sqref="F166:F208">
    <cfRule type="expression" dxfId="199" priority="20">
      <formula>$B166=0</formula>
    </cfRule>
  </conditionalFormatting>
  <conditionalFormatting sqref="F210:F247">
    <cfRule type="expression" dxfId="198" priority="19">
      <formula>$B210=0</formula>
    </cfRule>
  </conditionalFormatting>
  <conditionalFormatting sqref="F251:F286">
    <cfRule type="expression" dxfId="197" priority="18">
      <formula>$B251=0</formula>
    </cfRule>
  </conditionalFormatting>
  <conditionalFormatting sqref="F288:F311">
    <cfRule type="expression" dxfId="196" priority="17">
      <formula>$B288=0</formula>
    </cfRule>
  </conditionalFormatting>
  <conditionalFormatting sqref="F335:F353">
    <cfRule type="expression" dxfId="195" priority="14">
      <formula>$B335=0</formula>
    </cfRule>
  </conditionalFormatting>
  <conditionalFormatting sqref="F313:F319">
    <cfRule type="expression" dxfId="194" priority="16">
      <formula>$B313=0</formula>
    </cfRule>
  </conditionalFormatting>
  <conditionalFormatting sqref="F321:F333">
    <cfRule type="expression" dxfId="193" priority="15">
      <formula>$B321=0</formula>
    </cfRule>
  </conditionalFormatting>
  <conditionalFormatting sqref="C355:F361">
    <cfRule type="expression" dxfId="192" priority="13">
      <formula>$B355=0</formula>
    </cfRule>
  </conditionalFormatting>
  <conditionalFormatting sqref="C294:C295">
    <cfRule type="expression" dxfId="191" priority="12">
      <formula>$B294=0</formula>
    </cfRule>
  </conditionalFormatting>
  <conditionalFormatting sqref="B138:G138">
    <cfRule type="expression" dxfId="190" priority="11">
      <formula>$B138=0</formula>
    </cfRule>
  </conditionalFormatting>
  <conditionalFormatting sqref="B249:G249">
    <cfRule type="expression" dxfId="189" priority="10">
      <formula>$B249=0</formula>
    </cfRule>
  </conditionalFormatting>
  <conditionalFormatting sqref="B363:G363">
    <cfRule type="expression" dxfId="188" priority="9">
      <formula>$B363=0</formula>
    </cfRule>
  </conditionalFormatting>
  <conditionalFormatting sqref="C183:C184">
    <cfRule type="expression" dxfId="187" priority="8">
      <formula>$B183=0</formula>
    </cfRule>
  </conditionalFormatting>
  <conditionalFormatting sqref="C167:C171">
    <cfRule type="expression" dxfId="186" priority="7">
      <formula>$B167=0</formula>
    </cfRule>
  </conditionalFormatting>
  <conditionalFormatting sqref="C186">
    <cfRule type="expression" dxfId="185" priority="6">
      <formula>$B186=0</formula>
    </cfRule>
  </conditionalFormatting>
  <conditionalFormatting sqref="C185">
    <cfRule type="expression" dxfId="184" priority="5">
      <formula>$B185=0</formula>
    </cfRule>
  </conditionalFormatting>
  <conditionalFormatting sqref="C176:C177 C179:C182">
    <cfRule type="expression" dxfId="183" priority="4">
      <formula>$B176=0</formula>
    </cfRule>
  </conditionalFormatting>
  <conditionalFormatting sqref="C178">
    <cfRule type="expression" dxfId="182" priority="3">
      <formula>$B178=0</formula>
    </cfRule>
  </conditionalFormatting>
  <conditionalFormatting sqref="C236:C237">
    <cfRule type="expression" dxfId="181" priority="2">
      <formula>$B236=0</formula>
    </cfRule>
  </conditionalFormatting>
  <conditionalFormatting sqref="C238">
    <cfRule type="expression" dxfId="180" priority="1">
      <formula>$B238=0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1111112" filterMode="1">
    <tabColor rgb="FF00B050"/>
    <pageSetUpPr fitToPage="1"/>
  </sheetPr>
  <dimension ref="A1:U391"/>
  <sheetViews>
    <sheetView topLeftCell="A281" zoomScaleNormal="100" workbookViewId="0">
      <selection activeCell="C385" sqref="C385:F385"/>
    </sheetView>
  </sheetViews>
  <sheetFormatPr defaultColWidth="8.77734375" defaultRowHeight="13.2" x14ac:dyDescent="0.25"/>
  <cols>
    <col min="1" max="1" width="10.6640625" style="117" customWidth="1"/>
    <col min="2" max="2" width="2.109375" style="113" customWidth="1"/>
    <col min="3" max="3" width="110.77734375" style="114" customWidth="1"/>
    <col min="4" max="6" width="15.77734375" style="115" customWidth="1"/>
    <col min="7" max="7" width="15.77734375" style="116" customWidth="1"/>
    <col min="8" max="8" width="6" style="114" bestFit="1" customWidth="1"/>
    <col min="9" max="9" width="8.77734375" style="132"/>
    <col min="10" max="10" width="8.77734375" style="133"/>
    <col min="11" max="15" width="8.77734375" style="114"/>
    <col min="16" max="16" width="13.109375" style="114" customWidth="1"/>
    <col min="17" max="19" width="13.109375" style="114" bestFit="1" customWidth="1"/>
    <col min="20" max="20" width="13.109375" style="132" bestFit="1" customWidth="1"/>
    <col min="21" max="21" width="8.77734375" style="132"/>
    <col min="22" max="16384" width="8.77734375" style="114"/>
  </cols>
  <sheetData>
    <row r="1" spans="1:21" ht="21.9" customHeight="1" x14ac:dyDescent="0.25">
      <c r="A1" s="18" t="s">
        <v>182</v>
      </c>
      <c r="C1" s="246"/>
      <c r="P1" s="117"/>
      <c r="Q1" s="117"/>
      <c r="R1" s="117"/>
      <c r="S1" s="117"/>
      <c r="T1" s="131">
        <f>G137</f>
        <v>0</v>
      </c>
      <c r="U1" s="131">
        <f>J137</f>
        <v>0</v>
      </c>
    </row>
    <row r="2" spans="1:21" ht="21.9" customHeight="1" x14ac:dyDescent="0.25">
      <c r="A2" s="19">
        <v>14.005000000000001</v>
      </c>
      <c r="C2" s="247"/>
      <c r="P2" s="117"/>
      <c r="Q2" s="117"/>
      <c r="R2" s="117"/>
      <c r="S2" s="117"/>
      <c r="T2" s="131" t="e">
        <f>G248</f>
        <v>#REF!</v>
      </c>
      <c r="U2" s="131" t="e">
        <f>J248</f>
        <v>#REF!</v>
      </c>
    </row>
    <row r="3" spans="1:21" ht="21.9" customHeight="1" x14ac:dyDescent="0.25">
      <c r="A3" s="18" t="s">
        <v>183</v>
      </c>
      <c r="C3" s="247"/>
      <c r="D3" s="117"/>
      <c r="E3" s="117"/>
      <c r="F3" s="117"/>
      <c r="G3" s="117"/>
      <c r="P3" s="117"/>
      <c r="Q3" s="117"/>
      <c r="R3" s="117"/>
      <c r="S3" s="117"/>
      <c r="T3" s="131">
        <f>G362</f>
        <v>53820.30060000001</v>
      </c>
      <c r="U3" s="131">
        <f>J362</f>
        <v>25786.620299999999</v>
      </c>
    </row>
    <row r="4" spans="1:21" ht="21.9" customHeight="1" thickBot="1" x14ac:dyDescent="0.3">
      <c r="A4" s="19">
        <v>11.67</v>
      </c>
      <c r="C4" s="248"/>
      <c r="D4" s="268" t="s">
        <v>1166</v>
      </c>
      <c r="E4" s="268"/>
      <c r="F4" s="268"/>
      <c r="G4" s="119"/>
      <c r="P4" s="117"/>
      <c r="Q4" s="117"/>
      <c r="R4" s="117"/>
      <c r="S4" s="117"/>
      <c r="T4" s="131">
        <v>0</v>
      </c>
      <c r="U4" s="131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1"/>
      <c r="F5" s="250"/>
      <c r="G5" s="252"/>
      <c r="P5" s="117"/>
      <c r="Q5" s="117"/>
      <c r="R5" s="117"/>
      <c r="S5" s="117"/>
      <c r="T5" s="131">
        <f>G372</f>
        <v>1995</v>
      </c>
      <c r="U5" s="131">
        <f>J372</f>
        <v>997.5</v>
      </c>
    </row>
    <row r="6" spans="1:21" ht="21.9" customHeight="1" thickBot="1" x14ac:dyDescent="0.3">
      <c r="A6" s="19" t="e">
        <f>ROUND(A2*F7-G7,2)</f>
        <v>#REF!</v>
      </c>
      <c r="C6" s="253" t="s">
        <v>1017</v>
      </c>
      <c r="D6" s="12" t="s">
        <v>188</v>
      </c>
      <c r="E6" s="12" t="s">
        <v>189</v>
      </c>
      <c r="F6" s="12" t="s">
        <v>190</v>
      </c>
      <c r="G6" s="13" t="s">
        <v>187</v>
      </c>
      <c r="P6" s="117"/>
      <c r="Q6" s="117"/>
      <c r="R6" s="117"/>
      <c r="S6" s="117"/>
      <c r="T6" s="131">
        <f>G382</f>
        <v>1286.6175000000001</v>
      </c>
      <c r="U6" s="131">
        <f>J382</f>
        <v>643.30875000000003</v>
      </c>
    </row>
    <row r="7" spans="1:21" ht="21.9" customHeight="1" thickBot="1" x14ac:dyDescent="0.3">
      <c r="C7" s="254"/>
      <c r="D7" s="12">
        <v>0</v>
      </c>
      <c r="E7" s="12">
        <v>0</v>
      </c>
      <c r="F7" s="12" t="e">
        <f>#REF!</f>
        <v>#REF!</v>
      </c>
      <c r="G7" s="14">
        <v>10.79</v>
      </c>
      <c r="P7" s="117"/>
      <c r="Q7" s="117"/>
      <c r="R7" s="117"/>
      <c r="S7" s="117"/>
      <c r="T7" s="131" t="e">
        <f>G383</f>
        <v>#REF!</v>
      </c>
      <c r="U7" s="131" t="e">
        <f>J383</f>
        <v>#REF!</v>
      </c>
    </row>
    <row r="8" spans="1:21" x14ac:dyDescent="0.25">
      <c r="C8" s="120" t="s">
        <v>1015</v>
      </c>
      <c r="D8" s="255" t="e">
        <f>G385</f>
        <v>#REF!</v>
      </c>
      <c r="E8" s="256"/>
      <c r="F8" s="256"/>
      <c r="G8" s="257"/>
      <c r="H8" s="121" t="s">
        <v>760</v>
      </c>
      <c r="P8" s="117"/>
      <c r="Q8" s="117"/>
      <c r="R8" s="117"/>
      <c r="S8" s="117"/>
      <c r="T8" s="131" t="e">
        <f>G385</f>
        <v>#REF!</v>
      </c>
      <c r="U8" s="131" t="e">
        <f>J385</f>
        <v>#REF!</v>
      </c>
    </row>
    <row r="9" spans="1:21" ht="15.6" x14ac:dyDescent="0.25">
      <c r="B9" s="140"/>
      <c r="C9" s="111"/>
      <c r="D9" s="112"/>
      <c r="E9" s="112"/>
      <c r="F9" s="112"/>
      <c r="G9" s="112"/>
    </row>
    <row r="10" spans="1:21" ht="15.6" hidden="1" x14ac:dyDescent="0.25">
      <c r="B10" s="147">
        <f>IF(SUM(B11:B136)&gt;0,1,0)</f>
        <v>0</v>
      </c>
      <c r="C10" s="148" t="s">
        <v>1158</v>
      </c>
      <c r="D10" s="149" t="s">
        <v>179</v>
      </c>
      <c r="E10" s="149" t="s">
        <v>180</v>
      </c>
      <c r="F10" s="149" t="s">
        <v>1</v>
      </c>
      <c r="G10" s="149" t="s">
        <v>181</v>
      </c>
      <c r="I10" s="132" t="s">
        <v>985</v>
      </c>
      <c r="J10" s="133" t="s">
        <v>181</v>
      </c>
    </row>
    <row r="11" spans="1:21" ht="15.6" hidden="1" x14ac:dyDescent="0.25">
      <c r="B11" s="122">
        <f>IF(SUM(B12:B32)&gt;0,1,0)</f>
        <v>0</v>
      </c>
      <c r="C11" s="60" t="s">
        <v>877</v>
      </c>
      <c r="D11" s="61"/>
      <c r="E11" s="62"/>
      <c r="F11" s="62"/>
      <c r="G11" s="123"/>
    </row>
    <row r="12" spans="1:21" ht="15.6" hidden="1" x14ac:dyDescent="0.25">
      <c r="B12" s="122"/>
      <c r="C12" s="69" t="s">
        <v>305</v>
      </c>
      <c r="D12" s="61" t="s">
        <v>3</v>
      </c>
      <c r="E12" s="62">
        <f>$A$2</f>
        <v>14.005000000000001</v>
      </c>
      <c r="F12" s="62">
        <f>'Прайс для расчета'!E5</f>
        <v>89.25</v>
      </c>
      <c r="G12" s="123">
        <f t="shared" ref="G12:G32" si="0">F12*E12</f>
        <v>1249.94625</v>
      </c>
      <c r="I12" s="134">
        <f>'Прайс для расчета (М)'!E5</f>
        <v>44.625</v>
      </c>
      <c r="J12" s="133">
        <f t="shared" ref="J12:J32" si="1">I12*E12</f>
        <v>624.97312499999998</v>
      </c>
    </row>
    <row r="13" spans="1:21" ht="15.6" hidden="1" x14ac:dyDescent="0.25">
      <c r="B13" s="122"/>
      <c r="C13" s="69" t="s">
        <v>306</v>
      </c>
      <c r="D13" s="61" t="s">
        <v>2</v>
      </c>
      <c r="E13" s="62">
        <f t="shared" ref="E13:E28" si="2">$A$4</f>
        <v>11.67</v>
      </c>
      <c r="F13" s="62">
        <f>'Прайс для расчета'!E6</f>
        <v>157.5</v>
      </c>
      <c r="G13" s="123">
        <f t="shared" si="0"/>
        <v>1838.0250000000001</v>
      </c>
      <c r="I13" s="134">
        <f>'Прайс для расчета (М)'!E6</f>
        <v>78.75</v>
      </c>
      <c r="J13" s="133">
        <f t="shared" si="1"/>
        <v>919.01250000000005</v>
      </c>
    </row>
    <row r="14" spans="1:21" ht="15.6" hidden="1" x14ac:dyDescent="0.25">
      <c r="B14" s="122"/>
      <c r="C14" s="69" t="s">
        <v>307</v>
      </c>
      <c r="D14" s="61" t="s">
        <v>2</v>
      </c>
      <c r="E14" s="62">
        <f t="shared" si="2"/>
        <v>11.67</v>
      </c>
      <c r="F14" s="62">
        <f>'Прайс для расчета'!E7</f>
        <v>292.23599999999999</v>
      </c>
      <c r="G14" s="123">
        <f t="shared" si="0"/>
        <v>3410.3941199999999</v>
      </c>
      <c r="I14" s="134">
        <f>'Прайс для расчета (М)'!E7</f>
        <v>146.11799999999999</v>
      </c>
      <c r="J14" s="133">
        <f t="shared" si="1"/>
        <v>1705.19706</v>
      </c>
    </row>
    <row r="15" spans="1:21" ht="15.6" hidden="1" x14ac:dyDescent="0.25">
      <c r="B15" s="122"/>
      <c r="C15" s="69" t="s">
        <v>308</v>
      </c>
      <c r="D15" s="61" t="s">
        <v>2</v>
      </c>
      <c r="E15" s="62">
        <f t="shared" si="2"/>
        <v>11.67</v>
      </c>
      <c r="F15" s="62">
        <f>'Прайс для расчета'!E8</f>
        <v>367.5</v>
      </c>
      <c r="G15" s="123">
        <f t="shared" si="0"/>
        <v>4288.7250000000004</v>
      </c>
      <c r="I15" s="134">
        <f>'Прайс для расчета (М)'!E8</f>
        <v>183.75</v>
      </c>
      <c r="J15" s="133">
        <f t="shared" si="1"/>
        <v>2144.3625000000002</v>
      </c>
    </row>
    <row r="16" spans="1:21" ht="15.6" hidden="1" x14ac:dyDescent="0.25">
      <c r="B16" s="122"/>
      <c r="C16" s="69" t="s">
        <v>309</v>
      </c>
      <c r="D16" s="61" t="s">
        <v>2</v>
      </c>
      <c r="E16" s="62">
        <f t="shared" si="2"/>
        <v>11.67</v>
      </c>
      <c r="F16" s="62">
        <f>'Прайс для расчета'!E9</f>
        <v>120.771</v>
      </c>
      <c r="G16" s="123">
        <f t="shared" si="0"/>
        <v>1409.3975700000001</v>
      </c>
      <c r="I16" s="134">
        <f>'Прайс для расчета (М)'!E9</f>
        <v>60.3855</v>
      </c>
      <c r="J16" s="133">
        <f t="shared" si="1"/>
        <v>704.69878500000004</v>
      </c>
    </row>
    <row r="17" spans="2:10" ht="15.6" hidden="1" x14ac:dyDescent="0.25">
      <c r="B17" s="122"/>
      <c r="C17" s="69" t="s">
        <v>310</v>
      </c>
      <c r="D17" s="61" t="s">
        <v>2</v>
      </c>
      <c r="E17" s="62">
        <f t="shared" si="2"/>
        <v>11.67</v>
      </c>
      <c r="F17" s="62">
        <f>'Прайс для расчета'!E10</f>
        <v>102.87899999999999</v>
      </c>
      <c r="G17" s="123">
        <f t="shared" si="0"/>
        <v>1200.5979299999999</v>
      </c>
      <c r="I17" s="134">
        <f>'Прайс для расчета (М)'!E10</f>
        <v>51.439499999999995</v>
      </c>
      <c r="J17" s="133">
        <f t="shared" si="1"/>
        <v>600.29896499999995</v>
      </c>
    </row>
    <row r="18" spans="2:10" ht="15.6" hidden="1" x14ac:dyDescent="0.25">
      <c r="B18" s="122"/>
      <c r="C18" s="69" t="s">
        <v>1002</v>
      </c>
      <c r="D18" s="61" t="s">
        <v>2</v>
      </c>
      <c r="E18" s="62">
        <f t="shared" si="2"/>
        <v>11.67</v>
      </c>
      <c r="F18" s="62">
        <f>'Прайс для расчета'!E11</f>
        <v>1837.5</v>
      </c>
      <c r="G18" s="123">
        <f t="shared" si="0"/>
        <v>21443.625</v>
      </c>
      <c r="I18" s="134">
        <f>'Прайс для расчета (М)'!E11</f>
        <v>918.75</v>
      </c>
      <c r="J18" s="133">
        <f t="shared" si="1"/>
        <v>10721.8125</v>
      </c>
    </row>
    <row r="19" spans="2:10" ht="15.6" hidden="1" x14ac:dyDescent="0.25">
      <c r="B19" s="122"/>
      <c r="C19" s="69" t="s">
        <v>1003</v>
      </c>
      <c r="D19" s="61" t="s">
        <v>2</v>
      </c>
      <c r="E19" s="62">
        <f t="shared" si="2"/>
        <v>11.67</v>
      </c>
      <c r="F19" s="62">
        <f>'Прайс для расчета'!E12</f>
        <v>2677.5</v>
      </c>
      <c r="G19" s="123">
        <f t="shared" si="0"/>
        <v>31246.424999999999</v>
      </c>
      <c r="I19" s="134">
        <f>'Прайс для расчета (М)'!E12</f>
        <v>1338.75</v>
      </c>
      <c r="J19" s="133">
        <f t="shared" si="1"/>
        <v>15623.2125</v>
      </c>
    </row>
    <row r="20" spans="2:10" ht="15.6" hidden="1" x14ac:dyDescent="0.25">
      <c r="B20" s="122"/>
      <c r="C20" s="69" t="s">
        <v>59</v>
      </c>
      <c r="D20" s="61" t="s">
        <v>2</v>
      </c>
      <c r="E20" s="62">
        <f t="shared" si="2"/>
        <v>11.67</v>
      </c>
      <c r="F20" s="62">
        <f>'Прайс для расчета'!E13</f>
        <v>367.5</v>
      </c>
      <c r="G20" s="123">
        <f t="shared" si="0"/>
        <v>4288.7250000000004</v>
      </c>
      <c r="I20" s="134">
        <f>'Прайс для расчета (М)'!E13</f>
        <v>183.75</v>
      </c>
      <c r="J20" s="133">
        <f t="shared" si="1"/>
        <v>2144.3625000000002</v>
      </c>
    </row>
    <row r="21" spans="2:10" ht="15.6" hidden="1" x14ac:dyDescent="0.25">
      <c r="B21" s="122"/>
      <c r="C21" s="69" t="s">
        <v>311</v>
      </c>
      <c r="D21" s="61" t="s">
        <v>2</v>
      </c>
      <c r="E21" s="62">
        <f t="shared" si="2"/>
        <v>11.67</v>
      </c>
      <c r="F21" s="62">
        <f>'Прайс для расчета'!E14</f>
        <v>315</v>
      </c>
      <c r="G21" s="123">
        <f t="shared" si="0"/>
        <v>3676.05</v>
      </c>
      <c r="I21" s="134">
        <f>'Прайс для расчета (М)'!E14</f>
        <v>157.5</v>
      </c>
      <c r="J21" s="133">
        <f t="shared" si="1"/>
        <v>1838.0250000000001</v>
      </c>
    </row>
    <row r="22" spans="2:10" ht="15.6" hidden="1" x14ac:dyDescent="0.25">
      <c r="B22" s="122"/>
      <c r="C22" s="69" t="s">
        <v>312</v>
      </c>
      <c r="D22" s="61" t="s">
        <v>2</v>
      </c>
      <c r="E22" s="62">
        <f t="shared" si="2"/>
        <v>11.67</v>
      </c>
      <c r="F22" s="62">
        <f>'Прайс для расчета'!E15</f>
        <v>162.75</v>
      </c>
      <c r="G22" s="123">
        <f t="shared" si="0"/>
        <v>1899.2925</v>
      </c>
      <c r="I22" s="134">
        <f>'Прайс для расчета (М)'!E15</f>
        <v>81.375</v>
      </c>
      <c r="J22" s="133">
        <f t="shared" si="1"/>
        <v>949.64625000000001</v>
      </c>
    </row>
    <row r="23" spans="2:10" ht="15.6" hidden="1" x14ac:dyDescent="0.25">
      <c r="B23" s="122"/>
      <c r="C23" s="69" t="s">
        <v>313</v>
      </c>
      <c r="D23" s="61" t="s">
        <v>2</v>
      </c>
      <c r="E23" s="62">
        <f t="shared" si="2"/>
        <v>11.67</v>
      </c>
      <c r="F23" s="62">
        <f>'Прайс для расчета'!E16</f>
        <v>162.75</v>
      </c>
      <c r="G23" s="123">
        <f t="shared" si="0"/>
        <v>1899.2925</v>
      </c>
      <c r="I23" s="134">
        <f>'Прайс для расчета (М)'!E16</f>
        <v>81.375</v>
      </c>
      <c r="J23" s="133">
        <f t="shared" si="1"/>
        <v>949.64625000000001</v>
      </c>
    </row>
    <row r="24" spans="2:10" ht="15.6" hidden="1" x14ac:dyDescent="0.25">
      <c r="B24" s="122"/>
      <c r="C24" s="69" t="s">
        <v>314</v>
      </c>
      <c r="D24" s="61" t="s">
        <v>2</v>
      </c>
      <c r="E24" s="62">
        <f t="shared" si="2"/>
        <v>11.67</v>
      </c>
      <c r="F24" s="62">
        <f>'Прайс для расчета'!E17</f>
        <v>335.47500000000002</v>
      </c>
      <c r="G24" s="123">
        <f t="shared" si="0"/>
        <v>3914.9932500000004</v>
      </c>
      <c r="I24" s="134">
        <f>'Прайс для расчета (М)'!E17</f>
        <v>167.73750000000001</v>
      </c>
      <c r="J24" s="133">
        <f t="shared" si="1"/>
        <v>1957.4966250000002</v>
      </c>
    </row>
    <row r="25" spans="2:10" ht="15.6" hidden="1" x14ac:dyDescent="0.25">
      <c r="B25" s="122"/>
      <c r="C25" s="69" t="s">
        <v>658</v>
      </c>
      <c r="D25" s="61" t="s">
        <v>2</v>
      </c>
      <c r="E25" s="62">
        <f t="shared" si="2"/>
        <v>11.67</v>
      </c>
      <c r="F25" s="62">
        <f>'Прайс для расчета'!E18</f>
        <v>73.5</v>
      </c>
      <c r="G25" s="123">
        <f t="shared" si="0"/>
        <v>857.745</v>
      </c>
      <c r="I25" s="134">
        <f>'Прайс для расчета (М)'!E18</f>
        <v>36.75</v>
      </c>
      <c r="J25" s="133">
        <f t="shared" si="1"/>
        <v>428.8725</v>
      </c>
    </row>
    <row r="26" spans="2:10" ht="15.6" hidden="1" x14ac:dyDescent="0.25">
      <c r="B26" s="122"/>
      <c r="C26" s="69" t="s">
        <v>315</v>
      </c>
      <c r="D26" s="61" t="s">
        <v>2</v>
      </c>
      <c r="E26" s="62">
        <f t="shared" si="2"/>
        <v>11.67</v>
      </c>
      <c r="F26" s="62">
        <f>'Прайс для расчета'!E19</f>
        <v>420.46199999999999</v>
      </c>
      <c r="G26" s="123">
        <f t="shared" si="0"/>
        <v>4906.7915400000002</v>
      </c>
      <c r="I26" s="134">
        <f>'Прайс для расчета (М)'!E19</f>
        <v>210.23099999999999</v>
      </c>
      <c r="J26" s="133">
        <f t="shared" si="1"/>
        <v>2453.3957700000001</v>
      </c>
    </row>
    <row r="27" spans="2:10" ht="15.6" hidden="1" x14ac:dyDescent="0.25">
      <c r="B27" s="122"/>
      <c r="C27" s="69" t="s">
        <v>316</v>
      </c>
      <c r="D27" s="61" t="s">
        <v>2</v>
      </c>
      <c r="E27" s="62">
        <f t="shared" si="2"/>
        <v>11.67</v>
      </c>
      <c r="F27" s="62">
        <f>'Прайс для расчета'!E20</f>
        <v>577.5</v>
      </c>
      <c r="G27" s="123">
        <f t="shared" si="0"/>
        <v>6739.4250000000002</v>
      </c>
      <c r="I27" s="134">
        <f>'Прайс для расчета (М)'!E20</f>
        <v>288.75</v>
      </c>
      <c r="J27" s="133">
        <f t="shared" si="1"/>
        <v>3369.7125000000001</v>
      </c>
    </row>
    <row r="28" spans="2:10" ht="15.6" hidden="1" x14ac:dyDescent="0.25">
      <c r="B28" s="122"/>
      <c r="C28" s="69" t="s">
        <v>317</v>
      </c>
      <c r="D28" s="61" t="s">
        <v>2</v>
      </c>
      <c r="E28" s="62">
        <f t="shared" si="2"/>
        <v>11.67</v>
      </c>
      <c r="F28" s="62">
        <f>'Прайс для расчета'!E21</f>
        <v>262.5</v>
      </c>
      <c r="G28" s="123">
        <f t="shared" si="0"/>
        <v>3063.375</v>
      </c>
      <c r="I28" s="134">
        <f>'Прайс для расчета (М)'!E21</f>
        <v>131.25</v>
      </c>
      <c r="J28" s="133">
        <f t="shared" si="1"/>
        <v>1531.6875</v>
      </c>
    </row>
    <row r="29" spans="2:10" ht="15.6" hidden="1" x14ac:dyDescent="0.25">
      <c r="B29" s="122"/>
      <c r="C29" s="69" t="s">
        <v>318</v>
      </c>
      <c r="D29" s="61" t="s">
        <v>3</v>
      </c>
      <c r="E29" s="62">
        <f>$A$2</f>
        <v>14.005000000000001</v>
      </c>
      <c r="F29" s="62">
        <f>'Прайс для расчета'!E22</f>
        <v>644.11199999999997</v>
      </c>
      <c r="G29" s="123">
        <f t="shared" si="0"/>
        <v>9020.7885600000009</v>
      </c>
      <c r="I29" s="134">
        <f>'Прайс для расчета (М)'!E22</f>
        <v>322.05599999999998</v>
      </c>
      <c r="J29" s="133">
        <f t="shared" si="1"/>
        <v>4510.3942800000004</v>
      </c>
    </row>
    <row r="30" spans="2:10" ht="15.6" hidden="1" x14ac:dyDescent="0.25">
      <c r="B30" s="122"/>
      <c r="C30" s="69" t="s">
        <v>319</v>
      </c>
      <c r="D30" s="61" t="s">
        <v>3</v>
      </c>
      <c r="E30" s="62">
        <f>$A$2</f>
        <v>14.005000000000001</v>
      </c>
      <c r="F30" s="62">
        <f>'Прайс для расчета'!E23</f>
        <v>111.825</v>
      </c>
      <c r="G30" s="123">
        <f t="shared" si="0"/>
        <v>1566.1091250000002</v>
      </c>
      <c r="I30" s="134">
        <f>'Прайс для расчета (М)'!E23</f>
        <v>55.912500000000001</v>
      </c>
      <c r="J30" s="133">
        <f t="shared" si="1"/>
        <v>783.05456250000009</v>
      </c>
    </row>
    <row r="31" spans="2:10" ht="15.6" hidden="1" x14ac:dyDescent="0.25">
      <c r="B31" s="122"/>
      <c r="C31" s="69" t="s">
        <v>320</v>
      </c>
      <c r="D31" s="61" t="s">
        <v>3</v>
      </c>
      <c r="E31" s="62">
        <f>$A$2</f>
        <v>14.005000000000001</v>
      </c>
      <c r="F31" s="62">
        <f>'Прайс для расчета'!E24</f>
        <v>523.34100000000001</v>
      </c>
      <c r="G31" s="123">
        <f t="shared" si="0"/>
        <v>7329.3907050000007</v>
      </c>
      <c r="I31" s="134">
        <f>'Прайс для расчета (М)'!E24</f>
        <v>261.6705</v>
      </c>
      <c r="J31" s="133">
        <f t="shared" si="1"/>
        <v>3664.6953525000004</v>
      </c>
    </row>
    <row r="32" spans="2:10" ht="15.6" hidden="1" x14ac:dyDescent="0.25">
      <c r="B32" s="122"/>
      <c r="C32" s="69" t="s">
        <v>219</v>
      </c>
      <c r="D32" s="61" t="s">
        <v>2</v>
      </c>
      <c r="E32" s="62">
        <f>$A$4</f>
        <v>11.67</v>
      </c>
      <c r="F32" s="62">
        <f>'Прайс для расчета'!E25</f>
        <v>335.47500000000002</v>
      </c>
      <c r="G32" s="123">
        <f t="shared" si="0"/>
        <v>3914.9932500000004</v>
      </c>
      <c r="I32" s="134">
        <f>'Прайс для расчета (М)'!E25</f>
        <v>167.73750000000001</v>
      </c>
      <c r="J32" s="133">
        <f t="shared" si="1"/>
        <v>1957.4966250000002</v>
      </c>
    </row>
    <row r="33" spans="2:10" ht="15.6" hidden="1" x14ac:dyDescent="0.25">
      <c r="B33" s="122">
        <f>IF(SUM(B34:B59)&gt;0,1,0)</f>
        <v>0</v>
      </c>
      <c r="C33" s="60" t="s">
        <v>878</v>
      </c>
      <c r="D33" s="61"/>
      <c r="E33" s="62"/>
      <c r="F33" s="62"/>
      <c r="G33" s="123"/>
    </row>
    <row r="34" spans="2:10" ht="15.6" hidden="1" x14ac:dyDescent="0.25">
      <c r="B34" s="122"/>
      <c r="C34" s="69" t="s">
        <v>321</v>
      </c>
      <c r="D34" s="61" t="s">
        <v>3</v>
      </c>
      <c r="E34" s="62">
        <f>$A$2</f>
        <v>14.005000000000001</v>
      </c>
      <c r="F34" s="62">
        <f>'Прайс для расчета'!E29</f>
        <v>68.585999999999999</v>
      </c>
      <c r="G34" s="123">
        <f t="shared" ref="G34:G59" si="3">F34*E34</f>
        <v>960.54693000000009</v>
      </c>
      <c r="I34" s="134">
        <f>'Прайс для расчета (М)'!E29</f>
        <v>34.292999999999999</v>
      </c>
      <c r="J34" s="133">
        <f t="shared" ref="J34:J59" si="4">I34*E34</f>
        <v>480.27346500000004</v>
      </c>
    </row>
    <row r="35" spans="2:10" ht="15.6" hidden="1" x14ac:dyDescent="0.25">
      <c r="B35" s="122"/>
      <c r="C35" s="69" t="s">
        <v>322</v>
      </c>
      <c r="D35" s="61" t="s">
        <v>0</v>
      </c>
      <c r="E35" s="62">
        <v>1</v>
      </c>
      <c r="F35" s="62">
        <f>'Прайс для расчета'!E30</f>
        <v>231</v>
      </c>
      <c r="G35" s="123">
        <f t="shared" si="3"/>
        <v>231</v>
      </c>
      <c r="I35" s="134">
        <f>'Прайс для расчета (М)'!E30</f>
        <v>115.5</v>
      </c>
      <c r="J35" s="133">
        <f t="shared" si="4"/>
        <v>115.5</v>
      </c>
    </row>
    <row r="36" spans="2:10" ht="15.6" hidden="1" x14ac:dyDescent="0.25">
      <c r="B36" s="122"/>
      <c r="C36" s="69" t="s">
        <v>220</v>
      </c>
      <c r="D36" s="61" t="s">
        <v>2</v>
      </c>
      <c r="E36" s="62" t="e">
        <f t="shared" ref="E36:E42" si="5">$A$6</f>
        <v>#REF!</v>
      </c>
      <c r="F36" s="62">
        <f>'Прайс для расчета'!E31</f>
        <v>210</v>
      </c>
      <c r="G36" s="123" t="e">
        <f t="shared" si="3"/>
        <v>#REF!</v>
      </c>
      <c r="I36" s="134">
        <f>'Прайс для расчета (М)'!E31</f>
        <v>105</v>
      </c>
      <c r="J36" s="133" t="e">
        <f t="shared" si="4"/>
        <v>#REF!</v>
      </c>
    </row>
    <row r="37" spans="2:10" ht="15.6" hidden="1" x14ac:dyDescent="0.25">
      <c r="B37" s="122"/>
      <c r="C37" s="69" t="s">
        <v>323</v>
      </c>
      <c r="D37" s="61" t="s">
        <v>2</v>
      </c>
      <c r="E37" s="62" t="e">
        <f t="shared" si="5"/>
        <v>#REF!</v>
      </c>
      <c r="F37" s="62">
        <f>'Прайс для расчета'!E32</f>
        <v>205.75799999999998</v>
      </c>
      <c r="G37" s="123" t="e">
        <f t="shared" si="3"/>
        <v>#REF!</v>
      </c>
      <c r="I37" s="134">
        <f>'Прайс для расчета (М)'!E32</f>
        <v>102.87899999999999</v>
      </c>
      <c r="J37" s="133" t="e">
        <f t="shared" si="4"/>
        <v>#REF!</v>
      </c>
    </row>
    <row r="38" spans="2:10" ht="15.6" hidden="1" x14ac:dyDescent="0.25">
      <c r="B38" s="122"/>
      <c r="C38" s="69" t="s">
        <v>154</v>
      </c>
      <c r="D38" s="61" t="s">
        <v>2</v>
      </c>
      <c r="E38" s="62" t="e">
        <f t="shared" si="5"/>
        <v>#REF!</v>
      </c>
      <c r="F38" s="62">
        <f>'Прайс для расчета'!E33</f>
        <v>205.75799999999998</v>
      </c>
      <c r="G38" s="123" t="e">
        <f t="shared" si="3"/>
        <v>#REF!</v>
      </c>
      <c r="I38" s="134">
        <f>'Прайс для расчета (М)'!E33</f>
        <v>102.87899999999999</v>
      </c>
      <c r="J38" s="133" t="e">
        <f t="shared" si="4"/>
        <v>#REF!</v>
      </c>
    </row>
    <row r="39" spans="2:10" ht="15.6" hidden="1" x14ac:dyDescent="0.25">
      <c r="B39" s="122"/>
      <c r="C39" s="69" t="s">
        <v>324</v>
      </c>
      <c r="D39" s="61" t="s">
        <v>2</v>
      </c>
      <c r="E39" s="62" t="e">
        <f t="shared" si="5"/>
        <v>#REF!</v>
      </c>
      <c r="F39" s="62">
        <f>'Прайс для расчета'!E34</f>
        <v>506.94</v>
      </c>
      <c r="G39" s="123" t="e">
        <f t="shared" si="3"/>
        <v>#REF!</v>
      </c>
      <c r="I39" s="134">
        <f>'Прайс для расчета (М)'!E34</f>
        <v>253.47</v>
      </c>
      <c r="J39" s="133" t="e">
        <f t="shared" si="4"/>
        <v>#REF!</v>
      </c>
    </row>
    <row r="40" spans="2:10" ht="15.6" hidden="1" x14ac:dyDescent="0.25">
      <c r="B40" s="122"/>
      <c r="C40" s="69" t="s">
        <v>325</v>
      </c>
      <c r="D40" s="61" t="s">
        <v>2</v>
      </c>
      <c r="E40" s="62" t="e">
        <f t="shared" si="5"/>
        <v>#REF!</v>
      </c>
      <c r="F40" s="62">
        <f>'Прайс для расчета'!E35</f>
        <v>205.75799999999998</v>
      </c>
      <c r="G40" s="123" t="e">
        <f t="shared" si="3"/>
        <v>#REF!</v>
      </c>
      <c r="I40" s="134">
        <f>'Прайс для расчета (М)'!E35</f>
        <v>102.87899999999999</v>
      </c>
      <c r="J40" s="133" t="e">
        <f t="shared" si="4"/>
        <v>#REF!</v>
      </c>
    </row>
    <row r="41" spans="2:10" ht="15.6" hidden="1" x14ac:dyDescent="0.25">
      <c r="B41" s="122"/>
      <c r="C41" s="69" t="s">
        <v>155</v>
      </c>
      <c r="D41" s="61" t="s">
        <v>2</v>
      </c>
      <c r="E41" s="62" t="e">
        <f t="shared" si="5"/>
        <v>#REF!</v>
      </c>
      <c r="F41" s="62">
        <f>'Прайс для расчета'!E36</f>
        <v>205.75799999999998</v>
      </c>
      <c r="G41" s="123" t="e">
        <f t="shared" si="3"/>
        <v>#REF!</v>
      </c>
      <c r="I41" s="134">
        <f>'Прайс для расчета (М)'!E36</f>
        <v>102.87899999999999</v>
      </c>
      <c r="J41" s="133" t="e">
        <f t="shared" si="4"/>
        <v>#REF!</v>
      </c>
    </row>
    <row r="42" spans="2:10" ht="15.6" hidden="1" x14ac:dyDescent="0.25">
      <c r="B42" s="122"/>
      <c r="C42" s="69" t="s">
        <v>659</v>
      </c>
      <c r="D42" s="61" t="s">
        <v>2</v>
      </c>
      <c r="E42" s="62" t="e">
        <f t="shared" si="5"/>
        <v>#REF!</v>
      </c>
      <c r="F42" s="62">
        <f>'Прайс для расчета'!E37</f>
        <v>204.75</v>
      </c>
      <c r="G42" s="123" t="e">
        <f t="shared" si="3"/>
        <v>#REF!</v>
      </c>
      <c r="I42" s="134">
        <f>'Прайс для расчета (М)'!E37</f>
        <v>102.375</v>
      </c>
      <c r="J42" s="133" t="e">
        <f t="shared" si="4"/>
        <v>#REF!</v>
      </c>
    </row>
    <row r="43" spans="2:10" ht="15.6" hidden="1" x14ac:dyDescent="0.25">
      <c r="B43" s="122"/>
      <c r="C43" s="69" t="s">
        <v>660</v>
      </c>
      <c r="D43" s="61" t="s">
        <v>3</v>
      </c>
      <c r="E43" s="62" t="e">
        <f>ROUND($F$7*4,0)</f>
        <v>#REF!</v>
      </c>
      <c r="F43" s="62">
        <f>'Прайс для расчета'!E38</f>
        <v>292.23599999999999</v>
      </c>
      <c r="G43" s="123" t="e">
        <f t="shared" si="3"/>
        <v>#REF!</v>
      </c>
      <c r="I43" s="134">
        <f>'Прайс для расчета (М)'!E38</f>
        <v>146.11799999999999</v>
      </c>
      <c r="J43" s="133" t="e">
        <f t="shared" si="4"/>
        <v>#REF!</v>
      </c>
    </row>
    <row r="44" spans="2:10" ht="15.6" hidden="1" x14ac:dyDescent="0.25">
      <c r="B44" s="122"/>
      <c r="C44" s="69" t="s">
        <v>326</v>
      </c>
      <c r="D44" s="61" t="s">
        <v>2</v>
      </c>
      <c r="E44" s="62" t="e">
        <f>$A$6</f>
        <v>#REF!</v>
      </c>
      <c r="F44" s="62">
        <f>'Прайс для расчета'!E39</f>
        <v>164.01</v>
      </c>
      <c r="G44" s="123" t="e">
        <f t="shared" si="3"/>
        <v>#REF!</v>
      </c>
      <c r="I44" s="134">
        <f>'Прайс для расчета (М)'!E39</f>
        <v>82.004999999999995</v>
      </c>
      <c r="J44" s="133" t="e">
        <f t="shared" si="4"/>
        <v>#REF!</v>
      </c>
    </row>
    <row r="45" spans="2:10" ht="15.6" hidden="1" x14ac:dyDescent="0.25">
      <c r="B45" s="122"/>
      <c r="C45" s="69" t="s">
        <v>327</v>
      </c>
      <c r="D45" s="61" t="s">
        <v>0</v>
      </c>
      <c r="E45" s="62">
        <v>1</v>
      </c>
      <c r="F45" s="62">
        <f>'Прайс для расчета'!E40</f>
        <v>335.47500000000002</v>
      </c>
      <c r="G45" s="123">
        <f t="shared" si="3"/>
        <v>335.47500000000002</v>
      </c>
      <c r="I45" s="134">
        <f>'Прайс для расчета (М)'!E40</f>
        <v>167.73750000000001</v>
      </c>
      <c r="J45" s="133">
        <f t="shared" si="4"/>
        <v>167.73750000000001</v>
      </c>
    </row>
    <row r="46" spans="2:10" ht="15.6" hidden="1" x14ac:dyDescent="0.25">
      <c r="B46" s="122"/>
      <c r="C46" s="69" t="s">
        <v>328</v>
      </c>
      <c r="D46" s="61" t="s">
        <v>2</v>
      </c>
      <c r="E46" s="62" t="e">
        <f t="shared" ref="E46:E59" si="6">$A$6</f>
        <v>#REF!</v>
      </c>
      <c r="F46" s="62">
        <f>'Прайс для расчета'!E41</f>
        <v>315</v>
      </c>
      <c r="G46" s="123" t="e">
        <f t="shared" si="3"/>
        <v>#REF!</v>
      </c>
      <c r="I46" s="134">
        <f>'Прайс для расчета (М)'!E41</f>
        <v>157.5</v>
      </c>
      <c r="J46" s="133" t="e">
        <f t="shared" si="4"/>
        <v>#REF!</v>
      </c>
    </row>
    <row r="47" spans="2:10" ht="15.6" hidden="1" x14ac:dyDescent="0.25">
      <c r="B47" s="122"/>
      <c r="C47" s="69" t="s">
        <v>329</v>
      </c>
      <c r="D47" s="61" t="s">
        <v>2</v>
      </c>
      <c r="E47" s="62" t="e">
        <f t="shared" si="6"/>
        <v>#REF!</v>
      </c>
      <c r="F47" s="62">
        <f>'Прайс для расчета'!E42</f>
        <v>292.23599999999999</v>
      </c>
      <c r="G47" s="123" t="e">
        <f t="shared" si="3"/>
        <v>#REF!</v>
      </c>
      <c r="I47" s="134">
        <f>'Прайс для расчета (М)'!E42</f>
        <v>146.11799999999999</v>
      </c>
      <c r="J47" s="133" t="e">
        <f t="shared" si="4"/>
        <v>#REF!</v>
      </c>
    </row>
    <row r="48" spans="2:10" ht="15.6" hidden="1" x14ac:dyDescent="0.25">
      <c r="B48" s="122"/>
      <c r="C48" s="69" t="s">
        <v>222</v>
      </c>
      <c r="D48" s="61" t="s">
        <v>2</v>
      </c>
      <c r="E48" s="62" t="e">
        <f t="shared" si="6"/>
        <v>#REF!</v>
      </c>
      <c r="F48" s="62">
        <f>'Прайс для расчета'!E43</f>
        <v>335.47500000000002</v>
      </c>
      <c r="G48" s="123" t="e">
        <f t="shared" si="3"/>
        <v>#REF!</v>
      </c>
      <c r="I48" s="134">
        <f>'Прайс для расчета (М)'!E43</f>
        <v>167.73750000000001</v>
      </c>
      <c r="J48" s="133" t="e">
        <f t="shared" si="4"/>
        <v>#REF!</v>
      </c>
    </row>
    <row r="49" spans="2:10" ht="15.6" hidden="1" x14ac:dyDescent="0.25">
      <c r="B49" s="122"/>
      <c r="C49" s="69" t="s">
        <v>330</v>
      </c>
      <c r="D49" s="61" t="s">
        <v>2</v>
      </c>
      <c r="E49" s="62" t="e">
        <f t="shared" si="6"/>
        <v>#REF!</v>
      </c>
      <c r="F49" s="62">
        <f>'Прайс для расчета'!E44</f>
        <v>335.47500000000002</v>
      </c>
      <c r="G49" s="123" t="e">
        <f t="shared" si="3"/>
        <v>#REF!</v>
      </c>
      <c r="I49" s="134">
        <f>'Прайс для расчета (М)'!E44</f>
        <v>167.73750000000001</v>
      </c>
      <c r="J49" s="133" t="e">
        <f t="shared" si="4"/>
        <v>#REF!</v>
      </c>
    </row>
    <row r="50" spans="2:10" ht="15.6" hidden="1" x14ac:dyDescent="0.25">
      <c r="B50" s="122"/>
      <c r="C50" s="69" t="s">
        <v>475</v>
      </c>
      <c r="D50" s="61" t="s">
        <v>2</v>
      </c>
      <c r="E50" s="62" t="e">
        <f t="shared" si="6"/>
        <v>#REF!</v>
      </c>
      <c r="F50" s="62">
        <f>'Прайс для расчета'!E45</f>
        <v>102.87899999999999</v>
      </c>
      <c r="G50" s="123" t="e">
        <f t="shared" si="3"/>
        <v>#REF!</v>
      </c>
      <c r="I50" s="134">
        <f>'Прайс для расчета (М)'!E45</f>
        <v>51.439499999999995</v>
      </c>
      <c r="J50" s="133" t="e">
        <f t="shared" si="4"/>
        <v>#REF!</v>
      </c>
    </row>
    <row r="51" spans="2:10" ht="15.6" hidden="1" x14ac:dyDescent="0.25">
      <c r="B51" s="122"/>
      <c r="C51" s="69" t="s">
        <v>476</v>
      </c>
      <c r="D51" s="61" t="s">
        <v>2</v>
      </c>
      <c r="E51" s="62" t="e">
        <f t="shared" si="6"/>
        <v>#REF!</v>
      </c>
      <c r="F51" s="62">
        <f>'Прайс для расчета'!E46</f>
        <v>164.01</v>
      </c>
      <c r="G51" s="123" t="e">
        <f t="shared" si="3"/>
        <v>#REF!</v>
      </c>
      <c r="I51" s="134">
        <f>'Прайс для расчета (М)'!E46</f>
        <v>82.004999999999995</v>
      </c>
      <c r="J51" s="133" t="e">
        <f t="shared" si="4"/>
        <v>#REF!</v>
      </c>
    </row>
    <row r="52" spans="2:10" ht="15.6" hidden="1" x14ac:dyDescent="0.25">
      <c r="B52" s="122"/>
      <c r="C52" s="69" t="s">
        <v>477</v>
      </c>
      <c r="D52" s="61" t="s">
        <v>2</v>
      </c>
      <c r="E52" s="62" t="e">
        <f t="shared" si="6"/>
        <v>#REF!</v>
      </c>
      <c r="F52" s="62">
        <f>'Прайс для расчета'!E47</f>
        <v>849.87</v>
      </c>
      <c r="G52" s="123" t="e">
        <f t="shared" si="3"/>
        <v>#REF!</v>
      </c>
      <c r="I52" s="134">
        <f>'Прайс для расчета (М)'!E47</f>
        <v>424.935</v>
      </c>
      <c r="J52" s="133" t="e">
        <f t="shared" si="4"/>
        <v>#REF!</v>
      </c>
    </row>
    <row r="53" spans="2:10" ht="15.6" hidden="1" x14ac:dyDescent="0.25">
      <c r="B53" s="122"/>
      <c r="C53" s="69" t="s">
        <v>478</v>
      </c>
      <c r="D53" s="61" t="s">
        <v>2</v>
      </c>
      <c r="E53" s="62" t="e">
        <f t="shared" si="6"/>
        <v>#REF!</v>
      </c>
      <c r="F53" s="62">
        <f>'Прайс для расчета'!E48</f>
        <v>1021.3349999999999</v>
      </c>
      <c r="G53" s="123" t="e">
        <f t="shared" si="3"/>
        <v>#REF!</v>
      </c>
      <c r="I53" s="134">
        <f>'Прайс для расчета (М)'!E48</f>
        <v>510.66749999999996</v>
      </c>
      <c r="J53" s="133" t="e">
        <f t="shared" si="4"/>
        <v>#REF!</v>
      </c>
    </row>
    <row r="54" spans="2:10" ht="15.6" hidden="1" x14ac:dyDescent="0.25">
      <c r="B54" s="122"/>
      <c r="C54" s="69" t="s">
        <v>479</v>
      </c>
      <c r="D54" s="61" t="s">
        <v>2</v>
      </c>
      <c r="E54" s="62" t="e">
        <f t="shared" si="6"/>
        <v>#REF!</v>
      </c>
      <c r="F54" s="62">
        <f>'Прайс для расчета'!E49</f>
        <v>1192.8</v>
      </c>
      <c r="G54" s="123" t="e">
        <f t="shared" si="3"/>
        <v>#REF!</v>
      </c>
      <c r="I54" s="134">
        <f>'Прайс для расчета (М)'!E49</f>
        <v>596.4</v>
      </c>
      <c r="J54" s="133" t="e">
        <f t="shared" si="4"/>
        <v>#REF!</v>
      </c>
    </row>
    <row r="55" spans="2:10" ht="15.6" hidden="1" x14ac:dyDescent="0.25">
      <c r="B55" s="122"/>
      <c r="C55" s="69" t="s">
        <v>480</v>
      </c>
      <c r="D55" s="61" t="s">
        <v>2</v>
      </c>
      <c r="E55" s="62" t="e">
        <f t="shared" si="6"/>
        <v>#REF!</v>
      </c>
      <c r="F55" s="62">
        <f>'Прайс для расчета'!E50</f>
        <v>1364.2650000000001</v>
      </c>
      <c r="G55" s="123" t="e">
        <f t="shared" si="3"/>
        <v>#REF!</v>
      </c>
      <c r="I55" s="134">
        <f>'Прайс для расчета (М)'!E50</f>
        <v>682.13250000000005</v>
      </c>
      <c r="J55" s="133" t="e">
        <f t="shared" si="4"/>
        <v>#REF!</v>
      </c>
    </row>
    <row r="56" spans="2:10" ht="15.6" hidden="1" x14ac:dyDescent="0.25">
      <c r="B56" s="122"/>
      <c r="C56" s="69" t="s">
        <v>331</v>
      </c>
      <c r="D56" s="61" t="s">
        <v>2</v>
      </c>
      <c r="E56" s="62" t="e">
        <f t="shared" si="6"/>
        <v>#REF!</v>
      </c>
      <c r="F56" s="62">
        <f>'Прайс для расчета'!E51</f>
        <v>849.87</v>
      </c>
      <c r="G56" s="123" t="e">
        <f t="shared" si="3"/>
        <v>#REF!</v>
      </c>
      <c r="I56" s="134">
        <f>'Прайс для расчета (М)'!E51</f>
        <v>424.935</v>
      </c>
      <c r="J56" s="133" t="e">
        <f t="shared" si="4"/>
        <v>#REF!</v>
      </c>
    </row>
    <row r="57" spans="2:10" ht="15.6" hidden="1" x14ac:dyDescent="0.25">
      <c r="B57" s="122"/>
      <c r="C57" s="69" t="s">
        <v>332</v>
      </c>
      <c r="D57" s="61" t="s">
        <v>2</v>
      </c>
      <c r="E57" s="62" t="e">
        <f t="shared" si="6"/>
        <v>#REF!</v>
      </c>
      <c r="F57" s="62">
        <f>'Прайс для расчета'!E52</f>
        <v>506.94</v>
      </c>
      <c r="G57" s="123" t="e">
        <f t="shared" si="3"/>
        <v>#REF!</v>
      </c>
      <c r="I57" s="134">
        <f>'Прайс для расчета (М)'!E52</f>
        <v>253.47</v>
      </c>
      <c r="J57" s="133" t="e">
        <f t="shared" si="4"/>
        <v>#REF!</v>
      </c>
    </row>
    <row r="58" spans="2:10" ht="15.6" hidden="1" x14ac:dyDescent="0.25">
      <c r="B58" s="122"/>
      <c r="C58" s="69" t="s">
        <v>333</v>
      </c>
      <c r="D58" s="61" t="s">
        <v>2</v>
      </c>
      <c r="E58" s="62" t="e">
        <f t="shared" si="6"/>
        <v>#REF!</v>
      </c>
      <c r="F58" s="62">
        <f>'Прайс для расчета'!E53</f>
        <v>5093.2559999999994</v>
      </c>
      <c r="G58" s="123" t="e">
        <f t="shared" si="3"/>
        <v>#REF!</v>
      </c>
      <c r="I58" s="134">
        <f>'Прайс для расчета (М)'!E53</f>
        <v>2546.6279999999997</v>
      </c>
      <c r="J58" s="133" t="e">
        <f t="shared" si="4"/>
        <v>#REF!</v>
      </c>
    </row>
    <row r="59" spans="2:10" ht="15.6" hidden="1" x14ac:dyDescent="0.25">
      <c r="B59" s="122"/>
      <c r="C59" s="69" t="s">
        <v>692</v>
      </c>
      <c r="D59" s="61" t="s">
        <v>0</v>
      </c>
      <c r="E59" s="62" t="e">
        <f t="shared" si="6"/>
        <v>#REF!</v>
      </c>
      <c r="F59" s="62">
        <f>'Прайс для расчета'!E28</f>
        <v>1186.836</v>
      </c>
      <c r="G59" s="123" t="e">
        <f t="shared" si="3"/>
        <v>#REF!</v>
      </c>
      <c r="I59" s="134">
        <f>'Прайс для расчета (М)'!E28</f>
        <v>593.41800000000001</v>
      </c>
      <c r="J59" s="133" t="e">
        <f t="shared" si="4"/>
        <v>#REF!</v>
      </c>
    </row>
    <row r="60" spans="2:10" ht="15.6" hidden="1" x14ac:dyDescent="0.25">
      <c r="B60" s="122">
        <f>IF(SUM(B61:B68)&gt;0,1,0)</f>
        <v>0</v>
      </c>
      <c r="C60" s="66" t="s">
        <v>44</v>
      </c>
      <c r="D60" s="61"/>
      <c r="E60" s="62"/>
      <c r="F60" s="62"/>
      <c r="G60" s="123"/>
    </row>
    <row r="61" spans="2:10" ht="15.6" hidden="1" x14ac:dyDescent="0.25">
      <c r="B61" s="122"/>
      <c r="C61" s="69" t="s">
        <v>45</v>
      </c>
      <c r="D61" s="61" t="s">
        <v>3</v>
      </c>
      <c r="E61" s="62">
        <v>1</v>
      </c>
      <c r="F61" s="62">
        <f>'Прайс для расчета'!E54</f>
        <v>335.47500000000002</v>
      </c>
      <c r="G61" s="123">
        <f t="shared" ref="G61:G68" si="7">F61*E61</f>
        <v>335.47500000000002</v>
      </c>
      <c r="I61" s="134">
        <f>'Прайс для расчета (М)'!E54</f>
        <v>167.73750000000001</v>
      </c>
      <c r="J61" s="133">
        <f t="shared" ref="J61:J68" si="8">I61*E61</f>
        <v>167.73750000000001</v>
      </c>
    </row>
    <row r="62" spans="2:10" ht="15.6" hidden="1" x14ac:dyDescent="0.25">
      <c r="B62" s="122"/>
      <c r="C62" s="69" t="s">
        <v>46</v>
      </c>
      <c r="D62" s="61" t="s">
        <v>3</v>
      </c>
      <c r="E62" s="62">
        <v>1</v>
      </c>
      <c r="F62" s="62">
        <f>'Прайс для расчета'!E55</f>
        <v>137.172</v>
      </c>
      <c r="G62" s="123">
        <f t="shared" si="7"/>
        <v>137.172</v>
      </c>
      <c r="I62" s="134">
        <f>'Прайс для расчета (М)'!E55</f>
        <v>68.585999999999999</v>
      </c>
      <c r="J62" s="133">
        <f t="shared" si="8"/>
        <v>68.585999999999999</v>
      </c>
    </row>
    <row r="63" spans="2:10" ht="15.6" hidden="1" x14ac:dyDescent="0.25">
      <c r="B63" s="122"/>
      <c r="C63" s="69" t="s">
        <v>60</v>
      </c>
      <c r="D63" s="61" t="s">
        <v>3</v>
      </c>
      <c r="E63" s="62">
        <v>1</v>
      </c>
      <c r="F63" s="62">
        <f>'Прайс для расчета'!E56</f>
        <v>205.75799999999998</v>
      </c>
      <c r="G63" s="123">
        <f t="shared" si="7"/>
        <v>205.75799999999998</v>
      </c>
      <c r="I63" s="134">
        <f>'Прайс для расчета (М)'!E56</f>
        <v>102.87899999999999</v>
      </c>
      <c r="J63" s="133">
        <f t="shared" si="8"/>
        <v>102.87899999999999</v>
      </c>
    </row>
    <row r="64" spans="2:10" ht="15.6" hidden="1" x14ac:dyDescent="0.25">
      <c r="B64" s="122"/>
      <c r="C64" s="69" t="s">
        <v>47</v>
      </c>
      <c r="D64" s="61" t="s">
        <v>3</v>
      </c>
      <c r="E64" s="62">
        <v>1</v>
      </c>
      <c r="F64" s="62">
        <f>'Прайс для расчета'!E57</f>
        <v>137.172</v>
      </c>
      <c r="G64" s="123">
        <f t="shared" si="7"/>
        <v>137.172</v>
      </c>
      <c r="I64" s="134">
        <f>'Прайс для расчета (М)'!E57</f>
        <v>68.585999999999999</v>
      </c>
      <c r="J64" s="133">
        <f t="shared" si="8"/>
        <v>68.585999999999999</v>
      </c>
    </row>
    <row r="65" spans="2:10" ht="15.6" hidden="1" x14ac:dyDescent="0.25">
      <c r="B65" s="122"/>
      <c r="C65" s="69" t="s">
        <v>48</v>
      </c>
      <c r="D65" s="61" t="s">
        <v>3</v>
      </c>
      <c r="E65" s="62">
        <v>1</v>
      </c>
      <c r="F65" s="62">
        <f>'Прайс для расчета'!E58</f>
        <v>205.75799999999998</v>
      </c>
      <c r="G65" s="123">
        <f t="shared" si="7"/>
        <v>205.75799999999998</v>
      </c>
      <c r="I65" s="134">
        <f>'Прайс для расчета (М)'!E58</f>
        <v>102.87899999999999</v>
      </c>
      <c r="J65" s="133">
        <f t="shared" si="8"/>
        <v>102.87899999999999</v>
      </c>
    </row>
    <row r="66" spans="2:10" ht="15.6" hidden="1" x14ac:dyDescent="0.25">
      <c r="B66" s="122"/>
      <c r="C66" s="69" t="s">
        <v>49</v>
      </c>
      <c r="D66" s="61" t="s">
        <v>3</v>
      </c>
      <c r="E66" s="62">
        <v>1</v>
      </c>
      <c r="F66" s="62">
        <f>'Прайс для расчета'!E59</f>
        <v>43.239000000000004</v>
      </c>
      <c r="G66" s="123">
        <f t="shared" si="7"/>
        <v>43.239000000000004</v>
      </c>
      <c r="I66" s="134">
        <f>'Прайс для расчета (М)'!E59</f>
        <v>21.619500000000002</v>
      </c>
      <c r="J66" s="133">
        <f t="shared" si="8"/>
        <v>21.619500000000002</v>
      </c>
    </row>
    <row r="67" spans="2:10" ht="15.6" hidden="1" x14ac:dyDescent="0.25">
      <c r="B67" s="122"/>
      <c r="C67" s="69" t="s">
        <v>50</v>
      </c>
      <c r="D67" s="61" t="s">
        <v>3</v>
      </c>
      <c r="E67" s="62">
        <v>1</v>
      </c>
      <c r="F67" s="62">
        <f>'Прайс для расчета'!E60</f>
        <v>86.478000000000009</v>
      </c>
      <c r="G67" s="123">
        <f t="shared" si="7"/>
        <v>86.478000000000009</v>
      </c>
      <c r="I67" s="134">
        <f>'Прайс для расчета (М)'!E60</f>
        <v>43.239000000000004</v>
      </c>
      <c r="J67" s="133">
        <f t="shared" si="8"/>
        <v>43.239000000000004</v>
      </c>
    </row>
    <row r="68" spans="2:10" ht="15.6" hidden="1" x14ac:dyDescent="0.25">
      <c r="B68" s="122"/>
      <c r="C68" s="69" t="s">
        <v>51</v>
      </c>
      <c r="D68" s="61" t="s">
        <v>3</v>
      </c>
      <c r="E68" s="62">
        <v>1</v>
      </c>
      <c r="F68" s="62">
        <f>'Прайс для расчета'!E61</f>
        <v>43.239000000000004</v>
      </c>
      <c r="G68" s="123">
        <f t="shared" si="7"/>
        <v>43.239000000000004</v>
      </c>
      <c r="I68" s="134">
        <f>'Прайс для расчета (М)'!E61</f>
        <v>21.619500000000002</v>
      </c>
      <c r="J68" s="133">
        <f t="shared" si="8"/>
        <v>21.619500000000002</v>
      </c>
    </row>
    <row r="69" spans="2:10" ht="15.6" hidden="1" x14ac:dyDescent="0.25">
      <c r="B69" s="122">
        <f>IF(SUM(B70:B86)&gt;0,1,0)</f>
        <v>0</v>
      </c>
      <c r="C69" s="60" t="s">
        <v>879</v>
      </c>
      <c r="D69" s="61"/>
      <c r="E69" s="62"/>
      <c r="F69" s="62"/>
      <c r="G69" s="123"/>
    </row>
    <row r="70" spans="2:10" ht="15.6" hidden="1" x14ac:dyDescent="0.25">
      <c r="B70" s="122"/>
      <c r="C70" s="69" t="s">
        <v>334</v>
      </c>
      <c r="D70" s="61" t="s">
        <v>3</v>
      </c>
      <c r="E70" s="62">
        <f>$A$2</f>
        <v>14.005000000000001</v>
      </c>
      <c r="F70" s="62">
        <f>'Прайс для расчета'!E62</f>
        <v>110.25</v>
      </c>
      <c r="G70" s="123">
        <f t="shared" ref="G70:G86" si="9">F70*E70</f>
        <v>1544.05125</v>
      </c>
      <c r="I70" s="134">
        <f>'Прайс для расчета (М)'!E62</f>
        <v>55.125</v>
      </c>
      <c r="J70" s="133">
        <f t="shared" ref="J70:J86" si="10">I70*E70</f>
        <v>772.02562499999999</v>
      </c>
    </row>
    <row r="71" spans="2:10" ht="15.6" hidden="1" x14ac:dyDescent="0.25">
      <c r="B71" s="122"/>
      <c r="C71" s="69" t="s">
        <v>335</v>
      </c>
      <c r="D71" s="61" t="s">
        <v>2</v>
      </c>
      <c r="E71" s="62">
        <f t="shared" ref="E71:E76" si="11">$A$4</f>
        <v>11.67</v>
      </c>
      <c r="F71" s="62">
        <f>'Прайс для расчета'!E63</f>
        <v>248.99699999999999</v>
      </c>
      <c r="G71" s="123">
        <f t="shared" si="9"/>
        <v>2905.7949899999999</v>
      </c>
      <c r="I71" s="134">
        <f>'Прайс для расчета (М)'!E63</f>
        <v>124.49849999999999</v>
      </c>
      <c r="J71" s="133">
        <f t="shared" si="10"/>
        <v>1452.8974949999999</v>
      </c>
    </row>
    <row r="72" spans="2:10" ht="15.6" hidden="1" x14ac:dyDescent="0.25">
      <c r="B72" s="122"/>
      <c r="C72" s="69" t="s">
        <v>336</v>
      </c>
      <c r="D72" s="61" t="s">
        <v>2</v>
      </c>
      <c r="E72" s="62">
        <f t="shared" si="11"/>
        <v>11.67</v>
      </c>
      <c r="F72" s="62">
        <f>'Прайс для расчета'!E64</f>
        <v>205.75799999999998</v>
      </c>
      <c r="G72" s="123">
        <f t="shared" si="9"/>
        <v>2401.1958599999998</v>
      </c>
      <c r="I72" s="134">
        <f>'Прайс для расчета (М)'!E64</f>
        <v>102.87899999999999</v>
      </c>
      <c r="J72" s="133">
        <f t="shared" si="10"/>
        <v>1200.5979299999999</v>
      </c>
    </row>
    <row r="73" spans="2:10" ht="15.6" hidden="1" x14ac:dyDescent="0.25">
      <c r="B73" s="122"/>
      <c r="C73" s="69" t="s">
        <v>481</v>
      </c>
      <c r="D73" s="61" t="s">
        <v>2</v>
      </c>
      <c r="E73" s="62">
        <f t="shared" si="11"/>
        <v>11.67</v>
      </c>
      <c r="F73" s="62">
        <f>'Прайс для расчета'!E65</f>
        <v>155.06400000000002</v>
      </c>
      <c r="G73" s="123">
        <f t="shared" si="9"/>
        <v>1809.5968800000003</v>
      </c>
      <c r="I73" s="134">
        <f>'Прайс для расчета (М)'!E65</f>
        <v>77.532000000000011</v>
      </c>
      <c r="J73" s="133">
        <f t="shared" si="10"/>
        <v>904.79844000000014</v>
      </c>
    </row>
    <row r="74" spans="2:10" ht="15.6" hidden="1" x14ac:dyDescent="0.25">
      <c r="B74" s="122"/>
      <c r="C74" s="69" t="s">
        <v>482</v>
      </c>
      <c r="D74" s="61" t="s">
        <v>2</v>
      </c>
      <c r="E74" s="62">
        <f t="shared" si="11"/>
        <v>11.67</v>
      </c>
      <c r="F74" s="62">
        <f>'Прайс для расчета'!E66</f>
        <v>137.172</v>
      </c>
      <c r="G74" s="123">
        <f t="shared" si="9"/>
        <v>1600.7972399999999</v>
      </c>
      <c r="I74" s="134">
        <f>'Прайс для расчета (М)'!E66</f>
        <v>68.585999999999999</v>
      </c>
      <c r="J74" s="133">
        <f t="shared" si="10"/>
        <v>800.39861999999994</v>
      </c>
    </row>
    <row r="75" spans="2:10" ht="15.6" hidden="1" x14ac:dyDescent="0.25">
      <c r="B75" s="122"/>
      <c r="C75" s="69" t="s">
        <v>483</v>
      </c>
      <c r="D75" s="61" t="s">
        <v>2</v>
      </c>
      <c r="E75" s="62">
        <f t="shared" si="11"/>
        <v>11.67</v>
      </c>
      <c r="F75" s="62">
        <f>'Прайс для расчета'!E67</f>
        <v>86.478000000000009</v>
      </c>
      <c r="G75" s="123">
        <f t="shared" si="9"/>
        <v>1009.1982600000001</v>
      </c>
      <c r="I75" s="134">
        <f>'Прайс для расчета (М)'!E67</f>
        <v>43.239000000000004</v>
      </c>
      <c r="J75" s="133">
        <f t="shared" si="10"/>
        <v>504.59913000000006</v>
      </c>
    </row>
    <row r="76" spans="2:10" ht="15.6" hidden="1" x14ac:dyDescent="0.25">
      <c r="B76" s="122"/>
      <c r="C76" s="69" t="s">
        <v>484</v>
      </c>
      <c r="D76" s="61" t="s">
        <v>2</v>
      </c>
      <c r="E76" s="62">
        <f t="shared" si="11"/>
        <v>11.67</v>
      </c>
      <c r="F76" s="62">
        <f>'Прайс для расчета'!E68</f>
        <v>102.87899999999999</v>
      </c>
      <c r="G76" s="123">
        <f t="shared" si="9"/>
        <v>1200.5979299999999</v>
      </c>
      <c r="I76" s="134">
        <f>'Прайс для расчета (М)'!E68</f>
        <v>51.439499999999995</v>
      </c>
      <c r="J76" s="133">
        <f t="shared" si="10"/>
        <v>600.29896499999995</v>
      </c>
    </row>
    <row r="77" spans="2:10" ht="15.6" hidden="1" x14ac:dyDescent="0.25">
      <c r="B77" s="122"/>
      <c r="C77" s="69" t="s">
        <v>337</v>
      </c>
      <c r="D77" s="61" t="s">
        <v>0</v>
      </c>
      <c r="E77" s="62">
        <v>1</v>
      </c>
      <c r="F77" s="62">
        <f>'Прайс для расчета'!E69</f>
        <v>164.01</v>
      </c>
      <c r="G77" s="123">
        <f t="shared" si="9"/>
        <v>164.01</v>
      </c>
      <c r="I77" s="134">
        <f>'Прайс для расчета (М)'!E69</f>
        <v>82.004999999999995</v>
      </c>
      <c r="J77" s="133">
        <f t="shared" si="10"/>
        <v>82.004999999999995</v>
      </c>
    </row>
    <row r="78" spans="2:10" ht="15.6" hidden="1" x14ac:dyDescent="0.25">
      <c r="B78" s="122"/>
      <c r="C78" s="69" t="s">
        <v>661</v>
      </c>
      <c r="D78" s="61" t="s">
        <v>2</v>
      </c>
      <c r="E78" s="62">
        <f>$A$4</f>
        <v>11.67</v>
      </c>
      <c r="F78" s="62">
        <f>'Прайс для расчета'!E70</f>
        <v>377.22300000000001</v>
      </c>
      <c r="G78" s="123">
        <f t="shared" si="9"/>
        <v>4402.1924100000006</v>
      </c>
      <c r="I78" s="134">
        <f>'Прайс для расчета (М)'!E70</f>
        <v>188.61150000000001</v>
      </c>
      <c r="J78" s="133">
        <f t="shared" si="10"/>
        <v>2201.0962050000003</v>
      </c>
    </row>
    <row r="79" spans="2:10" ht="15.6" hidden="1" x14ac:dyDescent="0.25">
      <c r="B79" s="122"/>
      <c r="C79" s="69" t="s">
        <v>338</v>
      </c>
      <c r="D79" s="61" t="s">
        <v>3</v>
      </c>
      <c r="E79" s="62">
        <f>ROUND($E$7*2,0)</f>
        <v>0</v>
      </c>
      <c r="F79" s="62">
        <f>'Прайс для расчета'!E71</f>
        <v>274.34399999999999</v>
      </c>
      <c r="G79" s="123">
        <f t="shared" si="9"/>
        <v>0</v>
      </c>
      <c r="I79" s="134">
        <f>'Прайс для расчета (М)'!E71</f>
        <v>137.172</v>
      </c>
      <c r="J79" s="133">
        <f t="shared" si="10"/>
        <v>0</v>
      </c>
    </row>
    <row r="80" spans="2:10" ht="15.6" hidden="1" x14ac:dyDescent="0.25">
      <c r="B80" s="122"/>
      <c r="C80" s="69" t="s">
        <v>138</v>
      </c>
      <c r="D80" s="61" t="s">
        <v>3</v>
      </c>
      <c r="E80" s="62">
        <f t="shared" ref="E80:E86" si="12">$A$4</f>
        <v>11.67</v>
      </c>
      <c r="F80" s="62">
        <f>'Прайс для расчета'!E72</f>
        <v>204.75</v>
      </c>
      <c r="G80" s="123">
        <f t="shared" si="9"/>
        <v>2389.4324999999999</v>
      </c>
      <c r="I80" s="134">
        <f>'Прайс для расчета (М)'!E72</f>
        <v>102.375</v>
      </c>
      <c r="J80" s="133">
        <f t="shared" si="10"/>
        <v>1194.7162499999999</v>
      </c>
    </row>
    <row r="81" spans="2:10" ht="15.6" hidden="1" x14ac:dyDescent="0.25">
      <c r="B81" s="122"/>
      <c r="C81" s="69" t="s">
        <v>339</v>
      </c>
      <c r="D81" s="61" t="s">
        <v>2</v>
      </c>
      <c r="E81" s="62">
        <f t="shared" si="12"/>
        <v>11.67</v>
      </c>
      <c r="F81" s="62">
        <f>'Прайс для расчета'!E73</f>
        <v>274.34399999999999</v>
      </c>
      <c r="G81" s="123">
        <f t="shared" si="9"/>
        <v>3201.5944799999997</v>
      </c>
      <c r="I81" s="134">
        <f>'Прайс для расчета (М)'!E73</f>
        <v>137.172</v>
      </c>
      <c r="J81" s="133">
        <f t="shared" si="10"/>
        <v>1600.7972399999999</v>
      </c>
    </row>
    <row r="82" spans="2:10" ht="15.6" hidden="1" x14ac:dyDescent="0.25">
      <c r="B82" s="122"/>
      <c r="C82" s="69" t="s">
        <v>156</v>
      </c>
      <c r="D82" s="61" t="s">
        <v>2</v>
      </c>
      <c r="E82" s="62">
        <f t="shared" si="12"/>
        <v>11.67</v>
      </c>
      <c r="F82" s="62">
        <f>'Прайс для расчета'!E74</f>
        <v>223.65</v>
      </c>
      <c r="G82" s="123">
        <f t="shared" si="9"/>
        <v>2609.9955</v>
      </c>
      <c r="I82" s="134">
        <f>'Прайс для расчета (М)'!E74</f>
        <v>111.825</v>
      </c>
      <c r="J82" s="133">
        <f t="shared" si="10"/>
        <v>1304.99775</v>
      </c>
    </row>
    <row r="83" spans="2:10" ht="15.6" hidden="1" x14ac:dyDescent="0.25">
      <c r="B83" s="122"/>
      <c r="C83" s="69" t="s">
        <v>340</v>
      </c>
      <c r="D83" s="61" t="s">
        <v>2</v>
      </c>
      <c r="E83" s="62">
        <f t="shared" si="12"/>
        <v>11.67</v>
      </c>
      <c r="F83" s="62">
        <f>'Прайс для расчета'!E75</f>
        <v>506.94</v>
      </c>
      <c r="G83" s="123">
        <f t="shared" si="9"/>
        <v>5915.9898000000003</v>
      </c>
      <c r="I83" s="134">
        <f>'Прайс для расчета (М)'!E75</f>
        <v>253.47</v>
      </c>
      <c r="J83" s="133">
        <f t="shared" si="10"/>
        <v>2957.9949000000001</v>
      </c>
    </row>
    <row r="84" spans="2:10" ht="15.6" hidden="1" x14ac:dyDescent="0.25">
      <c r="B84" s="122"/>
      <c r="C84" s="69" t="s">
        <v>54</v>
      </c>
      <c r="D84" s="61" t="s">
        <v>2</v>
      </c>
      <c r="E84" s="62">
        <f t="shared" si="12"/>
        <v>11.67</v>
      </c>
      <c r="F84" s="62">
        <f>'Прайс для расчета'!E76</f>
        <v>591.92700000000002</v>
      </c>
      <c r="G84" s="123">
        <f t="shared" si="9"/>
        <v>6907.78809</v>
      </c>
      <c r="I84" s="134">
        <f>'Прайс для расчета (М)'!E76</f>
        <v>295.96350000000001</v>
      </c>
      <c r="J84" s="133">
        <f t="shared" si="10"/>
        <v>3453.894045</v>
      </c>
    </row>
    <row r="85" spans="2:10" ht="15.6" hidden="1" x14ac:dyDescent="0.25">
      <c r="B85" s="122"/>
      <c r="C85" s="69" t="s">
        <v>221</v>
      </c>
      <c r="D85" s="61" t="s">
        <v>2</v>
      </c>
      <c r="E85" s="62">
        <f t="shared" si="12"/>
        <v>11.67</v>
      </c>
      <c r="F85" s="62">
        <f>'Прайс для расчета'!E77</f>
        <v>210</v>
      </c>
      <c r="G85" s="123">
        <f t="shared" si="9"/>
        <v>2450.6999999999998</v>
      </c>
      <c r="I85" s="134">
        <f>'Прайс для расчета (М)'!E77</f>
        <v>105</v>
      </c>
      <c r="J85" s="133">
        <f t="shared" si="10"/>
        <v>1225.3499999999999</v>
      </c>
    </row>
    <row r="86" spans="2:10" ht="15.6" hidden="1" x14ac:dyDescent="0.25">
      <c r="B86" s="122"/>
      <c r="C86" s="69" t="s">
        <v>157</v>
      </c>
      <c r="D86" s="61" t="s">
        <v>2</v>
      </c>
      <c r="E86" s="62">
        <f t="shared" si="12"/>
        <v>11.67</v>
      </c>
      <c r="F86" s="62">
        <f>'Прайс для расчета'!E78</f>
        <v>240.05099999999999</v>
      </c>
      <c r="G86" s="123">
        <f t="shared" si="9"/>
        <v>2801.3951699999998</v>
      </c>
      <c r="I86" s="134">
        <f>'Прайс для расчета (М)'!E78</f>
        <v>120.02549999999999</v>
      </c>
      <c r="J86" s="133">
        <f t="shared" si="10"/>
        <v>1400.6975849999999</v>
      </c>
    </row>
    <row r="87" spans="2:10" ht="15.6" hidden="1" x14ac:dyDescent="0.25">
      <c r="B87" s="122">
        <f>IF(SUM(B88:B96)&gt;0,1,0)</f>
        <v>0</v>
      </c>
      <c r="C87" s="60" t="s">
        <v>880</v>
      </c>
      <c r="D87" s="61"/>
      <c r="E87" s="62"/>
      <c r="F87" s="62"/>
      <c r="G87" s="123"/>
    </row>
    <row r="88" spans="2:10" ht="15.6" hidden="1" x14ac:dyDescent="0.25">
      <c r="B88" s="122"/>
      <c r="C88" s="69" t="s">
        <v>662</v>
      </c>
      <c r="D88" s="61" t="s">
        <v>3</v>
      </c>
      <c r="E88" s="62">
        <v>1</v>
      </c>
      <c r="F88" s="62">
        <f>'Прайс для расчета'!E79</f>
        <v>86.478000000000009</v>
      </c>
      <c r="G88" s="123">
        <f t="shared" ref="G88:G96" si="13">F88*E88</f>
        <v>86.478000000000009</v>
      </c>
      <c r="I88" s="134">
        <f>'Прайс для расчета (М)'!E79</f>
        <v>43.239000000000004</v>
      </c>
      <c r="J88" s="133">
        <f t="shared" ref="J88:J96" si="14">I88*E88</f>
        <v>43.239000000000004</v>
      </c>
    </row>
    <row r="89" spans="2:10" ht="15.6" hidden="1" x14ac:dyDescent="0.25">
      <c r="B89" s="122"/>
      <c r="C89" s="69" t="s">
        <v>485</v>
      </c>
      <c r="D89" s="61" t="s">
        <v>2</v>
      </c>
      <c r="E89" s="62">
        <v>1</v>
      </c>
      <c r="F89" s="62">
        <f>'Прайс для расчета'!E80</f>
        <v>420.46199999999999</v>
      </c>
      <c r="G89" s="123">
        <f t="shared" si="13"/>
        <v>420.46199999999999</v>
      </c>
      <c r="I89" s="134">
        <f>'Прайс для расчета (М)'!E80</f>
        <v>210.23099999999999</v>
      </c>
      <c r="J89" s="133">
        <f t="shared" si="14"/>
        <v>210.23099999999999</v>
      </c>
    </row>
    <row r="90" spans="2:10" ht="15.6" hidden="1" x14ac:dyDescent="0.25">
      <c r="B90" s="122"/>
      <c r="C90" s="69" t="s">
        <v>486</v>
      </c>
      <c r="D90" s="61" t="s">
        <v>2</v>
      </c>
      <c r="E90" s="62">
        <v>1</v>
      </c>
      <c r="F90" s="62">
        <f>'Прайс для расчета'!E81</f>
        <v>591.92700000000002</v>
      </c>
      <c r="G90" s="123">
        <f t="shared" si="13"/>
        <v>591.92700000000002</v>
      </c>
      <c r="I90" s="134">
        <f>'Прайс для расчета (М)'!E81</f>
        <v>295.96350000000001</v>
      </c>
      <c r="J90" s="133">
        <f t="shared" si="14"/>
        <v>295.96350000000001</v>
      </c>
    </row>
    <row r="91" spans="2:10" ht="15.6" hidden="1" x14ac:dyDescent="0.25">
      <c r="B91" s="122"/>
      <c r="C91" s="69" t="s">
        <v>341</v>
      </c>
      <c r="D91" s="61" t="s">
        <v>0</v>
      </c>
      <c r="E91" s="62">
        <v>1</v>
      </c>
      <c r="F91" s="62">
        <f>'Прайс для расчета'!E82</f>
        <v>335.47500000000002</v>
      </c>
      <c r="G91" s="123">
        <f t="shared" si="13"/>
        <v>335.47500000000002</v>
      </c>
      <c r="I91" s="134">
        <f>'Прайс для расчета (М)'!E82</f>
        <v>167.73750000000001</v>
      </c>
      <c r="J91" s="133">
        <f t="shared" si="14"/>
        <v>167.73750000000001</v>
      </c>
    </row>
    <row r="92" spans="2:10" ht="15.6" hidden="1" x14ac:dyDescent="0.25">
      <c r="B92" s="122"/>
      <c r="C92" s="69" t="s">
        <v>61</v>
      </c>
      <c r="D92" s="61" t="s">
        <v>3</v>
      </c>
      <c r="E92" s="62">
        <v>1</v>
      </c>
      <c r="F92" s="62">
        <f>'Прайс для расчета'!E83</f>
        <v>102.87899999999999</v>
      </c>
      <c r="G92" s="123">
        <f t="shared" si="13"/>
        <v>102.87899999999999</v>
      </c>
      <c r="I92" s="134">
        <f>'Прайс для расчета (М)'!E83</f>
        <v>51.439499999999995</v>
      </c>
      <c r="J92" s="133">
        <f t="shared" si="14"/>
        <v>51.439499999999995</v>
      </c>
    </row>
    <row r="93" spans="2:10" ht="15.6" hidden="1" x14ac:dyDescent="0.25">
      <c r="B93" s="122"/>
      <c r="C93" s="69" t="s">
        <v>342</v>
      </c>
      <c r="D93" s="61" t="s">
        <v>2</v>
      </c>
      <c r="E93" s="62">
        <v>1</v>
      </c>
      <c r="F93" s="62">
        <f>'Прайс для расчета'!E84</f>
        <v>644.11199999999997</v>
      </c>
      <c r="G93" s="123">
        <f t="shared" si="13"/>
        <v>644.11199999999997</v>
      </c>
      <c r="I93" s="134">
        <f>'Прайс для расчета (М)'!E84</f>
        <v>322.05599999999998</v>
      </c>
      <c r="J93" s="133">
        <f t="shared" si="14"/>
        <v>322.05599999999998</v>
      </c>
    </row>
    <row r="94" spans="2:10" ht="15.6" hidden="1" x14ac:dyDescent="0.25">
      <c r="B94" s="122"/>
      <c r="C94" s="69" t="s">
        <v>343</v>
      </c>
      <c r="D94" s="61" t="s">
        <v>2</v>
      </c>
      <c r="E94" s="62">
        <v>1</v>
      </c>
      <c r="F94" s="62">
        <f>'Прайс для расчета'!E85</f>
        <v>678.40500000000009</v>
      </c>
      <c r="G94" s="123">
        <f t="shared" si="13"/>
        <v>678.40500000000009</v>
      </c>
      <c r="I94" s="134">
        <f>'Прайс для расчета (М)'!E85</f>
        <v>339.20250000000004</v>
      </c>
      <c r="J94" s="133">
        <f t="shared" si="14"/>
        <v>339.20250000000004</v>
      </c>
    </row>
    <row r="95" spans="2:10" ht="15.6" hidden="1" x14ac:dyDescent="0.25">
      <c r="B95" s="122"/>
      <c r="C95" s="69" t="s">
        <v>663</v>
      </c>
      <c r="D95" s="61" t="s">
        <v>3</v>
      </c>
      <c r="E95" s="62">
        <v>1</v>
      </c>
      <c r="F95" s="62">
        <f>'Прайс для расчета'!E86</f>
        <v>395.11499999999995</v>
      </c>
      <c r="G95" s="123">
        <f t="shared" si="13"/>
        <v>395.11499999999995</v>
      </c>
      <c r="I95" s="134">
        <f>'Прайс для расчета (М)'!E86</f>
        <v>197.55749999999998</v>
      </c>
      <c r="J95" s="133">
        <f t="shared" si="14"/>
        <v>197.55749999999998</v>
      </c>
    </row>
    <row r="96" spans="2:10" ht="15.6" hidden="1" x14ac:dyDescent="0.25">
      <c r="B96" s="122"/>
      <c r="C96" s="69" t="s">
        <v>344</v>
      </c>
      <c r="D96" s="61" t="s">
        <v>2</v>
      </c>
      <c r="E96" s="62">
        <v>1</v>
      </c>
      <c r="F96" s="62">
        <f>'Прайс для расчета'!E87</f>
        <v>849.87</v>
      </c>
      <c r="G96" s="123">
        <f t="shared" si="13"/>
        <v>849.87</v>
      </c>
      <c r="I96" s="134">
        <f>'Прайс для расчета (М)'!E87</f>
        <v>424.935</v>
      </c>
      <c r="J96" s="133">
        <f t="shared" si="14"/>
        <v>424.935</v>
      </c>
    </row>
    <row r="97" spans="2:10" ht="15.6" hidden="1" x14ac:dyDescent="0.25">
      <c r="B97" s="122">
        <f>IF(SUM(B98:B104)&gt;0,1,0)</f>
        <v>0</v>
      </c>
      <c r="C97" s="60" t="s">
        <v>881</v>
      </c>
      <c r="D97" s="61"/>
      <c r="E97" s="62"/>
      <c r="F97" s="62"/>
      <c r="G97" s="123"/>
    </row>
    <row r="98" spans="2:10" ht="15.6" hidden="1" x14ac:dyDescent="0.25">
      <c r="B98" s="122"/>
      <c r="C98" s="69" t="s">
        <v>158</v>
      </c>
      <c r="D98" s="61" t="s">
        <v>2</v>
      </c>
      <c r="E98" s="62">
        <v>1</v>
      </c>
      <c r="F98" s="62">
        <f>'Прайс для расчета'!E88</f>
        <v>987.04200000000003</v>
      </c>
      <c r="G98" s="123">
        <f t="shared" ref="G98:G104" si="15">F98*E98</f>
        <v>987.04200000000003</v>
      </c>
      <c r="I98" s="134">
        <f>'Прайс для расчета (М)'!E88</f>
        <v>493.52100000000002</v>
      </c>
      <c r="J98" s="133">
        <f t="shared" ref="J98:J104" si="16">I98*E98</f>
        <v>493.52100000000002</v>
      </c>
    </row>
    <row r="99" spans="2:10" ht="15.6" hidden="1" x14ac:dyDescent="0.25">
      <c r="B99" s="122"/>
      <c r="C99" s="69" t="s">
        <v>345</v>
      </c>
      <c r="D99" s="61" t="s">
        <v>645</v>
      </c>
      <c r="E99" s="62">
        <f>$E$7</f>
        <v>0</v>
      </c>
      <c r="F99" s="62">
        <f>'Прайс для расчета'!E89</f>
        <v>248.99699999999999</v>
      </c>
      <c r="G99" s="123">
        <f t="shared" si="15"/>
        <v>0</v>
      </c>
      <c r="I99" s="134">
        <f>'Прайс для расчета (М)'!E89</f>
        <v>124.49849999999999</v>
      </c>
      <c r="J99" s="133">
        <f t="shared" si="16"/>
        <v>0</v>
      </c>
    </row>
    <row r="100" spans="2:10" ht="15.6" hidden="1" x14ac:dyDescent="0.25">
      <c r="B100" s="122"/>
      <c r="C100" s="69" t="s">
        <v>62</v>
      </c>
      <c r="D100" s="61" t="s">
        <v>0</v>
      </c>
      <c r="E100" s="62">
        <v>1</v>
      </c>
      <c r="F100" s="62">
        <f>'Прайс для расчета'!E90</f>
        <v>326.529</v>
      </c>
      <c r="G100" s="123">
        <f t="shared" si="15"/>
        <v>326.529</v>
      </c>
      <c r="I100" s="134">
        <f>'Прайс для расчета (М)'!E90</f>
        <v>163.2645</v>
      </c>
      <c r="J100" s="133">
        <f t="shared" si="16"/>
        <v>163.2645</v>
      </c>
    </row>
    <row r="101" spans="2:10" ht="15.6" hidden="1" x14ac:dyDescent="0.25">
      <c r="B101" s="122"/>
      <c r="C101" s="69" t="s">
        <v>487</v>
      </c>
      <c r="D101" s="61" t="s">
        <v>0</v>
      </c>
      <c r="E101" s="62">
        <v>1</v>
      </c>
      <c r="F101" s="62">
        <f>'Прайс для расчета'!E91</f>
        <v>1698.249</v>
      </c>
      <c r="G101" s="123">
        <f t="shared" si="15"/>
        <v>1698.249</v>
      </c>
      <c r="I101" s="134">
        <f>'Прайс для расчета (М)'!E91</f>
        <v>849.12450000000001</v>
      </c>
      <c r="J101" s="133">
        <f t="shared" si="16"/>
        <v>849.12450000000001</v>
      </c>
    </row>
    <row r="102" spans="2:10" ht="15.6" hidden="1" x14ac:dyDescent="0.25">
      <c r="B102" s="122"/>
      <c r="C102" s="69" t="s">
        <v>346</v>
      </c>
      <c r="D102" s="61" t="s">
        <v>0</v>
      </c>
      <c r="E102" s="62">
        <v>1</v>
      </c>
      <c r="F102" s="62">
        <f>'Прайс для расчета'!E92</f>
        <v>335.47500000000002</v>
      </c>
      <c r="G102" s="123">
        <f t="shared" si="15"/>
        <v>335.47500000000002</v>
      </c>
      <c r="I102" s="134">
        <f>'Прайс для расчета (М)'!E92</f>
        <v>167.73750000000001</v>
      </c>
      <c r="J102" s="133">
        <f t="shared" si="16"/>
        <v>167.73750000000001</v>
      </c>
    </row>
    <row r="103" spans="2:10" ht="15.6" hidden="1" x14ac:dyDescent="0.25">
      <c r="B103" s="122"/>
      <c r="C103" s="69" t="s">
        <v>664</v>
      </c>
      <c r="D103" s="61" t="s">
        <v>645</v>
      </c>
      <c r="E103" s="62">
        <v>1</v>
      </c>
      <c r="F103" s="62">
        <f>'Прайс для расчета'!E93</f>
        <v>240.05099999999999</v>
      </c>
      <c r="G103" s="123">
        <f t="shared" si="15"/>
        <v>240.05099999999999</v>
      </c>
      <c r="I103" s="134">
        <f>'Прайс для расчета (М)'!E93</f>
        <v>120.02549999999999</v>
      </c>
      <c r="J103" s="133">
        <f t="shared" si="16"/>
        <v>120.02549999999999</v>
      </c>
    </row>
    <row r="104" spans="2:10" ht="15.6" hidden="1" x14ac:dyDescent="0.25">
      <c r="B104" s="122"/>
      <c r="C104" s="69" t="s">
        <v>665</v>
      </c>
      <c r="D104" s="61" t="s">
        <v>0</v>
      </c>
      <c r="E104" s="62">
        <v>1</v>
      </c>
      <c r="F104" s="62">
        <f>'Прайс для расчета'!E94</f>
        <v>102.87899999999999</v>
      </c>
      <c r="G104" s="123">
        <f t="shared" si="15"/>
        <v>102.87899999999999</v>
      </c>
      <c r="I104" s="134">
        <f>'Прайс для расчета (М)'!E94</f>
        <v>51.439499999999995</v>
      </c>
      <c r="J104" s="133">
        <f t="shared" si="16"/>
        <v>51.439499999999995</v>
      </c>
    </row>
    <row r="105" spans="2:10" ht="15.6" hidden="1" x14ac:dyDescent="0.25">
      <c r="B105" s="122">
        <f>IF(SUM(B106:B125)&gt;0,1,0)</f>
        <v>0</v>
      </c>
      <c r="C105" s="60" t="s">
        <v>882</v>
      </c>
      <c r="D105" s="61"/>
      <c r="E105" s="62"/>
      <c r="F105" s="62"/>
      <c r="G105" s="123"/>
    </row>
    <row r="106" spans="2:10" ht="15.6" hidden="1" x14ac:dyDescent="0.25">
      <c r="B106" s="122"/>
      <c r="C106" s="69" t="s">
        <v>666</v>
      </c>
      <c r="D106" s="61" t="s">
        <v>0</v>
      </c>
      <c r="E106" s="62">
        <v>1</v>
      </c>
      <c r="F106" s="62">
        <f>'Прайс для расчета'!E95</f>
        <v>472.5</v>
      </c>
      <c r="G106" s="123">
        <f t="shared" ref="G106:G125" si="17">F106*E106</f>
        <v>472.5</v>
      </c>
      <c r="I106" s="134">
        <f>'Прайс для расчета (М)'!E95</f>
        <v>236.25</v>
      </c>
      <c r="J106" s="133">
        <f t="shared" ref="J106:J125" si="18">I106*E106</f>
        <v>236.25</v>
      </c>
    </row>
    <row r="107" spans="2:10" ht="15.6" hidden="1" x14ac:dyDescent="0.25">
      <c r="B107" s="122"/>
      <c r="C107" s="69" t="s">
        <v>159</v>
      </c>
      <c r="D107" s="61" t="s">
        <v>0</v>
      </c>
      <c r="E107" s="62">
        <v>1</v>
      </c>
      <c r="F107" s="62">
        <f>'Прайс для расчета'!E96</f>
        <v>840</v>
      </c>
      <c r="G107" s="123">
        <f t="shared" si="17"/>
        <v>840</v>
      </c>
      <c r="I107" s="134">
        <f>'Прайс для расчета (М)'!E96</f>
        <v>420</v>
      </c>
      <c r="J107" s="133">
        <f t="shared" si="18"/>
        <v>420</v>
      </c>
    </row>
    <row r="108" spans="2:10" ht="15.6" hidden="1" x14ac:dyDescent="0.25">
      <c r="B108" s="122"/>
      <c r="C108" s="69" t="s">
        <v>63</v>
      </c>
      <c r="D108" s="61" t="s">
        <v>2</v>
      </c>
      <c r="E108" s="62">
        <v>1</v>
      </c>
      <c r="F108" s="62">
        <f>'Прайс для расчета'!E97</f>
        <v>420.46199999999999</v>
      </c>
      <c r="G108" s="123">
        <f t="shared" si="17"/>
        <v>420.46199999999999</v>
      </c>
      <c r="I108" s="134">
        <f>'Прайс для расчета (М)'!E97</f>
        <v>210.23099999999999</v>
      </c>
      <c r="J108" s="133">
        <f t="shared" si="18"/>
        <v>210.23099999999999</v>
      </c>
    </row>
    <row r="109" spans="2:10" ht="15.6" hidden="1" x14ac:dyDescent="0.25">
      <c r="B109" s="122"/>
      <c r="C109" s="69" t="s">
        <v>488</v>
      </c>
      <c r="D109" s="61" t="s">
        <v>0</v>
      </c>
      <c r="E109" s="62">
        <v>1</v>
      </c>
      <c r="F109" s="62">
        <f>'Прайс для расчета'!E98</f>
        <v>1021.3349999999999</v>
      </c>
      <c r="G109" s="123">
        <f t="shared" si="17"/>
        <v>1021.3349999999999</v>
      </c>
      <c r="I109" s="134">
        <f>'Прайс для расчета (М)'!E98</f>
        <v>510.66749999999996</v>
      </c>
      <c r="J109" s="133">
        <f t="shared" si="18"/>
        <v>510.66749999999996</v>
      </c>
    </row>
    <row r="110" spans="2:10" ht="15.6" hidden="1" x14ac:dyDescent="0.25">
      <c r="B110" s="122"/>
      <c r="C110" s="69" t="s">
        <v>489</v>
      </c>
      <c r="D110" s="61" t="s">
        <v>0</v>
      </c>
      <c r="E110" s="62">
        <v>1</v>
      </c>
      <c r="F110" s="62">
        <f>'Прайс для расчета'!E99</f>
        <v>4179</v>
      </c>
      <c r="G110" s="123">
        <f t="shared" si="17"/>
        <v>4179</v>
      </c>
      <c r="I110" s="134">
        <f>'Прайс для расчета (М)'!E99</f>
        <v>2089.5</v>
      </c>
      <c r="J110" s="133">
        <f t="shared" si="18"/>
        <v>2089.5</v>
      </c>
    </row>
    <row r="111" spans="2:10" ht="15.6" hidden="1" x14ac:dyDescent="0.25">
      <c r="B111" s="122"/>
      <c r="C111" s="69" t="s">
        <v>490</v>
      </c>
      <c r="D111" s="61" t="s">
        <v>0</v>
      </c>
      <c r="E111" s="62">
        <v>1</v>
      </c>
      <c r="F111" s="62">
        <f>'Прайс для расчета'!E100</f>
        <v>1183.854</v>
      </c>
      <c r="G111" s="123">
        <f t="shared" si="17"/>
        <v>1183.854</v>
      </c>
      <c r="I111" s="134">
        <f>'Прайс для расчета (М)'!E100</f>
        <v>591.92700000000002</v>
      </c>
      <c r="J111" s="133">
        <f t="shared" si="18"/>
        <v>591.92700000000002</v>
      </c>
    </row>
    <row r="112" spans="2:10" ht="15.6" hidden="1" x14ac:dyDescent="0.25">
      <c r="B112" s="122"/>
      <c r="C112" s="69" t="s">
        <v>491</v>
      </c>
      <c r="D112" s="61" t="s">
        <v>0</v>
      </c>
      <c r="E112" s="62">
        <v>1</v>
      </c>
      <c r="F112" s="62">
        <f>'Прайс для расчета'!E101</f>
        <v>3129</v>
      </c>
      <c r="G112" s="123">
        <f t="shared" si="17"/>
        <v>3129</v>
      </c>
      <c r="I112" s="134">
        <f>'Прайс для расчета (М)'!E101</f>
        <v>1564.5</v>
      </c>
      <c r="J112" s="133">
        <f t="shared" si="18"/>
        <v>1564.5</v>
      </c>
    </row>
    <row r="113" spans="2:10" ht="15.6" hidden="1" x14ac:dyDescent="0.25">
      <c r="B113" s="122"/>
      <c r="C113" s="69" t="s">
        <v>667</v>
      </c>
      <c r="D113" s="61" t="s">
        <v>0</v>
      </c>
      <c r="E113" s="62">
        <v>1</v>
      </c>
      <c r="F113" s="62">
        <f>'Прайс для расчета'!E102</f>
        <v>591.92700000000002</v>
      </c>
      <c r="G113" s="123">
        <f t="shared" si="17"/>
        <v>591.92700000000002</v>
      </c>
      <c r="I113" s="134">
        <f>'Прайс для расчета (М)'!E102</f>
        <v>295.96350000000001</v>
      </c>
      <c r="J113" s="133">
        <f t="shared" si="18"/>
        <v>295.96350000000001</v>
      </c>
    </row>
    <row r="114" spans="2:10" ht="15.6" hidden="1" x14ac:dyDescent="0.25">
      <c r="B114" s="122"/>
      <c r="C114" s="69" t="s">
        <v>347</v>
      </c>
      <c r="D114" s="61" t="s">
        <v>0</v>
      </c>
      <c r="E114" s="62">
        <v>1</v>
      </c>
      <c r="F114" s="62">
        <f>'Прайс для расчета'!E103</f>
        <v>678.40500000000009</v>
      </c>
      <c r="G114" s="123">
        <f t="shared" si="17"/>
        <v>678.40500000000009</v>
      </c>
      <c r="I114" s="134">
        <f>'Прайс для расчета (М)'!E103</f>
        <v>339.20250000000004</v>
      </c>
      <c r="J114" s="133">
        <f t="shared" si="18"/>
        <v>339.20250000000004</v>
      </c>
    </row>
    <row r="115" spans="2:10" ht="15.6" hidden="1" x14ac:dyDescent="0.25">
      <c r="B115" s="122"/>
      <c r="C115" s="69" t="s">
        <v>348</v>
      </c>
      <c r="D115" s="61" t="s">
        <v>0</v>
      </c>
      <c r="E115" s="62">
        <v>1</v>
      </c>
      <c r="F115" s="62">
        <f>'Прайс для расчета'!E104</f>
        <v>849.87</v>
      </c>
      <c r="G115" s="123">
        <f t="shared" si="17"/>
        <v>849.87</v>
      </c>
      <c r="I115" s="134">
        <f>'Прайс для расчета (М)'!E104</f>
        <v>424.935</v>
      </c>
      <c r="J115" s="133">
        <f t="shared" si="18"/>
        <v>424.935</v>
      </c>
    </row>
    <row r="116" spans="2:10" ht="15.6" hidden="1" x14ac:dyDescent="0.25">
      <c r="B116" s="122"/>
      <c r="C116" s="69" t="s">
        <v>349</v>
      </c>
      <c r="D116" s="61" t="s">
        <v>0</v>
      </c>
      <c r="E116" s="62">
        <v>1</v>
      </c>
      <c r="F116" s="62">
        <f>'Прайс для расчета'!E105</f>
        <v>849.87</v>
      </c>
      <c r="G116" s="123">
        <f t="shared" si="17"/>
        <v>849.87</v>
      </c>
      <c r="I116" s="134">
        <f>'Прайс для расчета (М)'!E105</f>
        <v>424.935</v>
      </c>
      <c r="J116" s="133">
        <f t="shared" si="18"/>
        <v>424.935</v>
      </c>
    </row>
    <row r="117" spans="2:10" ht="15.6" hidden="1" x14ac:dyDescent="0.25">
      <c r="B117" s="122"/>
      <c r="C117" s="69" t="s">
        <v>668</v>
      </c>
      <c r="D117" s="61" t="s">
        <v>0</v>
      </c>
      <c r="E117" s="62">
        <v>1</v>
      </c>
      <c r="F117" s="62">
        <f>'Прайс для расчета'!E106</f>
        <v>678.40500000000009</v>
      </c>
      <c r="G117" s="123">
        <f t="shared" si="17"/>
        <v>678.40500000000009</v>
      </c>
      <c r="I117" s="134">
        <f>'Прайс для расчета (М)'!E106</f>
        <v>339.20250000000004</v>
      </c>
      <c r="J117" s="133">
        <f t="shared" si="18"/>
        <v>339.20250000000004</v>
      </c>
    </row>
    <row r="118" spans="2:10" ht="15.6" hidden="1" x14ac:dyDescent="0.25">
      <c r="B118" s="122"/>
      <c r="C118" s="69" t="s">
        <v>669</v>
      </c>
      <c r="D118" s="61" t="s">
        <v>0</v>
      </c>
      <c r="E118" s="62">
        <v>1</v>
      </c>
      <c r="F118" s="62">
        <f>'Прайс для расчета'!E107</f>
        <v>1106.3219999999999</v>
      </c>
      <c r="G118" s="123">
        <f t="shared" si="17"/>
        <v>1106.3219999999999</v>
      </c>
      <c r="I118" s="134">
        <f>'Прайс для расчета (М)'!E107</f>
        <v>553.16099999999994</v>
      </c>
      <c r="J118" s="133">
        <f t="shared" si="18"/>
        <v>553.16099999999994</v>
      </c>
    </row>
    <row r="119" spans="2:10" ht="15.6" hidden="1" x14ac:dyDescent="0.25">
      <c r="B119" s="122"/>
      <c r="C119" s="69" t="s">
        <v>670</v>
      </c>
      <c r="D119" s="61" t="s">
        <v>0</v>
      </c>
      <c r="E119" s="62">
        <v>1</v>
      </c>
      <c r="F119" s="62">
        <f>'Прайс для расчета'!E108</f>
        <v>892.5</v>
      </c>
      <c r="G119" s="123">
        <f t="shared" si="17"/>
        <v>892.5</v>
      </c>
      <c r="I119" s="134">
        <f>'Прайс для расчета (М)'!E108</f>
        <v>446.25</v>
      </c>
      <c r="J119" s="133">
        <f t="shared" si="18"/>
        <v>446.25</v>
      </c>
    </row>
    <row r="120" spans="2:10" ht="15.6" hidden="1" x14ac:dyDescent="0.25">
      <c r="B120" s="122"/>
      <c r="C120" s="69" t="s">
        <v>350</v>
      </c>
      <c r="D120" s="61" t="s">
        <v>0</v>
      </c>
      <c r="E120" s="62">
        <v>1</v>
      </c>
      <c r="F120" s="62">
        <f>'Прайс для расчета'!E109</f>
        <v>164.01</v>
      </c>
      <c r="G120" s="123">
        <f t="shared" si="17"/>
        <v>164.01</v>
      </c>
      <c r="I120" s="134">
        <f>'Прайс для расчета (М)'!E109</f>
        <v>82.004999999999995</v>
      </c>
      <c r="J120" s="133">
        <f t="shared" si="18"/>
        <v>82.004999999999995</v>
      </c>
    </row>
    <row r="121" spans="2:10" ht="15.6" hidden="1" x14ac:dyDescent="0.25">
      <c r="B121" s="122"/>
      <c r="C121" s="69" t="s">
        <v>351</v>
      </c>
      <c r="D121" s="61" t="s">
        <v>0</v>
      </c>
      <c r="E121" s="62">
        <v>1</v>
      </c>
      <c r="F121" s="62">
        <f>'Прайс для расчета'!E110</f>
        <v>102.87899999999999</v>
      </c>
      <c r="G121" s="123">
        <f t="shared" si="17"/>
        <v>102.87899999999999</v>
      </c>
      <c r="I121" s="134">
        <f>'Прайс для расчета (М)'!E110</f>
        <v>51.439499999999995</v>
      </c>
      <c r="J121" s="133">
        <f t="shared" si="18"/>
        <v>51.439499999999995</v>
      </c>
    </row>
    <row r="122" spans="2:10" ht="15.6" hidden="1" x14ac:dyDescent="0.25">
      <c r="B122" s="122"/>
      <c r="C122" s="69" t="s">
        <v>352</v>
      </c>
      <c r="D122" s="61" t="s">
        <v>3</v>
      </c>
      <c r="E122" s="62">
        <v>1</v>
      </c>
      <c r="F122" s="62">
        <f>'Прайс для расчета'!E111</f>
        <v>248.99699999999999</v>
      </c>
      <c r="G122" s="123">
        <f t="shared" si="17"/>
        <v>248.99699999999999</v>
      </c>
      <c r="I122" s="134">
        <f>'Прайс для расчета (М)'!E111</f>
        <v>124.49849999999999</v>
      </c>
      <c r="J122" s="133">
        <f t="shared" si="18"/>
        <v>124.49849999999999</v>
      </c>
    </row>
    <row r="123" spans="2:10" ht="15.6" hidden="1" x14ac:dyDescent="0.25">
      <c r="B123" s="122"/>
      <c r="C123" s="69" t="s">
        <v>353</v>
      </c>
      <c r="D123" s="61" t="s">
        <v>3</v>
      </c>
      <c r="E123" s="62">
        <v>1</v>
      </c>
      <c r="F123" s="62">
        <f>'Прайс для расчета'!E112</f>
        <v>395.11499999999995</v>
      </c>
      <c r="G123" s="123">
        <f t="shared" si="17"/>
        <v>395.11499999999995</v>
      </c>
      <c r="I123" s="134">
        <f>'Прайс для расчета (М)'!E112</f>
        <v>197.55749999999998</v>
      </c>
      <c r="J123" s="133">
        <f t="shared" si="18"/>
        <v>197.55749999999998</v>
      </c>
    </row>
    <row r="124" spans="2:10" ht="15.6" hidden="1" x14ac:dyDescent="0.25">
      <c r="B124" s="122"/>
      <c r="C124" s="69" t="s">
        <v>492</v>
      </c>
      <c r="D124" s="61" t="s">
        <v>3</v>
      </c>
      <c r="E124" s="62">
        <v>1</v>
      </c>
      <c r="F124" s="62">
        <f>'Прайс для расчета'!E113</f>
        <v>978.096</v>
      </c>
      <c r="G124" s="123">
        <f t="shared" si="17"/>
        <v>978.096</v>
      </c>
      <c r="I124" s="134">
        <f>'Прайс для расчета (М)'!E113</f>
        <v>489.048</v>
      </c>
      <c r="J124" s="133">
        <f t="shared" si="18"/>
        <v>489.048</v>
      </c>
    </row>
    <row r="125" spans="2:10" ht="15.6" hidden="1" x14ac:dyDescent="0.25">
      <c r="B125" s="122"/>
      <c r="C125" s="69" t="s">
        <v>493</v>
      </c>
      <c r="D125" s="61" t="s">
        <v>3</v>
      </c>
      <c r="E125" s="62">
        <v>1</v>
      </c>
      <c r="F125" s="62">
        <f>'Прайс для расчета'!E114</f>
        <v>1183.854</v>
      </c>
      <c r="G125" s="123">
        <f t="shared" si="17"/>
        <v>1183.854</v>
      </c>
      <c r="I125" s="134">
        <f>'Прайс для расчета (М)'!E114</f>
        <v>591.92700000000002</v>
      </c>
      <c r="J125" s="133">
        <f t="shared" si="18"/>
        <v>591.92700000000002</v>
      </c>
    </row>
    <row r="126" spans="2:10" ht="15.6" hidden="1" x14ac:dyDescent="0.25">
      <c r="B126" s="122">
        <f>IF(SUM(B127:B136)&gt;0,1,0)</f>
        <v>0</v>
      </c>
      <c r="C126" s="60" t="s">
        <v>883</v>
      </c>
      <c r="D126" s="61"/>
      <c r="E126" s="62"/>
      <c r="F126" s="62"/>
      <c r="G126" s="123"/>
    </row>
    <row r="127" spans="2:10" ht="15.6" hidden="1" x14ac:dyDescent="0.25">
      <c r="B127" s="122"/>
      <c r="C127" s="69" t="s">
        <v>354</v>
      </c>
      <c r="D127" s="61" t="s">
        <v>0</v>
      </c>
      <c r="E127" s="62">
        <v>1</v>
      </c>
      <c r="F127" s="62">
        <f>'Прайс для расчета'!E115</f>
        <v>146.11799999999999</v>
      </c>
      <c r="G127" s="123">
        <f t="shared" ref="G127:G136" si="19">F127*E127</f>
        <v>146.11799999999999</v>
      </c>
      <c r="I127" s="134">
        <f>'Прайс для расчета (М)'!E115</f>
        <v>73.058999999999997</v>
      </c>
      <c r="J127" s="133">
        <f t="shared" ref="J127:J136" si="20">I127*E127</f>
        <v>73.058999999999997</v>
      </c>
    </row>
    <row r="128" spans="2:10" ht="15.6" hidden="1" x14ac:dyDescent="0.25">
      <c r="B128" s="122"/>
      <c r="C128" s="69" t="s">
        <v>671</v>
      </c>
      <c r="D128" s="61" t="s">
        <v>0</v>
      </c>
      <c r="E128" s="62">
        <v>1</v>
      </c>
      <c r="F128" s="62">
        <f>'Прайс для расчета'!E116</f>
        <v>164.01</v>
      </c>
      <c r="G128" s="123">
        <f t="shared" si="19"/>
        <v>164.01</v>
      </c>
      <c r="I128" s="134">
        <f>'Прайс для расчета (М)'!E116</f>
        <v>82.004999999999995</v>
      </c>
      <c r="J128" s="133">
        <f t="shared" si="20"/>
        <v>82.004999999999995</v>
      </c>
    </row>
    <row r="129" spans="2:10" ht="15.6" hidden="1" x14ac:dyDescent="0.25">
      <c r="B129" s="122"/>
      <c r="C129" s="69" t="s">
        <v>146</v>
      </c>
      <c r="D129" s="61" t="s">
        <v>0</v>
      </c>
      <c r="E129" s="62">
        <v>1</v>
      </c>
      <c r="F129" s="62">
        <f>'Прайс для расчета'!E117</f>
        <v>335.47500000000002</v>
      </c>
      <c r="G129" s="123">
        <f t="shared" si="19"/>
        <v>335.47500000000002</v>
      </c>
      <c r="I129" s="134">
        <f>'Прайс для расчета (М)'!E117</f>
        <v>167.73750000000001</v>
      </c>
      <c r="J129" s="133">
        <f t="shared" si="20"/>
        <v>167.73750000000001</v>
      </c>
    </row>
    <row r="130" spans="2:10" ht="15.6" hidden="1" x14ac:dyDescent="0.25">
      <c r="B130" s="122"/>
      <c r="C130" s="69" t="s">
        <v>64</v>
      </c>
      <c r="D130" s="61" t="s">
        <v>0</v>
      </c>
      <c r="E130" s="62">
        <v>1</v>
      </c>
      <c r="F130" s="62">
        <f>'Прайс для расчета'!E118</f>
        <v>1021.3349999999999</v>
      </c>
      <c r="G130" s="123">
        <f t="shared" si="19"/>
        <v>1021.3349999999999</v>
      </c>
      <c r="I130" s="134">
        <f>'Прайс для расчета (М)'!E118</f>
        <v>510.66749999999996</v>
      </c>
      <c r="J130" s="133">
        <f t="shared" si="20"/>
        <v>510.66749999999996</v>
      </c>
    </row>
    <row r="131" spans="2:10" ht="15.6" hidden="1" x14ac:dyDescent="0.25">
      <c r="B131" s="122"/>
      <c r="C131" s="69" t="s">
        <v>672</v>
      </c>
      <c r="D131" s="61" t="s">
        <v>645</v>
      </c>
      <c r="E131" s="62">
        <v>1</v>
      </c>
      <c r="F131" s="62">
        <f>'Прайс для расчета'!E119</f>
        <v>34.292999999999999</v>
      </c>
      <c r="G131" s="123">
        <f t="shared" si="19"/>
        <v>34.292999999999999</v>
      </c>
      <c r="I131" s="134">
        <f>'Прайс для расчета (М)'!E119</f>
        <v>17.1465</v>
      </c>
      <c r="J131" s="133">
        <f t="shared" si="20"/>
        <v>17.1465</v>
      </c>
    </row>
    <row r="132" spans="2:10" ht="15.6" hidden="1" x14ac:dyDescent="0.25">
      <c r="B132" s="122"/>
      <c r="C132" s="69" t="s">
        <v>177</v>
      </c>
      <c r="D132" s="61" t="s">
        <v>0</v>
      </c>
      <c r="E132" s="62">
        <v>1</v>
      </c>
      <c r="F132" s="62">
        <f>'Прайс для расчета'!E120</f>
        <v>164.01</v>
      </c>
      <c r="G132" s="123">
        <f t="shared" si="19"/>
        <v>164.01</v>
      </c>
      <c r="I132" s="134">
        <f>'Прайс для расчета (М)'!E120</f>
        <v>82.004999999999995</v>
      </c>
      <c r="J132" s="133">
        <f t="shared" si="20"/>
        <v>82.004999999999995</v>
      </c>
    </row>
    <row r="133" spans="2:10" ht="15.6" hidden="1" x14ac:dyDescent="0.25">
      <c r="B133" s="122"/>
      <c r="C133" s="69" t="s">
        <v>355</v>
      </c>
      <c r="D133" s="61" t="s">
        <v>0</v>
      </c>
      <c r="E133" s="62">
        <v>1</v>
      </c>
      <c r="F133" s="62">
        <f>'Прайс для расчета'!E121</f>
        <v>600.87300000000005</v>
      </c>
      <c r="G133" s="123">
        <f t="shared" si="19"/>
        <v>600.87300000000005</v>
      </c>
      <c r="I133" s="134">
        <f>'Прайс для расчета (М)'!E121</f>
        <v>300.43650000000002</v>
      </c>
      <c r="J133" s="133">
        <f t="shared" si="20"/>
        <v>300.43650000000002</v>
      </c>
    </row>
    <row r="134" spans="2:10" ht="15.6" hidden="1" x14ac:dyDescent="0.25">
      <c r="B134" s="122"/>
      <c r="C134" s="69" t="s">
        <v>494</v>
      </c>
      <c r="D134" s="61" t="s">
        <v>0</v>
      </c>
      <c r="E134" s="62">
        <v>1</v>
      </c>
      <c r="F134" s="62">
        <f>'Прайс для расчета'!E122</f>
        <v>3936.24</v>
      </c>
      <c r="G134" s="123">
        <f t="shared" si="19"/>
        <v>3936.24</v>
      </c>
      <c r="I134" s="134">
        <f>'Прайс для расчета (М)'!E122</f>
        <v>1968.12</v>
      </c>
      <c r="J134" s="133">
        <f t="shared" si="20"/>
        <v>1968.12</v>
      </c>
    </row>
    <row r="135" spans="2:10" ht="15.6" hidden="1" x14ac:dyDescent="0.25">
      <c r="B135" s="122"/>
      <c r="C135" s="69" t="s">
        <v>495</v>
      </c>
      <c r="D135" s="61" t="s">
        <v>0</v>
      </c>
      <c r="E135" s="62">
        <v>1</v>
      </c>
      <c r="F135" s="62">
        <f>'Прайс для расчета'!E123</f>
        <v>5093.2559999999994</v>
      </c>
      <c r="G135" s="123">
        <f t="shared" si="19"/>
        <v>5093.2559999999994</v>
      </c>
      <c r="I135" s="134">
        <f>'Прайс для расчета (М)'!E123</f>
        <v>2546.6279999999997</v>
      </c>
      <c r="J135" s="133">
        <f t="shared" si="20"/>
        <v>2546.6279999999997</v>
      </c>
    </row>
    <row r="136" spans="2:10" ht="15.6" hidden="1" x14ac:dyDescent="0.25">
      <c r="B136" s="122"/>
      <c r="C136" s="69" t="s">
        <v>496</v>
      </c>
      <c r="D136" s="61" t="s">
        <v>0</v>
      </c>
      <c r="E136" s="62">
        <v>1</v>
      </c>
      <c r="F136" s="62">
        <f>'Прайс для расчета'!E124</f>
        <v>4244.8769999999995</v>
      </c>
      <c r="G136" s="123">
        <f t="shared" si="19"/>
        <v>4244.8769999999995</v>
      </c>
      <c r="I136" s="134">
        <f>'Прайс для расчета (М)'!E124</f>
        <v>2122.4384999999997</v>
      </c>
      <c r="J136" s="133">
        <f t="shared" si="20"/>
        <v>2122.4384999999997</v>
      </c>
    </row>
    <row r="137" spans="2:10" ht="20.100000000000001" hidden="1" customHeight="1" x14ac:dyDescent="0.25">
      <c r="B137" s="140">
        <f>IF(SUM(B11:B136)&gt;0,1,0)</f>
        <v>0</v>
      </c>
      <c r="C137" s="245" t="s">
        <v>497</v>
      </c>
      <c r="D137" s="245"/>
      <c r="E137" s="245"/>
      <c r="F137" s="245"/>
      <c r="G137" s="150">
        <f>SUMIF(B12:B136,1,G12:G136)</f>
        <v>0</v>
      </c>
      <c r="J137" s="133">
        <f>SUMIF(B12:B136,1,J12:J136)</f>
        <v>0</v>
      </c>
    </row>
    <row r="138" spans="2:10" ht="15.6" x14ac:dyDescent="0.25">
      <c r="B138" s="147">
        <f>IF(SUM(B139:B247)&gt;0,1,0)</f>
        <v>1</v>
      </c>
      <c r="C138" s="148" t="s">
        <v>1159</v>
      </c>
      <c r="D138" s="149" t="s">
        <v>179</v>
      </c>
      <c r="E138" s="149" t="s">
        <v>180</v>
      </c>
      <c r="F138" s="149" t="s">
        <v>1</v>
      </c>
      <c r="G138" s="149" t="s">
        <v>181</v>
      </c>
      <c r="I138" s="132" t="s">
        <v>1</v>
      </c>
      <c r="J138" s="133" t="s">
        <v>181</v>
      </c>
    </row>
    <row r="139" spans="2:10" ht="15.6" x14ac:dyDescent="0.25">
      <c r="B139" s="122">
        <f>IF(SUM(B140:B164)&gt;0,1,0)</f>
        <v>1</v>
      </c>
      <c r="C139" s="60" t="s">
        <v>877</v>
      </c>
      <c r="D139" s="61"/>
      <c r="E139" s="62"/>
      <c r="F139" s="62"/>
      <c r="G139" s="123"/>
    </row>
    <row r="140" spans="2:10" ht="15.6" hidden="1" x14ac:dyDescent="0.25">
      <c r="B140" s="122"/>
      <c r="C140" s="69" t="s">
        <v>1018</v>
      </c>
      <c r="D140" s="61" t="s">
        <v>2</v>
      </c>
      <c r="E140" s="62">
        <f t="shared" ref="E140:E164" si="21">$A$4</f>
        <v>11.67</v>
      </c>
      <c r="F140" s="62">
        <f>'Прайс для расчета'!E125</f>
        <v>94.5</v>
      </c>
      <c r="G140" s="123">
        <f t="shared" ref="G140:G164" si="22">F140*E140</f>
        <v>1102.8150000000001</v>
      </c>
      <c r="I140" s="134">
        <f>'Прайс для расчета (М)'!E125</f>
        <v>47.25</v>
      </c>
      <c r="J140" s="133">
        <f t="shared" ref="J140:J164" si="23">I140*E140</f>
        <v>551.40750000000003</v>
      </c>
    </row>
    <row r="141" spans="2:10" ht="15.6" hidden="1" x14ac:dyDescent="0.25">
      <c r="B141" s="122"/>
      <c r="C141" s="69" t="s">
        <v>1128</v>
      </c>
      <c r="D141" s="61" t="s">
        <v>2</v>
      </c>
      <c r="E141" s="62">
        <f t="shared" si="21"/>
        <v>11.67</v>
      </c>
      <c r="F141" s="62">
        <f>'Прайс для расчета'!E126</f>
        <v>157.5</v>
      </c>
      <c r="G141" s="123">
        <f t="shared" si="22"/>
        <v>1838.0250000000001</v>
      </c>
      <c r="I141" s="134">
        <f>'Прайс для расчета (М)'!E126</f>
        <v>78.75</v>
      </c>
      <c r="J141" s="133">
        <f t="shared" si="23"/>
        <v>919.01250000000005</v>
      </c>
    </row>
    <row r="142" spans="2:10" ht="15.6" hidden="1" x14ac:dyDescent="0.25">
      <c r="B142" s="122"/>
      <c r="C142" s="69" t="s">
        <v>1019</v>
      </c>
      <c r="D142" s="61" t="s">
        <v>2</v>
      </c>
      <c r="E142" s="62">
        <f t="shared" si="21"/>
        <v>11.67</v>
      </c>
      <c r="F142" s="62">
        <f>'Прайс для расчета'!E127</f>
        <v>114.45</v>
      </c>
      <c r="G142" s="123">
        <f t="shared" si="22"/>
        <v>1335.6315</v>
      </c>
      <c r="I142" s="134">
        <f>'Прайс для расчета (М)'!E127</f>
        <v>57.225000000000001</v>
      </c>
      <c r="J142" s="133">
        <f t="shared" si="23"/>
        <v>667.81574999999998</v>
      </c>
    </row>
    <row r="143" spans="2:10" ht="15.6" hidden="1" x14ac:dyDescent="0.25">
      <c r="B143" s="122"/>
      <c r="C143" s="69" t="s">
        <v>1034</v>
      </c>
      <c r="D143" s="61" t="s">
        <v>2</v>
      </c>
      <c r="E143" s="62">
        <f t="shared" si="21"/>
        <v>11.67</v>
      </c>
      <c r="F143" s="62">
        <f>'Прайс для расчета'!E128</f>
        <v>0</v>
      </c>
      <c r="G143" s="123">
        <f t="shared" si="22"/>
        <v>0</v>
      </c>
      <c r="I143" s="134">
        <f>'Прайс для расчета (М)'!E128</f>
        <v>0</v>
      </c>
      <c r="J143" s="133">
        <f t="shared" si="23"/>
        <v>0</v>
      </c>
    </row>
    <row r="144" spans="2:10" ht="15.6" hidden="1" x14ac:dyDescent="0.25">
      <c r="B144" s="122"/>
      <c r="C144" s="69" t="s">
        <v>930</v>
      </c>
      <c r="D144" s="61" t="s">
        <v>2</v>
      </c>
      <c r="E144" s="62">
        <f t="shared" si="21"/>
        <v>11.67</v>
      </c>
      <c r="F144" s="62">
        <f>'Прайс для расчета'!E129</f>
        <v>576.45000000000005</v>
      </c>
      <c r="G144" s="123">
        <f t="shared" si="22"/>
        <v>6727.1715000000004</v>
      </c>
      <c r="I144" s="134">
        <f>'Прайс для расчета (М)'!E129</f>
        <v>288.22500000000002</v>
      </c>
      <c r="J144" s="133">
        <f t="shared" si="23"/>
        <v>3363.5857500000002</v>
      </c>
    </row>
    <row r="145" spans="2:10" ht="15.6" hidden="1" x14ac:dyDescent="0.25">
      <c r="B145" s="122"/>
      <c r="C145" s="69" t="s">
        <v>931</v>
      </c>
      <c r="D145" s="61" t="s">
        <v>2</v>
      </c>
      <c r="E145" s="62">
        <f t="shared" si="21"/>
        <v>11.67</v>
      </c>
      <c r="F145" s="62">
        <f>'Прайс для расчета'!E130</f>
        <v>681.45</v>
      </c>
      <c r="G145" s="123">
        <f t="shared" si="22"/>
        <v>7952.5215000000007</v>
      </c>
      <c r="I145" s="134">
        <f>'Прайс для расчета (М)'!E130</f>
        <v>340.72500000000002</v>
      </c>
      <c r="J145" s="133">
        <f t="shared" si="23"/>
        <v>3976.2607500000004</v>
      </c>
    </row>
    <row r="146" spans="2:10" ht="15.6" hidden="1" x14ac:dyDescent="0.25">
      <c r="B146" s="122"/>
      <c r="C146" s="69" t="s">
        <v>932</v>
      </c>
      <c r="D146" s="61" t="s">
        <v>2</v>
      </c>
      <c r="E146" s="62">
        <f t="shared" si="21"/>
        <v>11.67</v>
      </c>
      <c r="F146" s="62">
        <f>'Прайс для расчета'!E131</f>
        <v>891.45</v>
      </c>
      <c r="G146" s="123">
        <f t="shared" si="22"/>
        <v>10403.2215</v>
      </c>
      <c r="I146" s="134">
        <f>'Прайс для расчета (М)'!E131</f>
        <v>445.72500000000002</v>
      </c>
      <c r="J146" s="133">
        <f t="shared" si="23"/>
        <v>5201.6107499999998</v>
      </c>
    </row>
    <row r="147" spans="2:10" ht="15.6" x14ac:dyDescent="0.25">
      <c r="B147" s="122">
        <v>1</v>
      </c>
      <c r="C147" s="69" t="s">
        <v>357</v>
      </c>
      <c r="D147" s="61" t="s">
        <v>2</v>
      </c>
      <c r="E147" s="62">
        <f t="shared" si="21"/>
        <v>11.67</v>
      </c>
      <c r="F147" s="62">
        <f>'Прайс для расчета'!E132</f>
        <v>996.45</v>
      </c>
      <c r="G147" s="123">
        <f t="shared" si="22"/>
        <v>11628.5715</v>
      </c>
      <c r="I147" s="134">
        <f>'Прайс для расчета (М)'!E132</f>
        <v>498.22500000000002</v>
      </c>
      <c r="J147" s="133">
        <f t="shared" si="23"/>
        <v>5814.28575</v>
      </c>
    </row>
    <row r="148" spans="2:10" ht="15.6" hidden="1" x14ac:dyDescent="0.25">
      <c r="B148" s="122"/>
      <c r="C148" s="69" t="s">
        <v>1127</v>
      </c>
      <c r="D148" s="61" t="s">
        <v>2</v>
      </c>
      <c r="E148" s="62">
        <f t="shared" si="21"/>
        <v>11.67</v>
      </c>
      <c r="F148" s="62">
        <f>'Прайс для расчета'!E133</f>
        <v>1101.45</v>
      </c>
      <c r="G148" s="123">
        <f t="shared" si="22"/>
        <v>12853.9215</v>
      </c>
      <c r="I148" s="134">
        <f>'Прайс для расчета (М)'!E133</f>
        <v>550.72500000000002</v>
      </c>
      <c r="J148" s="133">
        <f t="shared" si="23"/>
        <v>6426.9607500000002</v>
      </c>
    </row>
    <row r="149" spans="2:10" ht="15.6" hidden="1" x14ac:dyDescent="0.25">
      <c r="B149" s="122"/>
      <c r="C149" s="69" t="s">
        <v>151</v>
      </c>
      <c r="D149" s="61" t="s">
        <v>2</v>
      </c>
      <c r="E149" s="62">
        <f t="shared" si="21"/>
        <v>11.67</v>
      </c>
      <c r="F149" s="62">
        <f>'Прайс для расчета'!E134</f>
        <v>271.95</v>
      </c>
      <c r="G149" s="123">
        <f t="shared" si="22"/>
        <v>3173.6565000000001</v>
      </c>
      <c r="I149" s="134">
        <f>'Прайс для расчета (М)'!E134</f>
        <v>135.97499999999999</v>
      </c>
      <c r="J149" s="133">
        <f t="shared" si="23"/>
        <v>1586.82825</v>
      </c>
    </row>
    <row r="150" spans="2:10" ht="15.6" x14ac:dyDescent="0.25">
      <c r="B150" s="122">
        <v>1</v>
      </c>
      <c r="C150" s="69" t="s">
        <v>499</v>
      </c>
      <c r="D150" s="61" t="s">
        <v>2</v>
      </c>
      <c r="E150" s="62">
        <f t="shared" si="21"/>
        <v>11.67</v>
      </c>
      <c r="F150" s="62">
        <f>'Прайс для расчета'!E135</f>
        <v>262.5</v>
      </c>
      <c r="G150" s="123">
        <f t="shared" si="22"/>
        <v>3063.375</v>
      </c>
      <c r="I150" s="134">
        <f>'Прайс для расчета (М)'!E135</f>
        <v>131.25</v>
      </c>
      <c r="J150" s="133">
        <f t="shared" si="23"/>
        <v>1531.6875</v>
      </c>
    </row>
    <row r="151" spans="2:10" ht="15.6" x14ac:dyDescent="0.25">
      <c r="B151" s="122">
        <v>1</v>
      </c>
      <c r="C151" s="69" t="s">
        <v>500</v>
      </c>
      <c r="D151" s="61" t="s">
        <v>3</v>
      </c>
      <c r="E151" s="62">
        <f>$A$2</f>
        <v>14.005000000000001</v>
      </c>
      <c r="F151" s="62">
        <f>'Прайс для расчета'!E136</f>
        <v>250.95000000000002</v>
      </c>
      <c r="G151" s="123">
        <f t="shared" si="22"/>
        <v>3514.5547500000002</v>
      </c>
      <c r="I151" s="134">
        <f>'Прайс для расчета (М)'!E136</f>
        <v>125.47500000000001</v>
      </c>
      <c r="J151" s="133">
        <f t="shared" si="23"/>
        <v>1757.2773750000001</v>
      </c>
    </row>
    <row r="152" spans="2:10" ht="15.6" hidden="1" x14ac:dyDescent="0.25">
      <c r="B152" s="122"/>
      <c r="C152" s="69" t="s">
        <v>1024</v>
      </c>
      <c r="D152" s="61" t="s">
        <v>2</v>
      </c>
      <c r="E152" s="62">
        <f t="shared" si="21"/>
        <v>11.67</v>
      </c>
      <c r="F152" s="62">
        <f>'Прайс для расчета'!E137</f>
        <v>204.75</v>
      </c>
      <c r="G152" s="123">
        <f t="shared" si="22"/>
        <v>2389.4324999999999</v>
      </c>
      <c r="I152" s="134">
        <f>'Прайс для расчета (М)'!E137</f>
        <v>102.375</v>
      </c>
      <c r="J152" s="133">
        <f t="shared" si="23"/>
        <v>1194.7162499999999</v>
      </c>
    </row>
    <row r="153" spans="2:10" ht="15.6" hidden="1" x14ac:dyDescent="0.25">
      <c r="B153" s="122"/>
      <c r="C153" s="69" t="s">
        <v>359</v>
      </c>
      <c r="D153" s="61" t="s">
        <v>2</v>
      </c>
      <c r="E153" s="62">
        <f t="shared" si="21"/>
        <v>11.67</v>
      </c>
      <c r="F153" s="62">
        <f>'Прайс для расчета'!E138</f>
        <v>299.25</v>
      </c>
      <c r="G153" s="123">
        <f t="shared" si="22"/>
        <v>3492.2474999999999</v>
      </c>
      <c r="I153" s="134">
        <f>'Прайс для расчета (М)'!E138</f>
        <v>149.625</v>
      </c>
      <c r="J153" s="133">
        <f t="shared" si="23"/>
        <v>1746.12375</v>
      </c>
    </row>
    <row r="154" spans="2:10" ht="15.6" hidden="1" x14ac:dyDescent="0.25">
      <c r="B154" s="122"/>
      <c r="C154" s="69" t="s">
        <v>360</v>
      </c>
      <c r="D154" s="61" t="s">
        <v>2</v>
      </c>
      <c r="E154" s="62">
        <f t="shared" si="21"/>
        <v>11.67</v>
      </c>
      <c r="F154" s="62">
        <f>'Прайс для расчета'!E139</f>
        <v>104.36999999999999</v>
      </c>
      <c r="G154" s="123">
        <f t="shared" si="22"/>
        <v>1217.9978999999998</v>
      </c>
      <c r="I154" s="134">
        <f>'Прайс для расчета (М)'!E139</f>
        <v>52.184999999999995</v>
      </c>
      <c r="J154" s="133">
        <f t="shared" si="23"/>
        <v>608.99894999999992</v>
      </c>
    </row>
    <row r="155" spans="2:10" ht="15.6" hidden="1" x14ac:dyDescent="0.25">
      <c r="B155" s="122"/>
      <c r="C155" s="69" t="s">
        <v>361</v>
      </c>
      <c r="D155" s="61" t="s">
        <v>2</v>
      </c>
      <c r="E155" s="62">
        <f t="shared" si="21"/>
        <v>11.67</v>
      </c>
      <c r="F155" s="62">
        <f>'Прайс для расчета'!E140</f>
        <v>498.75</v>
      </c>
      <c r="G155" s="123">
        <f t="shared" si="22"/>
        <v>5820.4125000000004</v>
      </c>
      <c r="I155" s="134">
        <f>'Прайс для расчета (М)'!E140</f>
        <v>249.375</v>
      </c>
      <c r="J155" s="133">
        <f t="shared" si="23"/>
        <v>2910.2062500000002</v>
      </c>
    </row>
    <row r="156" spans="2:10" ht="15.6" hidden="1" x14ac:dyDescent="0.25">
      <c r="B156" s="122"/>
      <c r="C156" s="69" t="s">
        <v>501</v>
      </c>
      <c r="D156" s="61" t="s">
        <v>2</v>
      </c>
      <c r="E156" s="62">
        <f t="shared" si="21"/>
        <v>11.67</v>
      </c>
      <c r="F156" s="62">
        <f>'Прайс для расчета'!E141</f>
        <v>460.95000000000005</v>
      </c>
      <c r="G156" s="123">
        <f t="shared" si="22"/>
        <v>5379.2865000000002</v>
      </c>
      <c r="I156" s="134">
        <f>'Прайс для расчета (М)'!E141</f>
        <v>230.47500000000002</v>
      </c>
      <c r="J156" s="133">
        <f t="shared" si="23"/>
        <v>2689.6432500000001</v>
      </c>
    </row>
    <row r="157" spans="2:10" ht="15.6" hidden="1" x14ac:dyDescent="0.25">
      <c r="B157" s="122"/>
      <c r="C157" s="69" t="s">
        <v>362</v>
      </c>
      <c r="D157" s="61" t="s">
        <v>2</v>
      </c>
      <c r="E157" s="62">
        <f t="shared" si="21"/>
        <v>11.67</v>
      </c>
      <c r="F157" s="62">
        <f>'Прайс для расчета'!E142</f>
        <v>1942.5</v>
      </c>
      <c r="G157" s="123">
        <f t="shared" si="22"/>
        <v>22668.974999999999</v>
      </c>
      <c r="I157" s="134">
        <f>'Прайс для расчета (М)'!E142</f>
        <v>971.25</v>
      </c>
      <c r="J157" s="133">
        <f t="shared" si="23"/>
        <v>11334.487499999999</v>
      </c>
    </row>
    <row r="158" spans="2:10" ht="15.6" hidden="1" x14ac:dyDescent="0.25">
      <c r="B158" s="122"/>
      <c r="C158" s="69" t="s">
        <v>227</v>
      </c>
      <c r="D158" s="61" t="s">
        <v>2</v>
      </c>
      <c r="E158" s="62">
        <f t="shared" si="21"/>
        <v>11.67</v>
      </c>
      <c r="F158" s="62">
        <f>'Прайс для расчета'!E143</f>
        <v>362.25</v>
      </c>
      <c r="G158" s="123">
        <f t="shared" si="22"/>
        <v>4227.4574999999995</v>
      </c>
      <c r="I158" s="134">
        <f>'Прайс для расчета (М)'!E143</f>
        <v>181.125</v>
      </c>
      <c r="J158" s="133">
        <f t="shared" si="23"/>
        <v>2113.7287499999998</v>
      </c>
    </row>
    <row r="159" spans="2:10" ht="15.6" hidden="1" x14ac:dyDescent="0.25">
      <c r="B159" s="122"/>
      <c r="C159" s="69" t="s">
        <v>224</v>
      </c>
      <c r="D159" s="61" t="s">
        <v>2</v>
      </c>
      <c r="E159" s="62">
        <f t="shared" si="21"/>
        <v>11.67</v>
      </c>
      <c r="F159" s="62">
        <f>'Прайс для расчета'!E144</f>
        <v>271.95</v>
      </c>
      <c r="G159" s="123">
        <f t="shared" si="22"/>
        <v>3173.6565000000001</v>
      </c>
      <c r="I159" s="134">
        <f>'Прайс для расчета (М)'!E144</f>
        <v>135.97499999999999</v>
      </c>
      <c r="J159" s="133">
        <f t="shared" si="23"/>
        <v>1586.82825</v>
      </c>
    </row>
    <row r="160" spans="2:10" ht="15.6" x14ac:dyDescent="0.25">
      <c r="B160" s="122">
        <v>1</v>
      </c>
      <c r="C160" s="69" t="s">
        <v>1025</v>
      </c>
      <c r="D160" s="61" t="s">
        <v>2</v>
      </c>
      <c r="E160" s="62">
        <f t="shared" si="21"/>
        <v>11.67</v>
      </c>
      <c r="F160" s="62">
        <f>'Прайс для расчета'!E145</f>
        <v>509.25</v>
      </c>
      <c r="G160" s="123">
        <f t="shared" si="22"/>
        <v>5942.9475000000002</v>
      </c>
      <c r="I160" s="134">
        <f>'Прайс для расчета (М)'!E145</f>
        <v>254.625</v>
      </c>
      <c r="J160" s="133">
        <f t="shared" si="23"/>
        <v>2971.4737500000001</v>
      </c>
    </row>
    <row r="161" spans="2:10" ht="15.6" hidden="1" x14ac:dyDescent="0.25">
      <c r="B161" s="122"/>
      <c r="C161" s="69" t="s">
        <v>363</v>
      </c>
      <c r="D161" s="61" t="s">
        <v>3</v>
      </c>
      <c r="E161" s="62">
        <f t="shared" si="21"/>
        <v>11.67</v>
      </c>
      <c r="F161" s="62">
        <f>'Прайс для расчета'!E146</f>
        <v>472.5</v>
      </c>
      <c r="G161" s="123">
        <f t="shared" si="22"/>
        <v>5514.0749999999998</v>
      </c>
      <c r="I161" s="134">
        <f>'Прайс для расчета (М)'!E146</f>
        <v>236.25</v>
      </c>
      <c r="J161" s="133">
        <f t="shared" si="23"/>
        <v>2757.0374999999999</v>
      </c>
    </row>
    <row r="162" spans="2:10" ht="15.6" hidden="1" x14ac:dyDescent="0.25">
      <c r="B162" s="122"/>
      <c r="C162" s="69" t="s">
        <v>364</v>
      </c>
      <c r="D162" s="61" t="s">
        <v>2</v>
      </c>
      <c r="E162" s="62">
        <f t="shared" si="21"/>
        <v>11.67</v>
      </c>
      <c r="F162" s="62">
        <f>'Прайс для расчета'!E147</f>
        <v>404.06100000000004</v>
      </c>
      <c r="G162" s="123">
        <f t="shared" si="22"/>
        <v>4715.3918700000004</v>
      </c>
      <c r="I162" s="134">
        <f>'Прайс для расчета (М)'!E147</f>
        <v>202.03050000000002</v>
      </c>
      <c r="J162" s="133">
        <f t="shared" si="23"/>
        <v>2357.6959350000002</v>
      </c>
    </row>
    <row r="163" spans="2:10" ht="15.6" hidden="1" x14ac:dyDescent="0.25">
      <c r="B163" s="122"/>
      <c r="C163" s="69" t="s">
        <v>365</v>
      </c>
      <c r="D163" s="61" t="s">
        <v>2</v>
      </c>
      <c r="E163" s="62">
        <f t="shared" si="21"/>
        <v>11.67</v>
      </c>
      <c r="F163" s="62">
        <f>'Прайс для расчета'!E148</f>
        <v>304.5</v>
      </c>
      <c r="G163" s="123">
        <f t="shared" si="22"/>
        <v>3553.5149999999999</v>
      </c>
      <c r="I163" s="134">
        <f>'Прайс для расчета (М)'!E148</f>
        <v>152.25</v>
      </c>
      <c r="J163" s="133">
        <f t="shared" si="23"/>
        <v>1776.7574999999999</v>
      </c>
    </row>
    <row r="164" spans="2:10" ht="15.6" hidden="1" x14ac:dyDescent="0.25">
      <c r="B164" s="122"/>
      <c r="C164" s="69" t="s">
        <v>366</v>
      </c>
      <c r="D164" s="61" t="s">
        <v>2</v>
      </c>
      <c r="E164" s="62">
        <f t="shared" si="21"/>
        <v>11.67</v>
      </c>
      <c r="F164" s="62">
        <f>'Прайс для расчета'!E149</f>
        <v>472.5</v>
      </c>
      <c r="G164" s="123">
        <f t="shared" si="22"/>
        <v>5514.0749999999998</v>
      </c>
      <c r="I164" s="134">
        <f>'Прайс для расчета (М)'!E149</f>
        <v>236.25</v>
      </c>
      <c r="J164" s="133">
        <f t="shared" si="23"/>
        <v>2757.0374999999999</v>
      </c>
    </row>
    <row r="165" spans="2:10" ht="15.6" x14ac:dyDescent="0.25">
      <c r="B165" s="122">
        <f>IF(SUM(B166:B208)&gt;0,1,0)</f>
        <v>1</v>
      </c>
      <c r="C165" s="60" t="s">
        <v>878</v>
      </c>
      <c r="D165" s="61"/>
      <c r="E165" s="62"/>
      <c r="F165" s="62"/>
      <c r="G165" s="123"/>
    </row>
    <row r="166" spans="2:10" ht="15.6" x14ac:dyDescent="0.25">
      <c r="B166" s="122">
        <v>1</v>
      </c>
      <c r="C166" s="69" t="s">
        <v>1020</v>
      </c>
      <c r="D166" s="61" t="s">
        <v>2</v>
      </c>
      <c r="E166" s="62">
        <v>15.2</v>
      </c>
      <c r="F166" s="62">
        <f>'Прайс для расчета'!E150</f>
        <v>124.95</v>
      </c>
      <c r="G166" s="123">
        <f t="shared" ref="G166:G208" si="24">F166*E166</f>
        <v>1899.24</v>
      </c>
      <c r="I166" s="134">
        <f>'Прайс для расчета (М)'!E150</f>
        <v>62.475000000000001</v>
      </c>
      <c r="J166" s="133">
        <f t="shared" ref="J166:J208" si="25">I166*E166</f>
        <v>949.62</v>
      </c>
    </row>
    <row r="167" spans="2:10" ht="15.6" hidden="1" x14ac:dyDescent="0.25">
      <c r="B167" s="122"/>
      <c r="C167" s="69" t="s">
        <v>1107</v>
      </c>
      <c r="D167" s="61" t="s">
        <v>2</v>
      </c>
      <c r="E167" s="62" t="e">
        <f t="shared" ref="E167:E182" si="26">$A$6</f>
        <v>#REF!</v>
      </c>
      <c r="F167" s="62">
        <f>'Прайс для расчета'!E151</f>
        <v>892.5</v>
      </c>
      <c r="G167" s="123" t="e">
        <f t="shared" si="24"/>
        <v>#REF!</v>
      </c>
      <c r="I167" s="134">
        <f>'Прайс для расчета (М)'!E151</f>
        <v>446.25</v>
      </c>
      <c r="J167" s="133" t="e">
        <f t="shared" si="25"/>
        <v>#REF!</v>
      </c>
    </row>
    <row r="168" spans="2:10" ht="15.6" hidden="1" x14ac:dyDescent="0.25">
      <c r="B168" s="122"/>
      <c r="C168" s="69" t="s">
        <v>1108</v>
      </c>
      <c r="D168" s="61" t="s">
        <v>2</v>
      </c>
      <c r="E168" s="62" t="e">
        <f t="shared" si="26"/>
        <v>#REF!</v>
      </c>
      <c r="F168" s="62">
        <f>'Прайс для расчета'!E152</f>
        <v>1207.5</v>
      </c>
      <c r="G168" s="123" t="e">
        <f t="shared" si="24"/>
        <v>#REF!</v>
      </c>
      <c r="I168" s="134">
        <f>'Прайс для расчета (М)'!E152</f>
        <v>603.75</v>
      </c>
      <c r="J168" s="133" t="e">
        <f t="shared" si="25"/>
        <v>#REF!</v>
      </c>
    </row>
    <row r="169" spans="2:10" ht="15.75" customHeight="1" x14ac:dyDescent="0.25">
      <c r="B169" s="122">
        <v>1</v>
      </c>
      <c r="C169" s="69" t="s">
        <v>1109</v>
      </c>
      <c r="D169" s="61" t="s">
        <v>2</v>
      </c>
      <c r="E169" s="62" t="e">
        <f t="shared" si="26"/>
        <v>#REF!</v>
      </c>
      <c r="F169" s="62">
        <f>'Прайс для расчета'!E153</f>
        <v>624.75</v>
      </c>
      <c r="G169" s="123" t="e">
        <f t="shared" si="24"/>
        <v>#REF!</v>
      </c>
      <c r="I169" s="134">
        <f>'Прайс для расчета (М)'!E153</f>
        <v>312.375</v>
      </c>
      <c r="J169" s="133" t="e">
        <f t="shared" si="25"/>
        <v>#REF!</v>
      </c>
    </row>
    <row r="170" spans="2:10" ht="15.75" hidden="1" customHeight="1" x14ac:dyDescent="0.25">
      <c r="B170" s="122"/>
      <c r="C170" s="69" t="s">
        <v>1110</v>
      </c>
      <c r="D170" s="61" t="s">
        <v>2</v>
      </c>
      <c r="E170" s="62" t="e">
        <f t="shared" si="26"/>
        <v>#REF!</v>
      </c>
      <c r="F170" s="62">
        <f>'Прайс для расчета'!E154</f>
        <v>729.75</v>
      </c>
      <c r="G170" s="123" t="e">
        <f t="shared" si="24"/>
        <v>#REF!</v>
      </c>
      <c r="I170" s="134">
        <f>'Прайс для расчета (М)'!E154</f>
        <v>364.875</v>
      </c>
      <c r="J170" s="133" t="e">
        <f t="shared" si="25"/>
        <v>#REF!</v>
      </c>
    </row>
    <row r="171" spans="2:10" ht="15.6" hidden="1" x14ac:dyDescent="0.25">
      <c r="B171" s="122"/>
      <c r="C171" s="69" t="s">
        <v>1115</v>
      </c>
      <c r="D171" s="61" t="s">
        <v>2</v>
      </c>
      <c r="E171" s="62" t="e">
        <f t="shared" si="26"/>
        <v>#REF!</v>
      </c>
      <c r="F171" s="62">
        <f>'Прайс для расчета'!E155</f>
        <v>943.95</v>
      </c>
      <c r="G171" s="123" t="e">
        <f t="shared" si="24"/>
        <v>#REF!</v>
      </c>
      <c r="I171" s="134">
        <f>'Прайс для расчета (М)'!E155</f>
        <v>471.97500000000002</v>
      </c>
      <c r="J171" s="133" t="e">
        <f t="shared" si="25"/>
        <v>#REF!</v>
      </c>
    </row>
    <row r="172" spans="2:10" ht="15.6" hidden="1" x14ac:dyDescent="0.25">
      <c r="B172" s="122"/>
      <c r="C172" s="69" t="s">
        <v>1028</v>
      </c>
      <c r="D172" s="61" t="s">
        <v>2</v>
      </c>
      <c r="E172" s="62" t="e">
        <f t="shared" si="26"/>
        <v>#REF!</v>
      </c>
      <c r="F172" s="62">
        <f>'Прайс для расчета'!E156</f>
        <v>787.5</v>
      </c>
      <c r="G172" s="123" t="e">
        <f t="shared" si="24"/>
        <v>#REF!</v>
      </c>
      <c r="I172" s="134">
        <f>'Прайс для расчета (М)'!E156</f>
        <v>393.75</v>
      </c>
      <c r="J172" s="133" t="e">
        <f t="shared" si="25"/>
        <v>#REF!</v>
      </c>
    </row>
    <row r="173" spans="2:10" ht="15.6" hidden="1" x14ac:dyDescent="0.25">
      <c r="B173" s="122"/>
      <c r="C173" s="69" t="s">
        <v>1029</v>
      </c>
      <c r="D173" s="61" t="s">
        <v>3</v>
      </c>
      <c r="E173" s="62" t="e">
        <f t="shared" si="26"/>
        <v>#REF!</v>
      </c>
      <c r="F173" s="62">
        <f>'Прайс для расчета'!E157</f>
        <v>651</v>
      </c>
      <c r="G173" s="123" t="e">
        <f t="shared" si="24"/>
        <v>#REF!</v>
      </c>
      <c r="I173" s="134">
        <f>'Прайс для расчета (М)'!E157</f>
        <v>325.5</v>
      </c>
      <c r="J173" s="133" t="e">
        <f t="shared" si="25"/>
        <v>#REF!</v>
      </c>
    </row>
    <row r="174" spans="2:10" ht="15.6" hidden="1" x14ac:dyDescent="0.25">
      <c r="B174" s="122"/>
      <c r="C174" s="69" t="s">
        <v>1129</v>
      </c>
      <c r="D174" s="61" t="s">
        <v>2</v>
      </c>
      <c r="E174" s="62" t="e">
        <f t="shared" si="26"/>
        <v>#REF!</v>
      </c>
      <c r="F174" s="62">
        <f>'Прайс для расчета'!E158</f>
        <v>267.75</v>
      </c>
      <c r="G174" s="123" t="e">
        <f t="shared" si="24"/>
        <v>#REF!</v>
      </c>
      <c r="I174" s="134">
        <f>'Прайс для расчета (М)'!E158</f>
        <v>133.875</v>
      </c>
      <c r="J174" s="133" t="e">
        <f t="shared" si="25"/>
        <v>#REF!</v>
      </c>
    </row>
    <row r="175" spans="2:10" ht="15.6" hidden="1" x14ac:dyDescent="0.25">
      <c r="B175" s="122"/>
      <c r="C175" s="69" t="s">
        <v>1006</v>
      </c>
      <c r="D175" s="61" t="s">
        <v>2</v>
      </c>
      <c r="E175" s="62" t="e">
        <f t="shared" si="26"/>
        <v>#REF!</v>
      </c>
      <c r="F175" s="62">
        <f>'Прайс для расчета'!E159</f>
        <v>2992.5</v>
      </c>
      <c r="G175" s="123" t="e">
        <f t="shared" si="24"/>
        <v>#REF!</v>
      </c>
      <c r="I175" s="134">
        <f>'Прайс для расчета (М)'!E159</f>
        <v>1496.25</v>
      </c>
      <c r="J175" s="133" t="e">
        <f t="shared" si="25"/>
        <v>#REF!</v>
      </c>
    </row>
    <row r="176" spans="2:10" ht="15.6" hidden="1" x14ac:dyDescent="0.25">
      <c r="B176" s="122"/>
      <c r="C176" s="69" t="s">
        <v>1021</v>
      </c>
      <c r="D176" s="61" t="s">
        <v>2</v>
      </c>
      <c r="E176" s="62" t="e">
        <f t="shared" si="26"/>
        <v>#REF!</v>
      </c>
      <c r="F176" s="62">
        <f>'Прайс для расчета'!E160</f>
        <v>94.5</v>
      </c>
      <c r="G176" s="123" t="e">
        <f t="shared" si="24"/>
        <v>#REF!</v>
      </c>
      <c r="I176" s="134">
        <f>'Прайс для расчета (М)'!E160</f>
        <v>47.25</v>
      </c>
      <c r="J176" s="133" t="e">
        <f t="shared" si="25"/>
        <v>#REF!</v>
      </c>
    </row>
    <row r="177" spans="2:10" ht="15.6" x14ac:dyDescent="0.25">
      <c r="B177" s="122">
        <v>1</v>
      </c>
      <c r="C177" s="69" t="s">
        <v>1125</v>
      </c>
      <c r="D177" s="61" t="s">
        <v>2</v>
      </c>
      <c r="E177" s="62" t="e">
        <f t="shared" si="26"/>
        <v>#REF!</v>
      </c>
      <c r="F177" s="62">
        <f>'Прайс для расчета'!E161</f>
        <v>157.5</v>
      </c>
      <c r="G177" s="123" t="e">
        <f t="shared" si="24"/>
        <v>#REF!</v>
      </c>
      <c r="I177" s="134">
        <f>'Прайс для расчета (М)'!E161</f>
        <v>78.75</v>
      </c>
      <c r="J177" s="133" t="e">
        <f t="shared" si="25"/>
        <v>#REF!</v>
      </c>
    </row>
    <row r="178" spans="2:10" ht="15.6" hidden="1" x14ac:dyDescent="0.25">
      <c r="B178" s="122"/>
      <c r="C178" s="69" t="s">
        <v>1126</v>
      </c>
      <c r="D178" s="61" t="s">
        <v>2</v>
      </c>
      <c r="E178" s="62" t="e">
        <f t="shared" si="26"/>
        <v>#REF!</v>
      </c>
      <c r="F178" s="62">
        <f>'Прайс для расчета'!E162</f>
        <v>519.75</v>
      </c>
      <c r="G178" s="123" t="e">
        <f t="shared" si="24"/>
        <v>#REF!</v>
      </c>
      <c r="I178" s="134">
        <f>'Прайс для расчета (М)'!E162</f>
        <v>259.875</v>
      </c>
      <c r="J178" s="133" t="e">
        <f t="shared" si="25"/>
        <v>#REF!</v>
      </c>
    </row>
    <row r="179" spans="2:10" ht="15.6" x14ac:dyDescent="0.25">
      <c r="B179" s="122">
        <v>1</v>
      </c>
      <c r="C179" s="69" t="s">
        <v>1119</v>
      </c>
      <c r="D179" s="61" t="s">
        <v>2</v>
      </c>
      <c r="E179" s="62" t="e">
        <f t="shared" si="26"/>
        <v>#REF!</v>
      </c>
      <c r="F179" s="62">
        <f>'Прайс для расчета'!E163</f>
        <v>687.75</v>
      </c>
      <c r="G179" s="123" t="e">
        <f t="shared" si="24"/>
        <v>#REF!</v>
      </c>
      <c r="I179" s="134">
        <f>'Прайс для расчета (М)'!E163</f>
        <v>343.875</v>
      </c>
      <c r="J179" s="133" t="e">
        <f t="shared" si="25"/>
        <v>#REF!</v>
      </c>
    </row>
    <row r="180" spans="2:10" ht="15.6" hidden="1" x14ac:dyDescent="0.25">
      <c r="B180" s="122"/>
      <c r="C180" s="69" t="s">
        <v>1121</v>
      </c>
      <c r="D180" s="61" t="s">
        <v>2</v>
      </c>
      <c r="E180" s="62" t="e">
        <f t="shared" si="26"/>
        <v>#REF!</v>
      </c>
      <c r="F180" s="62">
        <f>'Прайс для расчета'!E164</f>
        <v>420</v>
      </c>
      <c r="G180" s="123" t="e">
        <f t="shared" si="24"/>
        <v>#REF!</v>
      </c>
      <c r="I180" s="134">
        <f>'Прайс для расчета (М)'!E164</f>
        <v>210</v>
      </c>
      <c r="J180" s="133" t="e">
        <f t="shared" si="25"/>
        <v>#REF!</v>
      </c>
    </row>
    <row r="181" spans="2:10" ht="15.6" hidden="1" x14ac:dyDescent="0.25">
      <c r="B181" s="122"/>
      <c r="C181" s="69" t="s">
        <v>1122</v>
      </c>
      <c r="D181" s="61" t="s">
        <v>2</v>
      </c>
      <c r="E181" s="62" t="e">
        <f t="shared" si="26"/>
        <v>#REF!</v>
      </c>
      <c r="F181" s="62">
        <f>'Прайс для расчета'!E165</f>
        <v>829.5</v>
      </c>
      <c r="G181" s="123" t="e">
        <f t="shared" si="24"/>
        <v>#REF!</v>
      </c>
      <c r="I181" s="134">
        <f>'Прайс для расчета (М)'!E165</f>
        <v>414.75</v>
      </c>
      <c r="J181" s="133" t="e">
        <f t="shared" si="25"/>
        <v>#REF!</v>
      </c>
    </row>
    <row r="182" spans="2:10" ht="15.6" x14ac:dyDescent="0.25">
      <c r="B182" s="122">
        <v>1</v>
      </c>
      <c r="C182" s="69" t="s">
        <v>1120</v>
      </c>
      <c r="D182" s="61" t="s">
        <v>2</v>
      </c>
      <c r="E182" s="62" t="e">
        <f t="shared" si="26"/>
        <v>#REF!</v>
      </c>
      <c r="F182" s="62">
        <f>'Прайс для расчета'!E166</f>
        <v>204.75</v>
      </c>
      <c r="G182" s="123" t="e">
        <f t="shared" si="24"/>
        <v>#REF!</v>
      </c>
      <c r="I182" s="134">
        <f>'Прайс для расчета (М)'!E166</f>
        <v>102.375</v>
      </c>
      <c r="J182" s="133" t="e">
        <f t="shared" si="25"/>
        <v>#REF!</v>
      </c>
    </row>
    <row r="183" spans="2:10" ht="15.6" x14ac:dyDescent="0.25">
      <c r="B183" s="122">
        <v>1</v>
      </c>
      <c r="C183" s="69" t="s">
        <v>1105</v>
      </c>
      <c r="D183" s="61" t="s">
        <v>3</v>
      </c>
      <c r="E183" s="62">
        <v>30.1</v>
      </c>
      <c r="F183" s="62">
        <f>'Прайс для расчета'!E167</f>
        <v>157.5</v>
      </c>
      <c r="G183" s="123">
        <f t="shared" si="24"/>
        <v>4740.75</v>
      </c>
      <c r="I183" s="134">
        <f>'Прайс для расчета (М)'!E167</f>
        <v>78.75</v>
      </c>
      <c r="J183" s="133">
        <f t="shared" si="25"/>
        <v>2370.375</v>
      </c>
    </row>
    <row r="184" spans="2:10" ht="15.6" x14ac:dyDescent="0.25">
      <c r="B184" s="122">
        <v>1</v>
      </c>
      <c r="C184" s="69" t="s">
        <v>1106</v>
      </c>
      <c r="D184" s="61" t="s">
        <v>3</v>
      </c>
      <c r="E184" s="62">
        <v>30.1</v>
      </c>
      <c r="F184" s="62">
        <f>'Прайс для расчета'!E168</f>
        <v>157.5</v>
      </c>
      <c r="G184" s="123">
        <f t="shared" si="24"/>
        <v>4740.75</v>
      </c>
      <c r="I184" s="134">
        <f>'Прайс для расчета (М)'!E168</f>
        <v>78.75</v>
      </c>
      <c r="J184" s="133">
        <f t="shared" si="25"/>
        <v>2370.375</v>
      </c>
    </row>
    <row r="185" spans="2:10" ht="15.6" hidden="1" x14ac:dyDescent="0.25">
      <c r="B185" s="122"/>
      <c r="C185" s="69" t="s">
        <v>1117</v>
      </c>
      <c r="D185" s="61" t="s">
        <v>2</v>
      </c>
      <c r="E185" s="62" t="e">
        <f t="shared" ref="E185:E191" si="27">$A$6</f>
        <v>#REF!</v>
      </c>
      <c r="F185" s="62">
        <f>'Прайс для расчета'!E169</f>
        <v>204.75</v>
      </c>
      <c r="G185" s="123" t="e">
        <f t="shared" si="24"/>
        <v>#REF!</v>
      </c>
      <c r="I185" s="134">
        <f>'Прайс для расчета (М)'!E169</f>
        <v>102.375</v>
      </c>
      <c r="J185" s="133" t="e">
        <f t="shared" si="25"/>
        <v>#REF!</v>
      </c>
    </row>
    <row r="186" spans="2:10" ht="15.6" x14ac:dyDescent="0.25">
      <c r="B186" s="122">
        <v>1</v>
      </c>
      <c r="C186" s="69" t="s">
        <v>1116</v>
      </c>
      <c r="D186" s="61" t="s">
        <v>2</v>
      </c>
      <c r="E186" s="62">
        <v>15.2</v>
      </c>
      <c r="F186" s="62">
        <f>'Прайс для расчета'!E170</f>
        <v>204.75</v>
      </c>
      <c r="G186" s="123">
        <f t="shared" si="24"/>
        <v>3112.2</v>
      </c>
      <c r="I186" s="134">
        <f>'Прайс для расчета (М)'!E170</f>
        <v>102.375</v>
      </c>
      <c r="J186" s="133">
        <f t="shared" si="25"/>
        <v>1556.1</v>
      </c>
    </row>
    <row r="187" spans="2:10" ht="15.6" hidden="1" x14ac:dyDescent="0.25">
      <c r="B187" s="122"/>
      <c r="C187" s="69" t="s">
        <v>376</v>
      </c>
      <c r="D187" s="61" t="s">
        <v>2</v>
      </c>
      <c r="E187" s="62" t="e">
        <f t="shared" si="27"/>
        <v>#REF!</v>
      </c>
      <c r="F187" s="62">
        <f>'Прайс для расчета'!E171</f>
        <v>1559.586</v>
      </c>
      <c r="G187" s="123" t="e">
        <f t="shared" si="24"/>
        <v>#REF!</v>
      </c>
      <c r="I187" s="134">
        <f>'Прайс для расчета (М)'!E171</f>
        <v>779.79300000000001</v>
      </c>
      <c r="J187" s="133" t="e">
        <f t="shared" si="25"/>
        <v>#REF!</v>
      </c>
    </row>
    <row r="188" spans="2:10" ht="15.6" hidden="1" x14ac:dyDescent="0.25">
      <c r="B188" s="122"/>
      <c r="C188" s="69" t="s">
        <v>377</v>
      </c>
      <c r="D188" s="61" t="s">
        <v>2</v>
      </c>
      <c r="E188" s="62" t="e">
        <f t="shared" si="27"/>
        <v>#REF!</v>
      </c>
      <c r="F188" s="62">
        <f>'Прайс для расчета'!E172</f>
        <v>1616.2440000000001</v>
      </c>
      <c r="G188" s="123" t="e">
        <f t="shared" si="24"/>
        <v>#REF!</v>
      </c>
      <c r="I188" s="134">
        <f>'Прайс для расчета (М)'!E172</f>
        <v>808.12200000000007</v>
      </c>
      <c r="J188" s="133" t="e">
        <f t="shared" si="25"/>
        <v>#REF!</v>
      </c>
    </row>
    <row r="189" spans="2:10" ht="15.6" hidden="1" x14ac:dyDescent="0.25">
      <c r="B189" s="122"/>
      <c r="C189" s="69" t="s">
        <v>378</v>
      </c>
      <c r="D189" s="61" t="s">
        <v>2</v>
      </c>
      <c r="E189" s="62" t="e">
        <f t="shared" si="27"/>
        <v>#REF!</v>
      </c>
      <c r="F189" s="62">
        <f>'Прайс для расчета'!E173</f>
        <v>1131.6690000000001</v>
      </c>
      <c r="G189" s="123" t="e">
        <f t="shared" si="24"/>
        <v>#REF!</v>
      </c>
      <c r="I189" s="134">
        <f>'Прайс для расчета (М)'!E173</f>
        <v>565.83450000000005</v>
      </c>
      <c r="J189" s="133" t="e">
        <f t="shared" si="25"/>
        <v>#REF!</v>
      </c>
    </row>
    <row r="190" spans="2:10" ht="15.6" hidden="1" x14ac:dyDescent="0.25">
      <c r="B190" s="122"/>
      <c r="C190" s="69" t="s">
        <v>379</v>
      </c>
      <c r="D190" s="61" t="s">
        <v>2</v>
      </c>
      <c r="E190" s="62" t="e">
        <f>$A$6</f>
        <v>#REF!</v>
      </c>
      <c r="F190" s="62">
        <f>'Прайс для расчета'!E174</f>
        <v>1191.309</v>
      </c>
      <c r="G190" s="123" t="e">
        <f t="shared" si="24"/>
        <v>#REF!</v>
      </c>
      <c r="I190" s="134">
        <f>'Прайс для расчета (М)'!E174</f>
        <v>595.65449999999998</v>
      </c>
      <c r="J190" s="133" t="e">
        <f t="shared" si="25"/>
        <v>#REF!</v>
      </c>
    </row>
    <row r="191" spans="2:10" ht="15.6" hidden="1" x14ac:dyDescent="0.25">
      <c r="B191" s="122"/>
      <c r="C191" s="69" t="s">
        <v>380</v>
      </c>
      <c r="D191" s="61" t="s">
        <v>2</v>
      </c>
      <c r="E191" s="62" t="e">
        <f t="shared" si="27"/>
        <v>#REF!</v>
      </c>
      <c r="F191" s="62">
        <f>'Прайс для расчета'!E175</f>
        <v>1265.8589999999999</v>
      </c>
      <c r="G191" s="123" t="e">
        <f t="shared" si="24"/>
        <v>#REF!</v>
      </c>
      <c r="I191" s="134">
        <f>'Прайс для расчета (М)'!E175</f>
        <v>632.92949999999996</v>
      </c>
      <c r="J191" s="133" t="e">
        <f t="shared" si="25"/>
        <v>#REF!</v>
      </c>
    </row>
    <row r="192" spans="2:10" ht="15.6" hidden="1" x14ac:dyDescent="0.25">
      <c r="B192" s="122"/>
      <c r="C192" s="69" t="s">
        <v>1044</v>
      </c>
      <c r="D192" s="61" t="s">
        <v>0</v>
      </c>
      <c r="E192" s="62">
        <v>1</v>
      </c>
      <c r="F192" s="62">
        <f>'Прайс для расчета'!E176</f>
        <v>1417.5</v>
      </c>
      <c r="G192" s="123">
        <f t="shared" si="24"/>
        <v>1417.5</v>
      </c>
      <c r="I192" s="134">
        <f>'Прайс для расчета (М)'!E176</f>
        <v>708.75</v>
      </c>
      <c r="J192" s="133">
        <f t="shared" si="25"/>
        <v>708.75</v>
      </c>
    </row>
    <row r="193" spans="2:10" ht="15.6" hidden="1" x14ac:dyDescent="0.25">
      <c r="B193" s="122"/>
      <c r="C193" s="69" t="s">
        <v>1047</v>
      </c>
      <c r="D193" s="61" t="s">
        <v>0</v>
      </c>
      <c r="E193" s="62">
        <v>1</v>
      </c>
      <c r="F193" s="62">
        <f>'Прайс для расчета'!E177</f>
        <v>1837.5</v>
      </c>
      <c r="G193" s="123">
        <f t="shared" si="24"/>
        <v>1837.5</v>
      </c>
      <c r="I193" s="134">
        <f>'Прайс для расчета (М)'!E177</f>
        <v>918.75</v>
      </c>
      <c r="J193" s="133">
        <f t="shared" si="25"/>
        <v>918.75</v>
      </c>
    </row>
    <row r="194" spans="2:10" ht="15.6" hidden="1" x14ac:dyDescent="0.25">
      <c r="B194" s="122"/>
      <c r="C194" s="69" t="s">
        <v>381</v>
      </c>
      <c r="D194" s="61" t="s">
        <v>3</v>
      </c>
      <c r="E194" s="62">
        <v>1</v>
      </c>
      <c r="F194" s="62">
        <f>'Прайс для расчета'!E178</f>
        <v>183.75</v>
      </c>
      <c r="G194" s="123">
        <f t="shared" si="24"/>
        <v>183.75</v>
      </c>
      <c r="I194" s="134">
        <f>'Прайс для расчета (М)'!E178</f>
        <v>91.875</v>
      </c>
      <c r="J194" s="133">
        <f t="shared" si="25"/>
        <v>91.875</v>
      </c>
    </row>
    <row r="195" spans="2:10" ht="15.6" hidden="1" x14ac:dyDescent="0.25">
      <c r="B195" s="122"/>
      <c r="C195" s="69" t="s">
        <v>382</v>
      </c>
      <c r="D195" s="61" t="s">
        <v>3</v>
      </c>
      <c r="E195" s="62">
        <v>1</v>
      </c>
      <c r="F195" s="62">
        <f>'Прайс для расчета'!E179</f>
        <v>367.5</v>
      </c>
      <c r="G195" s="123">
        <f t="shared" si="24"/>
        <v>367.5</v>
      </c>
      <c r="I195" s="134">
        <f>'Прайс для расчета (М)'!E179</f>
        <v>183.75</v>
      </c>
      <c r="J195" s="133">
        <f t="shared" si="25"/>
        <v>183.75</v>
      </c>
    </row>
    <row r="196" spans="2:10" ht="15.6" hidden="1" x14ac:dyDescent="0.25">
      <c r="B196" s="122"/>
      <c r="C196" s="69" t="s">
        <v>508</v>
      </c>
      <c r="D196" s="61" t="s">
        <v>2</v>
      </c>
      <c r="E196" s="62" t="e">
        <f t="shared" ref="E196:E201" si="28">$A$6</f>
        <v>#REF!</v>
      </c>
      <c r="F196" s="62">
        <f>'Прайс для расчета'!E180</f>
        <v>481.95000000000005</v>
      </c>
      <c r="G196" s="123" t="e">
        <f t="shared" si="24"/>
        <v>#REF!</v>
      </c>
      <c r="I196" s="134">
        <f>'Прайс для расчета (М)'!E180</f>
        <v>240.97500000000002</v>
      </c>
      <c r="J196" s="133" t="e">
        <f t="shared" si="25"/>
        <v>#REF!</v>
      </c>
    </row>
    <row r="197" spans="2:10" ht="15.6" hidden="1" x14ac:dyDescent="0.25">
      <c r="B197" s="122"/>
      <c r="C197" s="69" t="s">
        <v>383</v>
      </c>
      <c r="D197" s="61" t="s">
        <v>2</v>
      </c>
      <c r="E197" s="62" t="e">
        <f t="shared" si="28"/>
        <v>#REF!</v>
      </c>
      <c r="F197" s="62">
        <f>'Прайс для расчета'!E181</f>
        <v>1506.75</v>
      </c>
      <c r="G197" s="123" t="e">
        <f t="shared" si="24"/>
        <v>#REF!</v>
      </c>
      <c r="I197" s="134">
        <f>'Прайс для расчета (М)'!E181</f>
        <v>753.375</v>
      </c>
      <c r="J197" s="133" t="e">
        <f t="shared" si="25"/>
        <v>#REF!</v>
      </c>
    </row>
    <row r="198" spans="2:10" ht="15.6" hidden="1" x14ac:dyDescent="0.25">
      <c r="B198" s="122"/>
      <c r="C198" s="69" t="s">
        <v>384</v>
      </c>
      <c r="D198" s="61" t="s">
        <v>2</v>
      </c>
      <c r="E198" s="62" t="e">
        <f t="shared" si="28"/>
        <v>#REF!</v>
      </c>
      <c r="F198" s="62">
        <f>'Прайс для расчета'!E182</f>
        <v>1821.75</v>
      </c>
      <c r="G198" s="123" t="e">
        <f t="shared" si="24"/>
        <v>#REF!</v>
      </c>
      <c r="I198" s="134">
        <f>'Прайс для расчета (М)'!E182</f>
        <v>910.875</v>
      </c>
      <c r="J198" s="133" t="e">
        <f t="shared" si="25"/>
        <v>#REF!</v>
      </c>
    </row>
    <row r="199" spans="2:10" ht="15.6" hidden="1" x14ac:dyDescent="0.25">
      <c r="B199" s="122"/>
      <c r="C199" s="69" t="s">
        <v>385</v>
      </c>
      <c r="D199" s="61" t="s">
        <v>2</v>
      </c>
      <c r="E199" s="62" t="e">
        <f t="shared" si="28"/>
        <v>#REF!</v>
      </c>
      <c r="F199" s="62">
        <f>'Прайс для расчета'!E183</f>
        <v>1149.75</v>
      </c>
      <c r="G199" s="123" t="e">
        <f t="shared" si="24"/>
        <v>#REF!</v>
      </c>
      <c r="I199" s="134">
        <f>'Прайс для расчета (М)'!E183</f>
        <v>574.875</v>
      </c>
      <c r="J199" s="133" t="e">
        <f t="shared" si="25"/>
        <v>#REF!</v>
      </c>
    </row>
    <row r="200" spans="2:10" ht="15.6" hidden="1" x14ac:dyDescent="0.25">
      <c r="B200" s="122"/>
      <c r="C200" s="69" t="s">
        <v>509</v>
      </c>
      <c r="D200" s="61" t="s">
        <v>2</v>
      </c>
      <c r="E200" s="62" t="e">
        <f t="shared" si="28"/>
        <v>#REF!</v>
      </c>
      <c r="F200" s="62">
        <f>'Прайс для расчета'!E184</f>
        <v>1527.75</v>
      </c>
      <c r="G200" s="123" t="e">
        <f t="shared" si="24"/>
        <v>#REF!</v>
      </c>
      <c r="I200" s="134">
        <f>'Прайс для расчета (М)'!E184</f>
        <v>763.875</v>
      </c>
      <c r="J200" s="133" t="e">
        <f t="shared" si="25"/>
        <v>#REF!</v>
      </c>
    </row>
    <row r="201" spans="2:10" ht="15.6" hidden="1" x14ac:dyDescent="0.25">
      <c r="B201" s="122"/>
      <c r="C201" s="69" t="s">
        <v>510</v>
      </c>
      <c r="D201" s="61" t="s">
        <v>2</v>
      </c>
      <c r="E201" s="62" t="e">
        <f t="shared" si="28"/>
        <v>#REF!</v>
      </c>
      <c r="F201" s="62">
        <f>'Прайс для расчета'!E185</f>
        <v>1737.75</v>
      </c>
      <c r="G201" s="123" t="e">
        <f t="shared" si="24"/>
        <v>#REF!</v>
      </c>
      <c r="I201" s="134">
        <f>'Прайс для расчета (М)'!E185</f>
        <v>868.875</v>
      </c>
      <c r="J201" s="133" t="e">
        <f t="shared" si="25"/>
        <v>#REF!</v>
      </c>
    </row>
    <row r="202" spans="2:10" ht="15.6" hidden="1" x14ac:dyDescent="0.25">
      <c r="B202" s="122"/>
      <c r="C202" s="69" t="s">
        <v>43</v>
      </c>
      <c r="D202" s="61" t="s">
        <v>3</v>
      </c>
      <c r="E202" s="62" t="e">
        <f>ROUND(A6*1.25,0)</f>
        <v>#REF!</v>
      </c>
      <c r="F202" s="62">
        <f>'Прайс для расчета'!E186</f>
        <v>194.25</v>
      </c>
      <c r="G202" s="123" t="e">
        <f t="shared" si="24"/>
        <v>#REF!</v>
      </c>
      <c r="I202" s="134">
        <f>'Прайс для расчета (М)'!E186</f>
        <v>97.125</v>
      </c>
      <c r="J202" s="133" t="e">
        <f t="shared" si="25"/>
        <v>#REF!</v>
      </c>
    </row>
    <row r="203" spans="2:10" ht="15.6" hidden="1" x14ac:dyDescent="0.25">
      <c r="B203" s="122"/>
      <c r="C203" s="69" t="s">
        <v>386</v>
      </c>
      <c r="D203" s="61" t="s">
        <v>646</v>
      </c>
      <c r="E203" s="62" t="e">
        <f>$F$7</f>
        <v>#REF!</v>
      </c>
      <c r="F203" s="62">
        <f>'Прайс для расчета'!E187</f>
        <v>2089.5</v>
      </c>
      <c r="G203" s="123" t="e">
        <f t="shared" si="24"/>
        <v>#REF!</v>
      </c>
      <c r="I203" s="134">
        <f>'Прайс для расчета (М)'!E187</f>
        <v>1044.75</v>
      </c>
      <c r="J203" s="133" t="e">
        <f t="shared" si="25"/>
        <v>#REF!</v>
      </c>
    </row>
    <row r="204" spans="2:10" ht="15.6" hidden="1" x14ac:dyDescent="0.25">
      <c r="B204" s="122"/>
      <c r="C204" s="69" t="s">
        <v>387</v>
      </c>
      <c r="D204" s="61" t="s">
        <v>2</v>
      </c>
      <c r="E204" s="62" t="e">
        <f t="shared" ref="E204" si="29">$A$6</f>
        <v>#REF!</v>
      </c>
      <c r="F204" s="62">
        <f>'Прайс для расчета'!E188</f>
        <v>3097.5</v>
      </c>
      <c r="G204" s="123" t="e">
        <f t="shared" si="24"/>
        <v>#REF!</v>
      </c>
      <c r="I204" s="134">
        <f>'Прайс для расчета (М)'!E188</f>
        <v>1548.75</v>
      </c>
      <c r="J204" s="133" t="e">
        <f t="shared" si="25"/>
        <v>#REF!</v>
      </c>
    </row>
    <row r="205" spans="2:10" ht="15.6" hidden="1" x14ac:dyDescent="0.25">
      <c r="B205" s="122"/>
      <c r="C205" s="69" t="s">
        <v>388</v>
      </c>
      <c r="D205" s="61" t="s">
        <v>0</v>
      </c>
      <c r="E205" s="62">
        <v>1</v>
      </c>
      <c r="F205" s="62">
        <f>'Прайс для расчета'!E189</f>
        <v>2992.5</v>
      </c>
      <c r="G205" s="123">
        <f t="shared" si="24"/>
        <v>2992.5</v>
      </c>
      <c r="I205" s="134">
        <f>'Прайс для расчета (М)'!E189</f>
        <v>1496.25</v>
      </c>
      <c r="J205" s="133">
        <f t="shared" si="25"/>
        <v>1496.25</v>
      </c>
    </row>
    <row r="206" spans="2:10" ht="15.6" hidden="1" x14ac:dyDescent="0.25">
      <c r="B206" s="122"/>
      <c r="C206" s="69" t="s">
        <v>230</v>
      </c>
      <c r="D206" s="61" t="s">
        <v>2</v>
      </c>
      <c r="E206" s="62" t="e">
        <f>$A$6</f>
        <v>#REF!</v>
      </c>
      <c r="F206" s="62">
        <f>'Прайс для расчета'!E190</f>
        <v>404.06100000000004</v>
      </c>
      <c r="G206" s="123" t="e">
        <f t="shared" si="24"/>
        <v>#REF!</v>
      </c>
      <c r="I206" s="134">
        <f>'Прайс для расчета (М)'!E190</f>
        <v>202.03050000000002</v>
      </c>
      <c r="J206" s="133" t="e">
        <f t="shared" si="25"/>
        <v>#REF!</v>
      </c>
    </row>
    <row r="207" spans="2:10" ht="15.6" hidden="1" x14ac:dyDescent="0.25">
      <c r="B207" s="122"/>
      <c r="C207" s="69" t="s">
        <v>225</v>
      </c>
      <c r="D207" s="61" t="s">
        <v>2</v>
      </c>
      <c r="E207" s="62" t="e">
        <f>$A$6</f>
        <v>#REF!</v>
      </c>
      <c r="F207" s="62">
        <f>'Прайс для расчета'!E191</f>
        <v>282.45</v>
      </c>
      <c r="G207" s="123" t="e">
        <f t="shared" si="24"/>
        <v>#REF!</v>
      </c>
      <c r="I207" s="134">
        <f>'Прайс для расчета (М)'!E191</f>
        <v>141.22499999999999</v>
      </c>
      <c r="J207" s="133" t="e">
        <f t="shared" si="25"/>
        <v>#REF!</v>
      </c>
    </row>
    <row r="208" spans="2:10" ht="15.6" hidden="1" x14ac:dyDescent="0.25">
      <c r="B208" s="122"/>
      <c r="C208" s="69" t="s">
        <v>1026</v>
      </c>
      <c r="D208" s="61" t="s">
        <v>2</v>
      </c>
      <c r="E208" s="62" t="e">
        <f>$A$6</f>
        <v>#REF!</v>
      </c>
      <c r="F208" s="62">
        <f>'Прайс для расчета'!E192</f>
        <v>614.25</v>
      </c>
      <c r="G208" s="123" t="e">
        <f t="shared" si="24"/>
        <v>#REF!</v>
      </c>
      <c r="I208" s="134">
        <f>'Прайс для расчета (М)'!E192</f>
        <v>307.125</v>
      </c>
      <c r="J208" s="133" t="e">
        <f t="shared" si="25"/>
        <v>#REF!</v>
      </c>
    </row>
    <row r="209" spans="2:10" ht="15.6" x14ac:dyDescent="0.25">
      <c r="B209" s="122">
        <f>IF(SUM(B210:B218)&gt;0,1,0)</f>
        <v>1</v>
      </c>
      <c r="C209" s="60" t="s">
        <v>884</v>
      </c>
      <c r="D209" s="61"/>
      <c r="E209" s="62"/>
      <c r="F209" s="62"/>
      <c r="G209" s="123"/>
    </row>
    <row r="210" spans="2:10" ht="15.6" x14ac:dyDescent="0.25">
      <c r="B210" s="122">
        <v>1</v>
      </c>
      <c r="C210" s="69" t="s">
        <v>389</v>
      </c>
      <c r="D210" s="61" t="s">
        <v>3</v>
      </c>
      <c r="E210" s="62">
        <v>7.26</v>
      </c>
      <c r="F210" s="62">
        <f>'Прайс для расчета'!E193</f>
        <v>84</v>
      </c>
      <c r="G210" s="123">
        <f t="shared" ref="G210:G218" si="30">F210*E210</f>
        <v>609.84</v>
      </c>
      <c r="I210" s="134">
        <f>'Прайс для расчета (М)'!E193</f>
        <v>42</v>
      </c>
      <c r="J210" s="133">
        <f t="shared" ref="J210:J218" si="31">I210*E210</f>
        <v>304.92</v>
      </c>
    </row>
    <row r="211" spans="2:10" ht="15.6" x14ac:dyDescent="0.25">
      <c r="B211" s="122">
        <v>1</v>
      </c>
      <c r="C211" s="69" t="s">
        <v>390</v>
      </c>
      <c r="D211" s="61" t="s">
        <v>3</v>
      </c>
      <c r="E211" s="62">
        <f>E210</f>
        <v>7.26</v>
      </c>
      <c r="F211" s="62">
        <f>'Прайс для расчета'!E194</f>
        <v>787.5</v>
      </c>
      <c r="G211" s="123">
        <f t="shared" si="30"/>
        <v>5717.25</v>
      </c>
      <c r="I211" s="134">
        <f>'Прайс для расчета (М)'!E194</f>
        <v>393.75</v>
      </c>
      <c r="J211" s="133">
        <f t="shared" si="31"/>
        <v>2858.625</v>
      </c>
    </row>
    <row r="212" spans="2:10" ht="15.6" hidden="1" x14ac:dyDescent="0.25">
      <c r="B212" s="122"/>
      <c r="C212" s="69" t="s">
        <v>391</v>
      </c>
      <c r="D212" s="61" t="s">
        <v>3</v>
      </c>
      <c r="E212" s="62">
        <f>E210</f>
        <v>7.26</v>
      </c>
      <c r="F212" s="62">
        <f>'Прайс для расчета'!E195</f>
        <v>892.5</v>
      </c>
      <c r="G212" s="123">
        <f t="shared" si="30"/>
        <v>6479.55</v>
      </c>
      <c r="I212" s="134">
        <f>'Прайс для расчета (М)'!E195</f>
        <v>446.25</v>
      </c>
      <c r="J212" s="133">
        <f t="shared" si="31"/>
        <v>3239.7750000000001</v>
      </c>
    </row>
    <row r="213" spans="2:10" ht="15.6" hidden="1" x14ac:dyDescent="0.25">
      <c r="B213" s="122"/>
      <c r="C213" s="69" t="s">
        <v>392</v>
      </c>
      <c r="D213" s="61" t="s">
        <v>3</v>
      </c>
      <c r="E213" s="62">
        <f>E210</f>
        <v>7.26</v>
      </c>
      <c r="F213" s="62">
        <f>'Прайс для расчета'!E196</f>
        <v>997.5</v>
      </c>
      <c r="G213" s="123">
        <f t="shared" si="30"/>
        <v>7241.8499999999995</v>
      </c>
      <c r="I213" s="134">
        <f>'Прайс для расчета (М)'!E196</f>
        <v>498.75</v>
      </c>
      <c r="J213" s="133">
        <f t="shared" si="31"/>
        <v>3620.9249999999997</v>
      </c>
    </row>
    <row r="214" spans="2:10" ht="15.6" x14ac:dyDescent="0.25">
      <c r="B214" s="122">
        <v>1</v>
      </c>
      <c r="C214" s="69" t="s">
        <v>393</v>
      </c>
      <c r="D214" s="61" t="s">
        <v>3</v>
      </c>
      <c r="E214" s="62">
        <f>E210</f>
        <v>7.26</v>
      </c>
      <c r="F214" s="62">
        <f>'Прайс для расчета'!E197</f>
        <v>787.5</v>
      </c>
      <c r="G214" s="123">
        <f t="shared" si="30"/>
        <v>5717.25</v>
      </c>
      <c r="I214" s="134">
        <f>'Прайс для расчета (М)'!E197</f>
        <v>393.75</v>
      </c>
      <c r="J214" s="133">
        <f t="shared" si="31"/>
        <v>2858.625</v>
      </c>
    </row>
    <row r="215" spans="2:10" ht="15.6" x14ac:dyDescent="0.25">
      <c r="B215" s="122">
        <v>1</v>
      </c>
      <c r="C215" s="69" t="s">
        <v>52</v>
      </c>
      <c r="D215" s="61" t="s">
        <v>3</v>
      </c>
      <c r="E215" s="62">
        <f>E210</f>
        <v>7.26</v>
      </c>
      <c r="F215" s="62">
        <f>'Прайс для расчета'!E198</f>
        <v>204.75</v>
      </c>
      <c r="G215" s="123">
        <f t="shared" si="30"/>
        <v>1486.4849999999999</v>
      </c>
      <c r="I215" s="134">
        <f>'Прайс для расчета (М)'!E198</f>
        <v>102.375</v>
      </c>
      <c r="J215" s="133">
        <f t="shared" si="31"/>
        <v>743.24249999999995</v>
      </c>
    </row>
    <row r="216" spans="2:10" ht="15.6" hidden="1" x14ac:dyDescent="0.25">
      <c r="B216" s="122"/>
      <c r="C216" s="69" t="s">
        <v>53</v>
      </c>
      <c r="D216" s="61" t="s">
        <v>3</v>
      </c>
      <c r="E216" s="62">
        <f>E210</f>
        <v>7.26</v>
      </c>
      <c r="F216" s="62">
        <f>'Прайс для расчета'!E199</f>
        <v>194.25</v>
      </c>
      <c r="G216" s="123">
        <f t="shared" si="30"/>
        <v>1410.2549999999999</v>
      </c>
      <c r="I216" s="134">
        <f>'Прайс для расчета (М)'!E199</f>
        <v>97.125</v>
      </c>
      <c r="J216" s="133">
        <f t="shared" si="31"/>
        <v>705.12749999999994</v>
      </c>
    </row>
    <row r="217" spans="2:10" ht="15.6" hidden="1" x14ac:dyDescent="0.25">
      <c r="B217" s="122"/>
      <c r="C217" s="69" t="s">
        <v>394</v>
      </c>
      <c r="D217" s="61" t="s">
        <v>3</v>
      </c>
      <c r="E217" s="62">
        <f>E210</f>
        <v>7.26</v>
      </c>
      <c r="F217" s="62">
        <f>'Прайс для расчета'!E200</f>
        <v>866.25</v>
      </c>
      <c r="G217" s="123">
        <f t="shared" si="30"/>
        <v>6288.9749999999995</v>
      </c>
      <c r="I217" s="134">
        <f>'Прайс для расчета (М)'!E200</f>
        <v>433.125</v>
      </c>
      <c r="J217" s="133">
        <f t="shared" si="31"/>
        <v>3144.4874999999997</v>
      </c>
    </row>
    <row r="218" spans="2:10" ht="15.6" hidden="1" x14ac:dyDescent="0.25">
      <c r="B218" s="122"/>
      <c r="C218" s="69" t="s">
        <v>395</v>
      </c>
      <c r="D218" s="61" t="s">
        <v>3</v>
      </c>
      <c r="E218" s="62">
        <f>E210</f>
        <v>7.26</v>
      </c>
      <c r="F218" s="62">
        <f>'Прайс для расчета'!E201</f>
        <v>262.5</v>
      </c>
      <c r="G218" s="123">
        <f t="shared" si="30"/>
        <v>1905.75</v>
      </c>
      <c r="I218" s="134">
        <f>'Прайс для расчета (М)'!E201</f>
        <v>131.25</v>
      </c>
      <c r="J218" s="133">
        <f t="shared" si="31"/>
        <v>952.875</v>
      </c>
    </row>
    <row r="219" spans="2:10" ht="15.6" hidden="1" x14ac:dyDescent="0.25">
      <c r="B219" s="122">
        <f>IF(SUM(B220:B247)&gt;0,1,0)</f>
        <v>0</v>
      </c>
      <c r="C219" s="60" t="s">
        <v>879</v>
      </c>
      <c r="D219" s="61"/>
      <c r="E219" s="62"/>
      <c r="F219" s="62"/>
      <c r="G219" s="123"/>
    </row>
    <row r="220" spans="2:10" ht="15.6" hidden="1" x14ac:dyDescent="0.25">
      <c r="B220" s="122"/>
      <c r="C220" s="69" t="s">
        <v>1022</v>
      </c>
      <c r="D220" s="61" t="s">
        <v>2</v>
      </c>
      <c r="E220" s="62">
        <f t="shared" ref="E220:E226" si="32">$A$4</f>
        <v>11.67</v>
      </c>
      <c r="F220" s="62">
        <f>'Прайс для расчета'!E202</f>
        <v>135.45000000000002</v>
      </c>
      <c r="G220" s="123">
        <f t="shared" ref="G220:G247" si="33">F220*E220</f>
        <v>1580.7015000000001</v>
      </c>
      <c r="I220" s="134">
        <f>'Прайс для расчета (М)'!E202</f>
        <v>67.725000000000009</v>
      </c>
      <c r="J220" s="133">
        <f t="shared" ref="J220:J247" si="34">I220*E220</f>
        <v>790.35075000000006</v>
      </c>
    </row>
    <row r="221" spans="2:10" ht="15.6" hidden="1" x14ac:dyDescent="0.25">
      <c r="B221" s="122"/>
      <c r="C221" s="69" t="s">
        <v>1105</v>
      </c>
      <c r="D221" s="61" t="s">
        <v>3</v>
      </c>
      <c r="E221" s="62">
        <f t="shared" si="32"/>
        <v>11.67</v>
      </c>
      <c r="F221" s="62">
        <f>'Прайс для расчета'!E203</f>
        <v>210</v>
      </c>
      <c r="G221" s="123">
        <f t="shared" si="33"/>
        <v>2450.6999999999998</v>
      </c>
      <c r="I221" s="134">
        <f>'Прайс для расчета (М)'!E203</f>
        <v>105</v>
      </c>
      <c r="J221" s="133">
        <f t="shared" si="34"/>
        <v>1225.3499999999999</v>
      </c>
    </row>
    <row r="222" spans="2:10" ht="15.6" hidden="1" x14ac:dyDescent="0.25">
      <c r="B222" s="122"/>
      <c r="C222" s="69" t="s">
        <v>1032</v>
      </c>
      <c r="D222" s="61" t="s">
        <v>2</v>
      </c>
      <c r="E222" s="62">
        <f t="shared" si="32"/>
        <v>11.67</v>
      </c>
      <c r="F222" s="62">
        <f>'Прайс для расчета'!E204</f>
        <v>892.5</v>
      </c>
      <c r="G222" s="123">
        <f t="shared" si="33"/>
        <v>10415.475</v>
      </c>
      <c r="I222" s="134">
        <f>'Прайс для расчета (М)'!E204</f>
        <v>446.25</v>
      </c>
      <c r="J222" s="133">
        <f t="shared" si="34"/>
        <v>5207.7375000000002</v>
      </c>
    </row>
    <row r="223" spans="2:10" ht="15.6" hidden="1" x14ac:dyDescent="0.25">
      <c r="B223" s="122"/>
      <c r="C223" s="69" t="s">
        <v>1130</v>
      </c>
      <c r="D223" s="61" t="s">
        <v>2</v>
      </c>
      <c r="E223" s="62">
        <f t="shared" si="32"/>
        <v>11.67</v>
      </c>
      <c r="F223" s="62">
        <f>'Прайс для расчета'!E205</f>
        <v>1102.5</v>
      </c>
      <c r="G223" s="123">
        <f t="shared" si="33"/>
        <v>12866.174999999999</v>
      </c>
      <c r="I223" s="134">
        <f>'Прайс для расчета (М)'!E205</f>
        <v>551.25</v>
      </c>
      <c r="J223" s="133">
        <f t="shared" si="34"/>
        <v>6433.0874999999996</v>
      </c>
    </row>
    <row r="224" spans="2:10" ht="15.6" hidden="1" x14ac:dyDescent="0.25">
      <c r="B224" s="122"/>
      <c r="C224" s="69" t="s">
        <v>1131</v>
      </c>
      <c r="D224" s="61" t="s">
        <v>2</v>
      </c>
      <c r="E224" s="62">
        <f t="shared" si="32"/>
        <v>11.67</v>
      </c>
      <c r="F224" s="62">
        <f>'Прайс для расчета'!E206</f>
        <v>892.5</v>
      </c>
      <c r="G224" s="123">
        <f t="shared" si="33"/>
        <v>10415.475</v>
      </c>
      <c r="I224" s="134">
        <f>'Прайс для расчета (М)'!E206</f>
        <v>446.25</v>
      </c>
      <c r="J224" s="133">
        <f t="shared" si="34"/>
        <v>5207.7375000000002</v>
      </c>
    </row>
    <row r="225" spans="2:10" ht="15.6" hidden="1" x14ac:dyDescent="0.25">
      <c r="B225" s="122"/>
      <c r="C225" s="69" t="s">
        <v>1106</v>
      </c>
      <c r="D225" s="61" t="s">
        <v>3</v>
      </c>
      <c r="E225" s="62">
        <f t="shared" si="32"/>
        <v>11.67</v>
      </c>
      <c r="F225" s="62">
        <f>'Прайс для расчета'!E207</f>
        <v>210</v>
      </c>
      <c r="G225" s="123">
        <f t="shared" si="33"/>
        <v>2450.6999999999998</v>
      </c>
      <c r="I225" s="134">
        <f>'Прайс для расчета (М)'!E207</f>
        <v>105</v>
      </c>
      <c r="J225" s="133">
        <f t="shared" si="34"/>
        <v>1225.3499999999999</v>
      </c>
    </row>
    <row r="226" spans="2:10" ht="15.6" hidden="1" x14ac:dyDescent="0.25">
      <c r="B226" s="122"/>
      <c r="C226" s="69" t="s">
        <v>1008</v>
      </c>
      <c r="D226" s="61" t="s">
        <v>2</v>
      </c>
      <c r="E226" s="62">
        <f t="shared" si="32"/>
        <v>11.67</v>
      </c>
      <c r="F226" s="62">
        <f>'Прайс для расчета'!E208</f>
        <v>3097.5</v>
      </c>
      <c r="G226" s="123">
        <f t="shared" si="33"/>
        <v>36147.824999999997</v>
      </c>
      <c r="I226" s="134">
        <f>'Прайс для расчета (М)'!E208</f>
        <v>1548.75</v>
      </c>
      <c r="J226" s="133">
        <f t="shared" si="34"/>
        <v>18073.912499999999</v>
      </c>
    </row>
    <row r="227" spans="2:10" ht="15.6" hidden="1" x14ac:dyDescent="0.25">
      <c r="B227" s="122"/>
      <c r="C227" s="69" t="s">
        <v>400</v>
      </c>
      <c r="D227" s="61" t="s">
        <v>3</v>
      </c>
      <c r="E227" s="62">
        <f>E79</f>
        <v>0</v>
      </c>
      <c r="F227" s="62">
        <f>'Прайс для расчета'!E209</f>
        <v>240.05099999999999</v>
      </c>
      <c r="G227" s="123">
        <f t="shared" si="33"/>
        <v>0</v>
      </c>
      <c r="I227" s="134">
        <f>'Прайс для расчета (М)'!E209</f>
        <v>120.02549999999999</v>
      </c>
      <c r="J227" s="133">
        <f t="shared" si="34"/>
        <v>0</v>
      </c>
    </row>
    <row r="228" spans="2:10" ht="15.6" hidden="1" x14ac:dyDescent="0.25">
      <c r="B228" s="122"/>
      <c r="C228" s="69" t="s">
        <v>401</v>
      </c>
      <c r="D228" s="61" t="s">
        <v>3</v>
      </c>
      <c r="E228" s="62">
        <f>ROUND(A4*1.25,0)</f>
        <v>15</v>
      </c>
      <c r="F228" s="62">
        <f>'Прайс для расчета'!E210</f>
        <v>164.01</v>
      </c>
      <c r="G228" s="123">
        <f t="shared" si="33"/>
        <v>2460.1499999999996</v>
      </c>
      <c r="I228" s="134">
        <f>'Прайс для расчета (М)'!E210</f>
        <v>82.004999999999995</v>
      </c>
      <c r="J228" s="133">
        <f t="shared" si="34"/>
        <v>1230.0749999999998</v>
      </c>
    </row>
    <row r="229" spans="2:10" ht="15.6" hidden="1" x14ac:dyDescent="0.25">
      <c r="B229" s="122"/>
      <c r="C229" s="69" t="s">
        <v>675</v>
      </c>
      <c r="D229" s="61" t="s">
        <v>2</v>
      </c>
      <c r="E229" s="62">
        <f t="shared" ref="E229:E238" si="35">$A$4</f>
        <v>11.67</v>
      </c>
      <c r="F229" s="62">
        <f>'Прайс для расчета'!E211</f>
        <v>477.12</v>
      </c>
      <c r="G229" s="123">
        <f t="shared" si="33"/>
        <v>5567.9903999999997</v>
      </c>
      <c r="I229" s="134">
        <f>'Прайс для расчета (М)'!E211</f>
        <v>238.56</v>
      </c>
      <c r="J229" s="133">
        <f t="shared" si="34"/>
        <v>2783.9951999999998</v>
      </c>
    </row>
    <row r="230" spans="2:10" ht="15.6" hidden="1" x14ac:dyDescent="0.25">
      <c r="B230" s="122"/>
      <c r="C230" s="69" t="s">
        <v>1023</v>
      </c>
      <c r="D230" s="61" t="s">
        <v>2</v>
      </c>
      <c r="E230" s="62">
        <f t="shared" si="35"/>
        <v>11.67</v>
      </c>
      <c r="F230" s="62">
        <f>'Прайс для расчета'!E212</f>
        <v>124.95</v>
      </c>
      <c r="G230" s="123">
        <f t="shared" si="33"/>
        <v>1458.1665</v>
      </c>
      <c r="I230" s="134">
        <f>'Прайс для расчета (М)'!E212</f>
        <v>62.475000000000001</v>
      </c>
      <c r="J230" s="133">
        <f t="shared" si="34"/>
        <v>729.08325000000002</v>
      </c>
    </row>
    <row r="231" spans="2:10" ht="15.6" hidden="1" x14ac:dyDescent="0.25">
      <c r="B231" s="122"/>
      <c r="C231" s="69" t="s">
        <v>1132</v>
      </c>
      <c r="D231" s="61" t="s">
        <v>2</v>
      </c>
      <c r="E231" s="62">
        <f t="shared" si="35"/>
        <v>11.67</v>
      </c>
      <c r="F231" s="62">
        <f>'Прайс для расчета'!E213</f>
        <v>199.5</v>
      </c>
      <c r="G231" s="123">
        <f t="shared" si="33"/>
        <v>2328.165</v>
      </c>
      <c r="I231" s="134">
        <f>'Прайс для расчета (М)'!E213</f>
        <v>99.75</v>
      </c>
      <c r="J231" s="133">
        <f t="shared" si="34"/>
        <v>1164.0825</v>
      </c>
    </row>
    <row r="232" spans="2:10" ht="15.6" hidden="1" x14ac:dyDescent="0.25">
      <c r="B232" s="122"/>
      <c r="C232" s="69" t="s">
        <v>676</v>
      </c>
      <c r="D232" s="61" t="s">
        <v>2</v>
      </c>
      <c r="E232" s="62">
        <f t="shared" si="35"/>
        <v>11.67</v>
      </c>
      <c r="F232" s="62">
        <f>'Прайс для расчета'!E214</f>
        <v>299.25</v>
      </c>
      <c r="G232" s="123">
        <f t="shared" si="33"/>
        <v>3492.2474999999999</v>
      </c>
      <c r="I232" s="134">
        <f>'Прайс для расчета (М)'!E214</f>
        <v>149.625</v>
      </c>
      <c r="J232" s="133">
        <f t="shared" si="34"/>
        <v>1746.12375</v>
      </c>
    </row>
    <row r="233" spans="2:10" ht="15.6" hidden="1" x14ac:dyDescent="0.25">
      <c r="B233" s="122"/>
      <c r="C233" s="69" t="s">
        <v>403</v>
      </c>
      <c r="D233" s="61" t="s">
        <v>2</v>
      </c>
      <c r="E233" s="62">
        <f t="shared" si="35"/>
        <v>11.67</v>
      </c>
      <c r="F233" s="62">
        <f>'Прайс для расчета'!E215</f>
        <v>236.25</v>
      </c>
      <c r="G233" s="123">
        <f t="shared" si="33"/>
        <v>2757.0374999999999</v>
      </c>
      <c r="I233" s="134">
        <f>'Прайс для расчета (М)'!E215</f>
        <v>118.125</v>
      </c>
      <c r="J233" s="133">
        <f t="shared" si="34"/>
        <v>1378.51875</v>
      </c>
    </row>
    <row r="234" spans="2:10" ht="15.6" hidden="1" x14ac:dyDescent="0.25">
      <c r="B234" s="122"/>
      <c r="C234" s="69" t="s">
        <v>1035</v>
      </c>
      <c r="D234" s="61" t="s">
        <v>2</v>
      </c>
      <c r="E234" s="62">
        <f t="shared" si="35"/>
        <v>11.67</v>
      </c>
      <c r="F234" s="62">
        <f>'Прайс для расчета'!E216</f>
        <v>624.75</v>
      </c>
      <c r="G234" s="123">
        <f t="shared" si="33"/>
        <v>7290.8324999999995</v>
      </c>
      <c r="I234" s="134">
        <f>'Прайс для расчета (М)'!E216</f>
        <v>312.375</v>
      </c>
      <c r="J234" s="133">
        <f t="shared" si="34"/>
        <v>3645.4162499999998</v>
      </c>
    </row>
    <row r="235" spans="2:10" ht="15.6" hidden="1" x14ac:dyDescent="0.25">
      <c r="B235" s="122"/>
      <c r="C235" s="69" t="s">
        <v>1138</v>
      </c>
      <c r="D235" s="61" t="s">
        <v>2</v>
      </c>
      <c r="E235" s="62">
        <f t="shared" si="35"/>
        <v>11.67</v>
      </c>
      <c r="F235" s="62">
        <f>'Прайс для расчета'!E217</f>
        <v>787.5</v>
      </c>
      <c r="G235" s="123">
        <f t="shared" si="33"/>
        <v>9190.125</v>
      </c>
      <c r="I235" s="134">
        <f>'Прайс для расчета (М)'!E217</f>
        <v>393.75</v>
      </c>
      <c r="J235" s="133">
        <f t="shared" si="34"/>
        <v>4595.0625</v>
      </c>
    </row>
    <row r="236" spans="2:10" ht="15.6" hidden="1" x14ac:dyDescent="0.25">
      <c r="B236" s="122"/>
      <c r="C236" s="69" t="s">
        <v>1137</v>
      </c>
      <c r="D236" s="61" t="s">
        <v>2</v>
      </c>
      <c r="E236" s="62">
        <f t="shared" si="35"/>
        <v>11.67</v>
      </c>
      <c r="F236" s="62">
        <f>'Прайс для расчета'!E218</f>
        <v>1207.5</v>
      </c>
      <c r="G236" s="123">
        <f t="shared" si="33"/>
        <v>14091.525</v>
      </c>
      <c r="I236" s="134">
        <f>'Прайс для расчета (М)'!E218</f>
        <v>603.75</v>
      </c>
      <c r="J236" s="133">
        <f t="shared" si="34"/>
        <v>7045.7624999999998</v>
      </c>
    </row>
    <row r="237" spans="2:10" ht="15.6" hidden="1" x14ac:dyDescent="0.25">
      <c r="B237" s="122"/>
      <c r="C237" s="69" t="s">
        <v>1139</v>
      </c>
      <c r="D237" s="61" t="s">
        <v>2</v>
      </c>
      <c r="E237" s="62">
        <f t="shared" si="35"/>
        <v>11.67</v>
      </c>
      <c r="F237" s="62">
        <f>'Прайс для расчета'!E219</f>
        <v>262.5</v>
      </c>
      <c r="G237" s="123">
        <f t="shared" si="33"/>
        <v>3063.375</v>
      </c>
      <c r="I237" s="134">
        <f>'Прайс для расчета (М)'!E219</f>
        <v>131.25</v>
      </c>
      <c r="J237" s="133">
        <f t="shared" si="34"/>
        <v>1531.6875</v>
      </c>
    </row>
    <row r="238" spans="2:10" ht="15.6" hidden="1" x14ac:dyDescent="0.25">
      <c r="B238" s="122"/>
      <c r="C238" s="69" t="s">
        <v>1142</v>
      </c>
      <c r="D238" s="61" t="s">
        <v>2</v>
      </c>
      <c r="E238" s="62">
        <f t="shared" si="35"/>
        <v>11.67</v>
      </c>
      <c r="F238" s="62">
        <f>'Прайс для расчета'!E220</f>
        <v>997.5</v>
      </c>
      <c r="G238" s="123">
        <f t="shared" si="33"/>
        <v>11640.825000000001</v>
      </c>
      <c r="I238" s="134">
        <f>'Прайс для расчета (М)'!E220</f>
        <v>498.75</v>
      </c>
      <c r="J238" s="133">
        <f t="shared" si="34"/>
        <v>5820.4125000000004</v>
      </c>
    </row>
    <row r="239" spans="2:10" ht="15.6" hidden="1" x14ac:dyDescent="0.25">
      <c r="B239" s="122"/>
      <c r="C239" s="69" t="s">
        <v>4</v>
      </c>
      <c r="D239" s="61" t="s">
        <v>3</v>
      </c>
      <c r="E239" s="62">
        <v>1</v>
      </c>
      <c r="F239" s="62">
        <f>'Прайс для расчета'!E221</f>
        <v>735</v>
      </c>
      <c r="G239" s="123">
        <f t="shared" si="33"/>
        <v>735</v>
      </c>
      <c r="I239" s="134">
        <f>'Прайс для расчета (М)'!E221</f>
        <v>367.5</v>
      </c>
      <c r="J239" s="133">
        <f t="shared" si="34"/>
        <v>367.5</v>
      </c>
    </row>
    <row r="240" spans="2:10" ht="15.6" hidden="1" x14ac:dyDescent="0.25">
      <c r="B240" s="122"/>
      <c r="C240" s="69" t="s">
        <v>1001</v>
      </c>
      <c r="D240" s="61" t="s">
        <v>2</v>
      </c>
      <c r="E240" s="62">
        <f>$A$4</f>
        <v>11.67</v>
      </c>
      <c r="F240" s="62">
        <f>'Прайс для расчета'!E222</f>
        <v>105</v>
      </c>
      <c r="G240" s="123">
        <f t="shared" si="33"/>
        <v>1225.3499999999999</v>
      </c>
      <c r="I240" s="134">
        <f>'Прайс для расчета (М)'!E222</f>
        <v>52.5</v>
      </c>
      <c r="J240" s="133">
        <f t="shared" si="34"/>
        <v>612.67499999999995</v>
      </c>
    </row>
    <row r="241" spans="2:10" ht="15.6" hidden="1" x14ac:dyDescent="0.25">
      <c r="B241" s="122"/>
      <c r="C241" s="69" t="s">
        <v>153</v>
      </c>
      <c r="D241" s="61" t="s">
        <v>2</v>
      </c>
      <c r="E241" s="62">
        <f>$A$4</f>
        <v>11.67</v>
      </c>
      <c r="F241" s="62">
        <f>'Прайс для расчета'!E223</f>
        <v>292.95</v>
      </c>
      <c r="G241" s="123">
        <f t="shared" si="33"/>
        <v>3418.7264999999998</v>
      </c>
      <c r="I241" s="134">
        <f>'Прайс для расчета (М)'!E223</f>
        <v>146.47499999999999</v>
      </c>
      <c r="J241" s="133">
        <f t="shared" si="34"/>
        <v>1709.3632499999999</v>
      </c>
    </row>
    <row r="242" spans="2:10" ht="15.6" hidden="1" x14ac:dyDescent="0.25">
      <c r="B242" s="122"/>
      <c r="C242" s="69" t="s">
        <v>1027</v>
      </c>
      <c r="D242" s="61" t="s">
        <v>2</v>
      </c>
      <c r="E242" s="62">
        <f>$A$4</f>
        <v>11.67</v>
      </c>
      <c r="F242" s="62">
        <f>'Прайс для расчета'!E224</f>
        <v>719.25</v>
      </c>
      <c r="G242" s="123">
        <f t="shared" si="33"/>
        <v>8393.6474999999991</v>
      </c>
      <c r="I242" s="134">
        <f>'Прайс для расчета (М)'!E224</f>
        <v>359.625</v>
      </c>
      <c r="J242" s="133">
        <f t="shared" si="34"/>
        <v>4196.8237499999996</v>
      </c>
    </row>
    <row r="243" spans="2:10" ht="15.6" hidden="1" x14ac:dyDescent="0.25">
      <c r="B243" s="122"/>
      <c r="C243" s="69" t="s">
        <v>982</v>
      </c>
      <c r="D243" s="61" t="s">
        <v>3</v>
      </c>
      <c r="E243" s="62">
        <v>1</v>
      </c>
      <c r="F243" s="62">
        <f>'Прайс для расчета'!E225</f>
        <v>2299.5</v>
      </c>
      <c r="G243" s="123">
        <f t="shared" si="33"/>
        <v>2299.5</v>
      </c>
      <c r="I243" s="134">
        <f>'Прайс для расчета (М)'!E225</f>
        <v>1149.75</v>
      </c>
      <c r="J243" s="133">
        <f t="shared" si="34"/>
        <v>1149.75</v>
      </c>
    </row>
    <row r="244" spans="2:10" ht="15.6" hidden="1" x14ac:dyDescent="0.25">
      <c r="B244" s="122"/>
      <c r="C244" s="69" t="s">
        <v>1050</v>
      </c>
      <c r="D244" s="61" t="s">
        <v>2</v>
      </c>
      <c r="E244" s="62">
        <f>$A$4</f>
        <v>11.67</v>
      </c>
      <c r="F244" s="62">
        <f>'Прайс для расчета'!E226</f>
        <v>1942.5</v>
      </c>
      <c r="G244" s="123">
        <f t="shared" si="33"/>
        <v>22668.974999999999</v>
      </c>
      <c r="I244" s="134">
        <f>'Прайс для расчета (М)'!E226</f>
        <v>971.25</v>
      </c>
      <c r="J244" s="133">
        <f t="shared" si="34"/>
        <v>11334.487499999999</v>
      </c>
    </row>
    <row r="245" spans="2:10" ht="15.6" hidden="1" x14ac:dyDescent="0.25">
      <c r="B245" s="122"/>
      <c r="C245" s="69" t="s">
        <v>1049</v>
      </c>
      <c r="D245" s="61" t="s">
        <v>2</v>
      </c>
      <c r="E245" s="62">
        <f>$A$4</f>
        <v>11.67</v>
      </c>
      <c r="F245" s="62">
        <f>'Прайс для расчета'!E227</f>
        <v>2047.5</v>
      </c>
      <c r="G245" s="123">
        <f t="shared" si="33"/>
        <v>23894.325000000001</v>
      </c>
      <c r="I245" s="134">
        <f>'Прайс для расчета (М)'!E227</f>
        <v>1023.75</v>
      </c>
      <c r="J245" s="133">
        <f t="shared" si="34"/>
        <v>11947.1625</v>
      </c>
    </row>
    <row r="246" spans="2:10" ht="15.6" hidden="1" x14ac:dyDescent="0.25">
      <c r="B246" s="122"/>
      <c r="C246" s="69" t="s">
        <v>1051</v>
      </c>
      <c r="D246" s="61" t="s">
        <v>3</v>
      </c>
      <c r="E246" s="62">
        <v>1</v>
      </c>
      <c r="F246" s="62">
        <f>'Прайс для расчета'!E228</f>
        <v>2467.5</v>
      </c>
      <c r="G246" s="123">
        <f t="shared" si="33"/>
        <v>2467.5</v>
      </c>
      <c r="I246" s="134">
        <f>'Прайс для расчета (М)'!E228</f>
        <v>1233.75</v>
      </c>
      <c r="J246" s="133">
        <f t="shared" si="34"/>
        <v>1233.75</v>
      </c>
    </row>
    <row r="247" spans="2:10" ht="15.6" hidden="1" x14ac:dyDescent="0.25">
      <c r="B247" s="122"/>
      <c r="C247" s="69" t="s">
        <v>888</v>
      </c>
      <c r="D247" s="61" t="s">
        <v>3</v>
      </c>
      <c r="E247" s="62">
        <v>1</v>
      </c>
      <c r="F247" s="62">
        <f>'Прайс для расчета'!E229</f>
        <v>2677.5</v>
      </c>
      <c r="G247" s="123">
        <f t="shared" si="33"/>
        <v>2677.5</v>
      </c>
      <c r="I247" s="134">
        <f>'Прайс для расчета (М)'!E229</f>
        <v>1338.75</v>
      </c>
      <c r="J247" s="133">
        <f t="shared" si="34"/>
        <v>1338.75</v>
      </c>
    </row>
    <row r="248" spans="2:10" ht="20.100000000000001" customHeight="1" x14ac:dyDescent="0.25">
      <c r="B248" s="140">
        <f>IF(SUM(B139:B247)&gt;0,1,0)</f>
        <v>1</v>
      </c>
      <c r="C248" s="245" t="s">
        <v>514</v>
      </c>
      <c r="D248" s="245"/>
      <c r="E248" s="245"/>
      <c r="F248" s="245"/>
      <c r="G248" s="150" t="e">
        <f>SUMIF(B140:B247,1,G140:G247)</f>
        <v>#REF!</v>
      </c>
      <c r="J248" s="133" t="e">
        <f>SUMIF(B140:B247,1,J140:J247)</f>
        <v>#REF!</v>
      </c>
    </row>
    <row r="249" spans="2:10" ht="15.6" x14ac:dyDescent="0.25">
      <c r="B249" s="147">
        <f>IF(SUM(B250:B361)&gt;0,1,0)</f>
        <v>1</v>
      </c>
      <c r="C249" s="148" t="s">
        <v>1160</v>
      </c>
      <c r="D249" s="149" t="s">
        <v>179</v>
      </c>
      <c r="E249" s="149" t="s">
        <v>180</v>
      </c>
      <c r="F249" s="149" t="s">
        <v>1</v>
      </c>
      <c r="G249" s="149" t="s">
        <v>181</v>
      </c>
      <c r="I249" s="132" t="s">
        <v>1</v>
      </c>
      <c r="J249" s="133" t="s">
        <v>181</v>
      </c>
    </row>
    <row r="250" spans="2:10" ht="15.6" x14ac:dyDescent="0.25">
      <c r="B250" s="122">
        <f>IF(SUM(B251:B286)&gt;0,1,0)</f>
        <v>1</v>
      </c>
      <c r="C250" s="60" t="s">
        <v>877</v>
      </c>
      <c r="D250" s="61"/>
      <c r="E250" s="62"/>
      <c r="F250" s="62"/>
      <c r="G250" s="123"/>
    </row>
    <row r="251" spans="2:10" ht="15.6" hidden="1" x14ac:dyDescent="0.3">
      <c r="B251" s="122"/>
      <c r="C251" s="78" t="s">
        <v>933</v>
      </c>
      <c r="D251" s="74" t="s">
        <v>2</v>
      </c>
      <c r="E251" s="62">
        <f>$A$4</f>
        <v>11.67</v>
      </c>
      <c r="F251" s="62">
        <f>'Прайс для расчета'!E230</f>
        <v>2518.9500000000003</v>
      </c>
      <c r="G251" s="123">
        <f t="shared" ref="G251:G286" si="36">F251*E251</f>
        <v>29396.146500000003</v>
      </c>
      <c r="I251" s="134">
        <f>'Прайс для расчета (М)'!E230</f>
        <v>1259.4750000000001</v>
      </c>
      <c r="J251" s="133">
        <f t="shared" ref="J251:J286" si="37">I251*E251</f>
        <v>14698.073250000001</v>
      </c>
    </row>
    <row r="252" spans="2:10" ht="15.6" hidden="1" x14ac:dyDescent="0.3">
      <c r="B252" s="122"/>
      <c r="C252" s="78" t="s">
        <v>233</v>
      </c>
      <c r="D252" s="74" t="s">
        <v>3</v>
      </c>
      <c r="E252" s="62">
        <f t="shared" ref="E252:E267" si="38">$A$4</f>
        <v>11.67</v>
      </c>
      <c r="F252" s="62">
        <f>'Прайс для расчета'!E231</f>
        <v>509.25</v>
      </c>
      <c r="G252" s="123">
        <f t="shared" si="36"/>
        <v>5942.9475000000002</v>
      </c>
      <c r="I252" s="134">
        <f>'Прайс для расчета (М)'!E231</f>
        <v>254.625</v>
      </c>
      <c r="J252" s="133">
        <f t="shared" si="37"/>
        <v>2971.4737500000001</v>
      </c>
    </row>
    <row r="253" spans="2:10" ht="15.6" hidden="1" x14ac:dyDescent="0.3">
      <c r="B253" s="122"/>
      <c r="C253" s="78" t="s">
        <v>409</v>
      </c>
      <c r="D253" s="74" t="s">
        <v>2</v>
      </c>
      <c r="E253" s="62">
        <f t="shared" si="38"/>
        <v>11.67</v>
      </c>
      <c r="F253" s="62">
        <f>'Прайс для расчета'!E232</f>
        <v>2718.4500000000003</v>
      </c>
      <c r="G253" s="123">
        <f t="shared" si="36"/>
        <v>31724.311500000003</v>
      </c>
      <c r="I253" s="134">
        <f>'Прайс для расчета (М)'!E232</f>
        <v>1359.2250000000001</v>
      </c>
      <c r="J253" s="133">
        <f t="shared" si="37"/>
        <v>15862.155750000002</v>
      </c>
    </row>
    <row r="254" spans="2:10" ht="15.6" hidden="1" x14ac:dyDescent="0.3">
      <c r="B254" s="122"/>
      <c r="C254" s="78" t="s">
        <v>1059</v>
      </c>
      <c r="D254" s="74" t="s">
        <v>2</v>
      </c>
      <c r="E254" s="62">
        <f t="shared" si="38"/>
        <v>11.67</v>
      </c>
      <c r="F254" s="62">
        <f>'Прайс для расчета'!E233</f>
        <v>1260</v>
      </c>
      <c r="G254" s="123">
        <f t="shared" si="36"/>
        <v>14704.2</v>
      </c>
      <c r="I254" s="134">
        <f>'Прайс для расчета (М)'!E233</f>
        <v>630</v>
      </c>
      <c r="J254" s="133">
        <f t="shared" si="37"/>
        <v>7352.1</v>
      </c>
    </row>
    <row r="255" spans="2:10" ht="15.6" hidden="1" x14ac:dyDescent="0.3">
      <c r="B255" s="122"/>
      <c r="C255" s="78" t="s">
        <v>411</v>
      </c>
      <c r="D255" s="74" t="s">
        <v>2</v>
      </c>
      <c r="E255" s="62">
        <f t="shared" si="38"/>
        <v>11.67</v>
      </c>
      <c r="F255" s="62">
        <f>'Прайс для расчета'!E234</f>
        <v>3033.4500000000003</v>
      </c>
      <c r="G255" s="123">
        <f t="shared" si="36"/>
        <v>35400.361500000006</v>
      </c>
      <c r="I255" s="134">
        <f>'Прайс для расчета (М)'!E234</f>
        <v>1516.7250000000001</v>
      </c>
      <c r="J255" s="133">
        <f t="shared" si="37"/>
        <v>17700.180750000003</v>
      </c>
    </row>
    <row r="256" spans="2:10" ht="15.6" hidden="1" x14ac:dyDescent="0.3">
      <c r="B256" s="122"/>
      <c r="C256" s="78" t="s">
        <v>1062</v>
      </c>
      <c r="D256" s="74" t="s">
        <v>3</v>
      </c>
      <c r="E256" s="62">
        <f t="shared" si="38"/>
        <v>11.67</v>
      </c>
      <c r="F256" s="62">
        <f>'Прайс для расчета'!E235</f>
        <v>971.25</v>
      </c>
      <c r="G256" s="123">
        <f t="shared" si="36"/>
        <v>11334.487499999999</v>
      </c>
      <c r="I256" s="134">
        <f>'Прайс для расчета (М)'!E235</f>
        <v>485.625</v>
      </c>
      <c r="J256" s="133">
        <f t="shared" si="37"/>
        <v>5667.2437499999996</v>
      </c>
    </row>
    <row r="257" spans="2:10" ht="15.6" hidden="1" x14ac:dyDescent="0.3">
      <c r="B257" s="122"/>
      <c r="C257" s="78" t="s">
        <v>923</v>
      </c>
      <c r="D257" s="74" t="s">
        <v>2</v>
      </c>
      <c r="E257" s="62">
        <f t="shared" si="38"/>
        <v>11.67</v>
      </c>
      <c r="F257" s="62">
        <f>'Прайс для расчета'!E236</f>
        <v>3412.5</v>
      </c>
      <c r="G257" s="123">
        <f t="shared" si="36"/>
        <v>39823.875</v>
      </c>
      <c r="I257" s="134">
        <f>'Прайс для расчета (М)'!E236</f>
        <v>1706.25</v>
      </c>
      <c r="J257" s="133">
        <f t="shared" si="37"/>
        <v>19911.9375</v>
      </c>
    </row>
    <row r="258" spans="2:10" ht="15.6" hidden="1" x14ac:dyDescent="0.3">
      <c r="B258" s="122"/>
      <c r="C258" s="78" t="s">
        <v>988</v>
      </c>
      <c r="D258" s="74" t="s">
        <v>2</v>
      </c>
      <c r="E258" s="62">
        <f t="shared" si="38"/>
        <v>11.67</v>
      </c>
      <c r="F258" s="62">
        <f>'Прайс для расчета'!E237</f>
        <v>2938.9500000000003</v>
      </c>
      <c r="G258" s="123">
        <f t="shared" si="36"/>
        <v>34297.546500000004</v>
      </c>
      <c r="I258" s="134">
        <f>'Прайс для расчета (М)'!E237</f>
        <v>1469.4750000000001</v>
      </c>
      <c r="J258" s="133">
        <f t="shared" si="37"/>
        <v>17148.773250000002</v>
      </c>
    </row>
    <row r="259" spans="2:10" ht="15.6" hidden="1" x14ac:dyDescent="0.3">
      <c r="B259" s="122"/>
      <c r="C259" s="78" t="s">
        <v>922</v>
      </c>
      <c r="D259" s="74" t="s">
        <v>2</v>
      </c>
      <c r="E259" s="62">
        <f t="shared" si="38"/>
        <v>11.67</v>
      </c>
      <c r="F259" s="62">
        <f>'Прайс для расчета'!E238</f>
        <v>3097.5</v>
      </c>
      <c r="G259" s="123">
        <f t="shared" si="36"/>
        <v>36147.824999999997</v>
      </c>
      <c r="I259" s="134">
        <f>'Прайс для расчета (М)'!E238</f>
        <v>1548.75</v>
      </c>
      <c r="J259" s="133">
        <f t="shared" si="37"/>
        <v>18073.912499999999</v>
      </c>
    </row>
    <row r="260" spans="2:10" ht="15.6" hidden="1" x14ac:dyDescent="0.3">
      <c r="B260" s="122"/>
      <c r="C260" s="78" t="s">
        <v>989</v>
      </c>
      <c r="D260" s="74" t="s">
        <v>2</v>
      </c>
      <c r="E260" s="62">
        <f t="shared" si="38"/>
        <v>11.67</v>
      </c>
      <c r="F260" s="62">
        <f>'Прайс для расчета'!E239</f>
        <v>3717</v>
      </c>
      <c r="G260" s="123">
        <f t="shared" si="36"/>
        <v>43377.39</v>
      </c>
      <c r="I260" s="134">
        <f>'Прайс для расчета (М)'!E239</f>
        <v>1858.5</v>
      </c>
      <c r="J260" s="133">
        <f t="shared" si="37"/>
        <v>21688.695</v>
      </c>
    </row>
    <row r="261" spans="2:10" ht="15.6" hidden="1" x14ac:dyDescent="0.3">
      <c r="B261" s="122"/>
      <c r="C261" s="78" t="s">
        <v>936</v>
      </c>
      <c r="D261" s="74" t="s">
        <v>2</v>
      </c>
      <c r="E261" s="62">
        <f t="shared" si="38"/>
        <v>11.67</v>
      </c>
      <c r="F261" s="62">
        <f>'Прайс для расчета'!E240</f>
        <v>6237</v>
      </c>
      <c r="G261" s="123">
        <f t="shared" si="36"/>
        <v>72785.789999999994</v>
      </c>
      <c r="I261" s="134">
        <f>'Прайс для расчета (М)'!E240</f>
        <v>3118.5</v>
      </c>
      <c r="J261" s="133">
        <f t="shared" si="37"/>
        <v>36392.894999999997</v>
      </c>
    </row>
    <row r="262" spans="2:10" ht="15.6" hidden="1" x14ac:dyDescent="0.3">
      <c r="B262" s="122"/>
      <c r="C262" s="78" t="s">
        <v>1065</v>
      </c>
      <c r="D262" s="74" t="s">
        <v>2</v>
      </c>
      <c r="E262" s="62">
        <f t="shared" si="38"/>
        <v>11.67</v>
      </c>
      <c r="F262" s="62">
        <f>'Прайс для расчета'!E241</f>
        <v>3622.5</v>
      </c>
      <c r="G262" s="123">
        <f t="shared" si="36"/>
        <v>42274.574999999997</v>
      </c>
      <c r="I262" s="134">
        <f>'Прайс для расчета (М)'!E241</f>
        <v>1811.25</v>
      </c>
      <c r="J262" s="133">
        <f t="shared" si="37"/>
        <v>21137.287499999999</v>
      </c>
    </row>
    <row r="263" spans="2:10" ht="15.6" hidden="1" x14ac:dyDescent="0.3">
      <c r="B263" s="122"/>
      <c r="C263" s="78" t="s">
        <v>1066</v>
      </c>
      <c r="D263" s="74" t="s">
        <v>2</v>
      </c>
      <c r="E263" s="62">
        <f t="shared" si="38"/>
        <v>11.67</v>
      </c>
      <c r="F263" s="62">
        <f>'Прайс для расчета'!E242</f>
        <v>5197.5</v>
      </c>
      <c r="G263" s="123">
        <f t="shared" si="36"/>
        <v>60654.824999999997</v>
      </c>
      <c r="I263" s="134">
        <f>'Прайс для расчета (М)'!E242</f>
        <v>2598.75</v>
      </c>
      <c r="J263" s="133">
        <f t="shared" si="37"/>
        <v>30327.412499999999</v>
      </c>
    </row>
    <row r="264" spans="2:10" ht="15.6" hidden="1" x14ac:dyDescent="0.3">
      <c r="B264" s="122"/>
      <c r="C264" s="78" t="s">
        <v>1067</v>
      </c>
      <c r="D264" s="74" t="s">
        <v>2</v>
      </c>
      <c r="E264" s="62">
        <f t="shared" si="38"/>
        <v>11.67</v>
      </c>
      <c r="F264" s="62">
        <f>'Прайс для расчета'!E243</f>
        <v>3097.5</v>
      </c>
      <c r="G264" s="123">
        <f t="shared" si="36"/>
        <v>36147.824999999997</v>
      </c>
      <c r="I264" s="134">
        <f>'Прайс для расчета (М)'!E243</f>
        <v>1548.75</v>
      </c>
      <c r="J264" s="133">
        <f t="shared" si="37"/>
        <v>18073.912499999999</v>
      </c>
    </row>
    <row r="265" spans="2:10" ht="15.6" hidden="1" x14ac:dyDescent="0.3">
      <c r="B265" s="122"/>
      <c r="C265" s="78" t="s">
        <v>412</v>
      </c>
      <c r="D265" s="74" t="s">
        <v>2</v>
      </c>
      <c r="E265" s="62">
        <f t="shared" si="38"/>
        <v>11.67</v>
      </c>
      <c r="F265" s="62">
        <f>'Прайс для расчета'!E244</f>
        <v>404.25</v>
      </c>
      <c r="G265" s="123">
        <f t="shared" si="36"/>
        <v>4717.5974999999999</v>
      </c>
      <c r="I265" s="134">
        <f>'Прайс для расчета (М)'!E244</f>
        <v>202.125</v>
      </c>
      <c r="J265" s="133">
        <f t="shared" si="37"/>
        <v>2358.7987499999999</v>
      </c>
    </row>
    <row r="266" spans="2:10" ht="15.6" hidden="1" x14ac:dyDescent="0.3">
      <c r="B266" s="122"/>
      <c r="C266" s="78" t="s">
        <v>937</v>
      </c>
      <c r="D266" s="74" t="s">
        <v>2</v>
      </c>
      <c r="E266" s="62">
        <f t="shared" si="38"/>
        <v>11.67</v>
      </c>
      <c r="F266" s="62">
        <f>'Прайс для расчета'!E245</f>
        <v>1244.25</v>
      </c>
      <c r="G266" s="123">
        <f t="shared" si="36"/>
        <v>14520.397499999999</v>
      </c>
      <c r="I266" s="134">
        <f>'Прайс для расчета (М)'!E245</f>
        <v>622.125</v>
      </c>
      <c r="J266" s="133">
        <f t="shared" si="37"/>
        <v>7260.1987499999996</v>
      </c>
    </row>
    <row r="267" spans="2:10" ht="15.6" hidden="1" x14ac:dyDescent="0.3">
      <c r="B267" s="122"/>
      <c r="C267" s="78" t="s">
        <v>938</v>
      </c>
      <c r="D267" s="74" t="s">
        <v>2</v>
      </c>
      <c r="E267" s="62">
        <f t="shared" si="38"/>
        <v>11.67</v>
      </c>
      <c r="F267" s="62">
        <f>'Прайс для расчета'!E246</f>
        <v>929.25</v>
      </c>
      <c r="G267" s="123">
        <f t="shared" si="36"/>
        <v>10844.3475</v>
      </c>
      <c r="I267" s="134">
        <f>'Прайс для расчета (М)'!E246</f>
        <v>464.625</v>
      </c>
      <c r="J267" s="133">
        <f t="shared" si="37"/>
        <v>5422.1737499999999</v>
      </c>
    </row>
    <row r="268" spans="2:10" ht="15.6" hidden="1" x14ac:dyDescent="0.3">
      <c r="B268" s="122"/>
      <c r="C268" s="78" t="s">
        <v>677</v>
      </c>
      <c r="D268" s="74" t="s">
        <v>646</v>
      </c>
      <c r="E268" s="62">
        <f>ROUND(E262/2,0)</f>
        <v>6</v>
      </c>
      <c r="F268" s="62">
        <f>'Прайс для расчета'!E247</f>
        <v>572.25</v>
      </c>
      <c r="G268" s="123">
        <f t="shared" si="36"/>
        <v>3433.5</v>
      </c>
      <c r="I268" s="134">
        <f>'Прайс для расчета (М)'!E247</f>
        <v>286.125</v>
      </c>
      <c r="J268" s="133">
        <f t="shared" si="37"/>
        <v>1716.75</v>
      </c>
    </row>
    <row r="269" spans="2:10" ht="15.6" hidden="1" x14ac:dyDescent="0.3">
      <c r="B269" s="122"/>
      <c r="C269" s="78" t="s">
        <v>413</v>
      </c>
      <c r="D269" s="74" t="s">
        <v>646</v>
      </c>
      <c r="E269" s="62">
        <f>$A$2</f>
        <v>14.005000000000001</v>
      </c>
      <c r="F269" s="62">
        <f>'Прайс для расчета'!E248</f>
        <v>1023.75</v>
      </c>
      <c r="G269" s="123">
        <f t="shared" si="36"/>
        <v>14337.618750000001</v>
      </c>
      <c r="I269" s="134">
        <f>'Прайс для расчета (М)'!E248</f>
        <v>511.875</v>
      </c>
      <c r="J269" s="133">
        <f t="shared" si="37"/>
        <v>7168.8093750000007</v>
      </c>
    </row>
    <row r="270" spans="2:10" ht="15.6" x14ac:dyDescent="0.25">
      <c r="B270" s="122">
        <v>1</v>
      </c>
      <c r="C270" s="69" t="s">
        <v>414</v>
      </c>
      <c r="D270" s="61" t="s">
        <v>2</v>
      </c>
      <c r="E270" s="62">
        <f t="shared" ref="E270:E280" si="39">$A$4</f>
        <v>11.67</v>
      </c>
      <c r="F270" s="62">
        <f>'Прайс для расчета'!E249</f>
        <v>715.68</v>
      </c>
      <c r="G270" s="123">
        <f t="shared" si="36"/>
        <v>8351.9856</v>
      </c>
      <c r="I270" s="134">
        <f>'Прайс для расчета (М)'!E249</f>
        <v>357.84</v>
      </c>
      <c r="J270" s="133">
        <f t="shared" si="37"/>
        <v>4175.9928</v>
      </c>
    </row>
    <row r="271" spans="2:10" ht="15.6" hidden="1" x14ac:dyDescent="0.25">
      <c r="B271" s="122"/>
      <c r="C271" s="69" t="s">
        <v>145</v>
      </c>
      <c r="D271" s="61" t="s">
        <v>2</v>
      </c>
      <c r="E271" s="62">
        <f t="shared" si="39"/>
        <v>11.67</v>
      </c>
      <c r="F271" s="62">
        <f>'Прайс для расчета'!E250</f>
        <v>819</v>
      </c>
      <c r="G271" s="123">
        <f t="shared" si="36"/>
        <v>9557.73</v>
      </c>
      <c r="I271" s="134">
        <f>'Прайс для расчета (М)'!E250</f>
        <v>409.5</v>
      </c>
      <c r="J271" s="133">
        <f t="shared" si="37"/>
        <v>4778.8649999999998</v>
      </c>
    </row>
    <row r="272" spans="2:10" ht="15.6" hidden="1" x14ac:dyDescent="0.25">
      <c r="B272" s="122"/>
      <c r="C272" s="69" t="s">
        <v>1072</v>
      </c>
      <c r="D272" s="61" t="s">
        <v>2</v>
      </c>
      <c r="E272" s="62">
        <f t="shared" si="39"/>
        <v>11.67</v>
      </c>
      <c r="F272" s="62">
        <f>'Прайс для расчета'!E251</f>
        <v>876.75</v>
      </c>
      <c r="G272" s="123">
        <f t="shared" si="36"/>
        <v>10231.672500000001</v>
      </c>
      <c r="I272" s="134">
        <f>'Прайс для расчета (М)'!E251</f>
        <v>438.375</v>
      </c>
      <c r="J272" s="133">
        <f t="shared" si="37"/>
        <v>5115.8362500000003</v>
      </c>
    </row>
    <row r="273" spans="2:10" ht="15.6" hidden="1" x14ac:dyDescent="0.25">
      <c r="B273" s="122"/>
      <c r="C273" s="69" t="s">
        <v>1073</v>
      </c>
      <c r="D273" s="61" t="s">
        <v>2</v>
      </c>
      <c r="E273" s="62">
        <f t="shared" si="39"/>
        <v>11.67</v>
      </c>
      <c r="F273" s="62">
        <f>'Прайс для расчета'!E252</f>
        <v>1097.25</v>
      </c>
      <c r="G273" s="123">
        <f t="shared" si="36"/>
        <v>12804.907499999999</v>
      </c>
      <c r="I273" s="134">
        <f>'Прайс для расчета (М)'!E252</f>
        <v>548.625</v>
      </c>
      <c r="J273" s="133">
        <f t="shared" si="37"/>
        <v>6402.4537499999997</v>
      </c>
    </row>
    <row r="274" spans="2:10" ht="15.6" x14ac:dyDescent="0.25">
      <c r="B274" s="122">
        <v>1</v>
      </c>
      <c r="C274" s="69" t="s">
        <v>893</v>
      </c>
      <c r="D274" s="61" t="s">
        <v>2</v>
      </c>
      <c r="E274" s="62">
        <f t="shared" si="39"/>
        <v>11.67</v>
      </c>
      <c r="F274" s="62">
        <f>'Прайс для расчета'!E253</f>
        <v>299.25</v>
      </c>
      <c r="G274" s="123">
        <f t="shared" si="36"/>
        <v>3492.2474999999999</v>
      </c>
      <c r="I274" s="134">
        <f>'Прайс для расчета (М)'!E253</f>
        <v>149.625</v>
      </c>
      <c r="J274" s="133">
        <f t="shared" si="37"/>
        <v>1746.12375</v>
      </c>
    </row>
    <row r="275" spans="2:10" ht="15.6" hidden="1" x14ac:dyDescent="0.25">
      <c r="B275" s="122"/>
      <c r="C275" s="69" t="s">
        <v>415</v>
      </c>
      <c r="D275" s="61" t="s">
        <v>2</v>
      </c>
      <c r="E275" s="62">
        <f t="shared" si="39"/>
        <v>11.67</v>
      </c>
      <c r="F275" s="62">
        <f>'Прайс для расчета'!E254</f>
        <v>1044.75</v>
      </c>
      <c r="G275" s="123">
        <f t="shared" si="36"/>
        <v>12192.2325</v>
      </c>
      <c r="I275" s="134">
        <f>'Прайс для расчета (М)'!E254</f>
        <v>522.375</v>
      </c>
      <c r="J275" s="133">
        <f t="shared" si="37"/>
        <v>6096.11625</v>
      </c>
    </row>
    <row r="276" spans="2:10" ht="15.6" hidden="1" x14ac:dyDescent="0.25">
      <c r="B276" s="122"/>
      <c r="C276" s="69" t="s">
        <v>519</v>
      </c>
      <c r="D276" s="61" t="s">
        <v>2</v>
      </c>
      <c r="E276" s="62">
        <f t="shared" si="39"/>
        <v>11.67</v>
      </c>
      <c r="F276" s="62">
        <f>'Прайс для расчета'!E255</f>
        <v>1401.75</v>
      </c>
      <c r="G276" s="123">
        <f t="shared" si="36"/>
        <v>16358.422500000001</v>
      </c>
      <c r="I276" s="134">
        <f>'Прайс для расчета (М)'!E255</f>
        <v>700.875</v>
      </c>
      <c r="J276" s="133">
        <f t="shared" si="37"/>
        <v>8179.2112500000003</v>
      </c>
    </row>
    <row r="277" spans="2:10" ht="15.6" hidden="1" x14ac:dyDescent="0.25">
      <c r="B277" s="122"/>
      <c r="C277" s="69" t="s">
        <v>891</v>
      </c>
      <c r="D277" s="61" t="s">
        <v>2</v>
      </c>
      <c r="E277" s="62">
        <f t="shared" si="39"/>
        <v>11.67</v>
      </c>
      <c r="F277" s="62">
        <f>'Прайс для расчета'!E256</f>
        <v>2982</v>
      </c>
      <c r="G277" s="123">
        <f t="shared" si="36"/>
        <v>34799.94</v>
      </c>
      <c r="I277" s="134">
        <f>'Прайс для расчета (М)'!E256</f>
        <v>1491</v>
      </c>
      <c r="J277" s="133">
        <f t="shared" si="37"/>
        <v>17399.97</v>
      </c>
    </row>
    <row r="278" spans="2:10" ht="15.6" hidden="1" x14ac:dyDescent="0.25">
      <c r="B278" s="122"/>
      <c r="C278" s="69" t="s">
        <v>416</v>
      </c>
      <c r="D278" s="61" t="s">
        <v>2</v>
      </c>
      <c r="E278" s="62">
        <f t="shared" si="39"/>
        <v>11.67</v>
      </c>
      <c r="F278" s="62">
        <f>'Прайс для расчета'!E257</f>
        <v>1155</v>
      </c>
      <c r="G278" s="123">
        <f t="shared" si="36"/>
        <v>13478.85</v>
      </c>
      <c r="I278" s="134">
        <f>'Прайс для расчета (М)'!E257</f>
        <v>577.5</v>
      </c>
      <c r="J278" s="133">
        <f t="shared" si="37"/>
        <v>6739.4250000000002</v>
      </c>
    </row>
    <row r="279" spans="2:10" ht="15.6" hidden="1" x14ac:dyDescent="0.25">
      <c r="B279" s="122"/>
      <c r="C279" s="69" t="s">
        <v>149</v>
      </c>
      <c r="D279" s="61" t="s">
        <v>2</v>
      </c>
      <c r="E279" s="62">
        <f t="shared" si="39"/>
        <v>11.67</v>
      </c>
      <c r="F279" s="62">
        <f>'Прайс для расчета'!E258</f>
        <v>441</v>
      </c>
      <c r="G279" s="123">
        <f t="shared" si="36"/>
        <v>5146.47</v>
      </c>
      <c r="I279" s="134">
        <f>'Прайс для расчета (М)'!E258</f>
        <v>220.5</v>
      </c>
      <c r="J279" s="133">
        <f t="shared" si="37"/>
        <v>2573.2350000000001</v>
      </c>
    </row>
    <row r="280" spans="2:10" ht="15.6" hidden="1" x14ac:dyDescent="0.25">
      <c r="B280" s="122"/>
      <c r="C280" s="69" t="s">
        <v>150</v>
      </c>
      <c r="D280" s="61" t="s">
        <v>2</v>
      </c>
      <c r="E280" s="62">
        <f t="shared" si="39"/>
        <v>11.67</v>
      </c>
      <c r="F280" s="62">
        <f>'Прайс для расчета'!E259</f>
        <v>514.5</v>
      </c>
      <c r="G280" s="123">
        <f t="shared" si="36"/>
        <v>6004.2150000000001</v>
      </c>
      <c r="I280" s="134">
        <f>'Прайс для расчета (М)'!E259</f>
        <v>257.25</v>
      </c>
      <c r="J280" s="133">
        <f t="shared" si="37"/>
        <v>3002.1075000000001</v>
      </c>
    </row>
    <row r="281" spans="2:10" ht="15.6" x14ac:dyDescent="0.25">
      <c r="B281" s="122">
        <v>1</v>
      </c>
      <c r="C281" s="69" t="s">
        <v>1167</v>
      </c>
      <c r="D281" s="61" t="s">
        <v>3</v>
      </c>
      <c r="E281" s="62">
        <v>10.199999999999999</v>
      </c>
      <c r="F281" s="62">
        <v>445</v>
      </c>
      <c r="G281" s="123">
        <f t="shared" si="36"/>
        <v>4539</v>
      </c>
      <c r="I281" s="134">
        <f>'Прайс для расчета (М)'!E260</f>
        <v>112.35000000000001</v>
      </c>
      <c r="J281" s="133">
        <f t="shared" si="37"/>
        <v>1145.97</v>
      </c>
    </row>
    <row r="282" spans="2:10" ht="15.6" hidden="1" x14ac:dyDescent="0.25">
      <c r="B282" s="122"/>
      <c r="C282" s="69" t="s">
        <v>250</v>
      </c>
      <c r="D282" s="61" t="s">
        <v>3</v>
      </c>
      <c r="E282" s="62">
        <f>$A$2</f>
        <v>14.005000000000001</v>
      </c>
      <c r="F282" s="62">
        <f>'Прайс для расчета'!E261</f>
        <v>651</v>
      </c>
      <c r="G282" s="123">
        <f t="shared" si="36"/>
        <v>9117.255000000001</v>
      </c>
      <c r="I282" s="134">
        <f>'Прайс для расчета (М)'!E261</f>
        <v>325.5</v>
      </c>
      <c r="J282" s="133">
        <f t="shared" si="37"/>
        <v>4558.6275000000005</v>
      </c>
    </row>
    <row r="283" spans="2:10" ht="15.6" hidden="1" x14ac:dyDescent="0.25">
      <c r="B283" s="122"/>
      <c r="C283" s="69" t="s">
        <v>890</v>
      </c>
      <c r="D283" s="61" t="s">
        <v>3</v>
      </c>
      <c r="E283" s="62">
        <f t="shared" ref="E283:E285" si="40">$A$2</f>
        <v>14.005000000000001</v>
      </c>
      <c r="F283" s="62">
        <f>'Прайс для расчета'!E262</f>
        <v>834.75</v>
      </c>
      <c r="G283" s="123">
        <f t="shared" si="36"/>
        <v>11690.67375</v>
      </c>
      <c r="I283" s="134">
        <f>'Прайс для расчета (М)'!E262</f>
        <v>417.375</v>
      </c>
      <c r="J283" s="133">
        <f t="shared" si="37"/>
        <v>5845.336875</v>
      </c>
    </row>
    <row r="284" spans="2:10" ht="15.6" hidden="1" x14ac:dyDescent="0.25">
      <c r="B284" s="122"/>
      <c r="C284" s="69" t="s">
        <v>418</v>
      </c>
      <c r="D284" s="61" t="s">
        <v>0</v>
      </c>
      <c r="E284" s="62">
        <f t="shared" si="40"/>
        <v>14.005000000000001</v>
      </c>
      <c r="F284" s="62">
        <f>'Прайс для расчета'!E263</f>
        <v>787.5</v>
      </c>
      <c r="G284" s="123">
        <f t="shared" si="36"/>
        <v>11028.9375</v>
      </c>
      <c r="I284" s="134">
        <f>'Прайс для расчета (М)'!E263</f>
        <v>393.75</v>
      </c>
      <c r="J284" s="133">
        <f t="shared" si="37"/>
        <v>5514.46875</v>
      </c>
    </row>
    <row r="285" spans="2:10" ht="15.6" hidden="1" x14ac:dyDescent="0.25">
      <c r="B285" s="122"/>
      <c r="C285" s="69" t="s">
        <v>137</v>
      </c>
      <c r="D285" s="61" t="s">
        <v>0</v>
      </c>
      <c r="E285" s="62">
        <f t="shared" si="40"/>
        <v>14.005000000000001</v>
      </c>
      <c r="F285" s="62">
        <f>'Прайс для расчета'!E264</f>
        <v>2551.5</v>
      </c>
      <c r="G285" s="123">
        <f t="shared" si="36"/>
        <v>35733.7575</v>
      </c>
      <c r="I285" s="134">
        <f>'Прайс для расчета (М)'!E264</f>
        <v>1275.75</v>
      </c>
      <c r="J285" s="133">
        <f t="shared" si="37"/>
        <v>17866.87875</v>
      </c>
    </row>
    <row r="286" spans="2:10" ht="15.6" hidden="1" x14ac:dyDescent="0.25">
      <c r="B286" s="122"/>
      <c r="C286" s="69" t="s">
        <v>520</v>
      </c>
      <c r="D286" s="61" t="s">
        <v>3</v>
      </c>
      <c r="E286" s="62">
        <f>$A$2</f>
        <v>14.005000000000001</v>
      </c>
      <c r="F286" s="62">
        <f>'Прайс для расчета'!E265</f>
        <v>152.25</v>
      </c>
      <c r="G286" s="123">
        <f t="shared" si="36"/>
        <v>2132.26125</v>
      </c>
      <c r="I286" s="134">
        <f>'Прайс для расчета (М)'!E265</f>
        <v>76.125</v>
      </c>
      <c r="J286" s="133">
        <f t="shared" si="37"/>
        <v>1066.130625</v>
      </c>
    </row>
    <row r="287" spans="2:10" ht="15.6" x14ac:dyDescent="0.25">
      <c r="B287" s="122">
        <f>IF(SUM(B288:B311)&gt;0,1,0)</f>
        <v>1</v>
      </c>
      <c r="C287" s="60" t="s">
        <v>878</v>
      </c>
      <c r="D287" s="61"/>
      <c r="E287" s="62"/>
      <c r="F287" s="62"/>
      <c r="G287" s="123"/>
    </row>
    <row r="288" spans="2:10" ht="15.6" hidden="1" x14ac:dyDescent="0.25">
      <c r="B288" s="122"/>
      <c r="C288" s="69" t="s">
        <v>522</v>
      </c>
      <c r="D288" s="61" t="s">
        <v>2</v>
      </c>
      <c r="E288" s="62" t="e">
        <f>$A$6</f>
        <v>#REF!</v>
      </c>
      <c r="F288" s="62">
        <f>'Прайс для расчета'!E276</f>
        <v>4384.8</v>
      </c>
      <c r="G288" s="123" t="e">
        <f t="shared" ref="G288:G311" si="41">F288*E288</f>
        <v>#REF!</v>
      </c>
      <c r="I288" s="134">
        <f>'Прайс для расчета (М)'!E276</f>
        <v>2192.4</v>
      </c>
      <c r="J288" s="133" t="e">
        <f t="shared" ref="J288:J311" si="42">I288*E288</f>
        <v>#REF!</v>
      </c>
    </row>
    <row r="289" spans="2:10" ht="15.6" x14ac:dyDescent="0.25">
      <c r="B289" s="122">
        <v>1</v>
      </c>
      <c r="C289" s="69" t="s">
        <v>270</v>
      </c>
      <c r="D289" s="61" t="s">
        <v>2</v>
      </c>
      <c r="E289" s="62">
        <v>4.24</v>
      </c>
      <c r="F289" s="62">
        <f>'Прайс для расчета'!E287</f>
        <v>2220.75</v>
      </c>
      <c r="G289" s="123">
        <f t="shared" si="41"/>
        <v>9415.98</v>
      </c>
      <c r="I289" s="134">
        <f>'Прайс для расчета (М)'!E287</f>
        <v>1110.375</v>
      </c>
      <c r="J289" s="133">
        <f t="shared" si="42"/>
        <v>4707.99</v>
      </c>
    </row>
    <row r="290" spans="2:10" ht="15.6" hidden="1" x14ac:dyDescent="0.25">
      <c r="B290" s="122"/>
      <c r="C290" s="69" t="s">
        <v>524</v>
      </c>
      <c r="D290" s="61" t="s">
        <v>2</v>
      </c>
      <c r="E290" s="62" t="e">
        <f t="shared" ref="E290:E305" si="43">$A$6</f>
        <v>#REF!</v>
      </c>
      <c r="F290" s="62">
        <f>'Прайс для расчета'!E288</f>
        <v>2577.75</v>
      </c>
      <c r="G290" s="123" t="e">
        <f t="shared" si="41"/>
        <v>#REF!</v>
      </c>
      <c r="I290" s="134">
        <f>'Прайс для расчета (М)'!E288</f>
        <v>1288.875</v>
      </c>
      <c r="J290" s="133" t="e">
        <f t="shared" si="42"/>
        <v>#REF!</v>
      </c>
    </row>
    <row r="291" spans="2:10" ht="15.6" hidden="1" x14ac:dyDescent="0.25">
      <c r="B291" s="122"/>
      <c r="C291" s="69" t="s">
        <v>525</v>
      </c>
      <c r="D291" s="61" t="s">
        <v>2</v>
      </c>
      <c r="E291" s="62" t="e">
        <f t="shared" si="43"/>
        <v>#REF!</v>
      </c>
      <c r="F291" s="62">
        <f>'Прайс для расчета'!E289</f>
        <v>1291.5</v>
      </c>
      <c r="G291" s="123" t="e">
        <f t="shared" si="41"/>
        <v>#REF!</v>
      </c>
      <c r="I291" s="134">
        <f>'Прайс для расчета (М)'!E289</f>
        <v>645.75</v>
      </c>
      <c r="J291" s="133" t="e">
        <f t="shared" si="42"/>
        <v>#REF!</v>
      </c>
    </row>
    <row r="292" spans="2:10" ht="15.6" hidden="1" x14ac:dyDescent="0.25">
      <c r="B292" s="122"/>
      <c r="C292" s="69" t="s">
        <v>526</v>
      </c>
      <c r="D292" s="61" t="s">
        <v>2</v>
      </c>
      <c r="E292" s="62" t="e">
        <f t="shared" si="43"/>
        <v>#REF!</v>
      </c>
      <c r="F292" s="62">
        <f>'Прайс для расчета'!E290</f>
        <v>1186.5</v>
      </c>
      <c r="G292" s="123" t="e">
        <f t="shared" si="41"/>
        <v>#REF!</v>
      </c>
      <c r="I292" s="134">
        <f>'Прайс для расчета (М)'!E290</f>
        <v>593.25</v>
      </c>
      <c r="J292" s="133" t="e">
        <f t="shared" si="42"/>
        <v>#REF!</v>
      </c>
    </row>
    <row r="293" spans="2:10" ht="15.6" hidden="1" x14ac:dyDescent="0.25">
      <c r="B293" s="122"/>
      <c r="C293" s="69" t="s">
        <v>271</v>
      </c>
      <c r="D293" s="61" t="s">
        <v>3</v>
      </c>
      <c r="E293" s="62" t="e">
        <f t="shared" si="43"/>
        <v>#REF!</v>
      </c>
      <c r="F293" s="62">
        <f>'Прайс для расчета'!E291</f>
        <v>761.25</v>
      </c>
      <c r="G293" s="123" t="e">
        <f t="shared" si="41"/>
        <v>#REF!</v>
      </c>
      <c r="I293" s="134">
        <f>'Прайс для расчета (М)'!E291</f>
        <v>380.625</v>
      </c>
      <c r="J293" s="133" t="e">
        <f t="shared" si="42"/>
        <v>#REF!</v>
      </c>
    </row>
    <row r="294" spans="2:10" ht="15.6" hidden="1" x14ac:dyDescent="0.25">
      <c r="B294" s="122"/>
      <c r="C294" s="69" t="s">
        <v>962</v>
      </c>
      <c r="D294" s="61" t="s">
        <v>3</v>
      </c>
      <c r="E294" s="62" t="e">
        <f t="shared" si="43"/>
        <v>#REF!</v>
      </c>
      <c r="F294" s="62">
        <f>'Прайс для расчета'!E292</f>
        <v>519.75</v>
      </c>
      <c r="G294" s="123" t="e">
        <f t="shared" si="41"/>
        <v>#REF!</v>
      </c>
      <c r="I294" s="134">
        <f>'Прайс для расчета (М)'!E292</f>
        <v>259.875</v>
      </c>
      <c r="J294" s="133" t="e">
        <f t="shared" si="42"/>
        <v>#REF!</v>
      </c>
    </row>
    <row r="295" spans="2:10" ht="15.6" hidden="1" x14ac:dyDescent="0.25">
      <c r="B295" s="122"/>
      <c r="C295" s="69" t="s">
        <v>963</v>
      </c>
      <c r="D295" s="61" t="s">
        <v>3</v>
      </c>
      <c r="E295" s="62" t="e">
        <f t="shared" si="43"/>
        <v>#REF!</v>
      </c>
      <c r="F295" s="62">
        <f>'Прайс для расчета'!E293</f>
        <v>824.25</v>
      </c>
      <c r="G295" s="123" t="e">
        <f t="shared" si="41"/>
        <v>#REF!</v>
      </c>
      <c r="I295" s="134">
        <f>'Прайс для расчета (М)'!E293</f>
        <v>412.125</v>
      </c>
      <c r="J295" s="133" t="e">
        <f t="shared" si="42"/>
        <v>#REF!</v>
      </c>
    </row>
    <row r="296" spans="2:10" ht="15.6" hidden="1" x14ac:dyDescent="0.25">
      <c r="B296" s="122"/>
      <c r="C296" s="69" t="s">
        <v>527</v>
      </c>
      <c r="D296" s="61" t="s">
        <v>2</v>
      </c>
      <c r="E296" s="62" t="e">
        <f t="shared" si="43"/>
        <v>#REF!</v>
      </c>
      <c r="F296" s="62">
        <f>'Прайс для расчета'!E294</f>
        <v>1732.5</v>
      </c>
      <c r="G296" s="123" t="e">
        <f t="shared" si="41"/>
        <v>#REF!</v>
      </c>
      <c r="I296" s="134">
        <f>'Прайс для расчета (М)'!E294</f>
        <v>866.25</v>
      </c>
      <c r="J296" s="133" t="e">
        <f t="shared" si="42"/>
        <v>#REF!</v>
      </c>
    </row>
    <row r="297" spans="2:10" ht="15.6" hidden="1" x14ac:dyDescent="0.25">
      <c r="B297" s="122"/>
      <c r="C297" s="69" t="s">
        <v>678</v>
      </c>
      <c r="D297" s="61" t="s">
        <v>2</v>
      </c>
      <c r="E297" s="62" t="e">
        <f t="shared" si="43"/>
        <v>#REF!</v>
      </c>
      <c r="F297" s="62">
        <f>'Прайс для расчета'!E296</f>
        <v>3097.5</v>
      </c>
      <c r="G297" s="123" t="e">
        <f t="shared" si="41"/>
        <v>#REF!</v>
      </c>
      <c r="I297" s="134">
        <f>'Прайс для расчета (М)'!E296</f>
        <v>1548.75</v>
      </c>
      <c r="J297" s="133" t="e">
        <f t="shared" si="42"/>
        <v>#REF!</v>
      </c>
    </row>
    <row r="298" spans="2:10" ht="15.6" hidden="1" x14ac:dyDescent="0.25">
      <c r="B298" s="122"/>
      <c r="C298" s="69" t="s">
        <v>680</v>
      </c>
      <c r="D298" s="61" t="s">
        <v>2</v>
      </c>
      <c r="E298" s="62" t="e">
        <f t="shared" si="43"/>
        <v>#REF!</v>
      </c>
      <c r="F298" s="62">
        <f>'Прайс для расчета'!E310</f>
        <v>5040</v>
      </c>
      <c r="G298" s="123" t="e">
        <f t="shared" si="41"/>
        <v>#REF!</v>
      </c>
      <c r="I298" s="134">
        <f>'Прайс для расчета (М)'!E310</f>
        <v>2520</v>
      </c>
      <c r="J298" s="133" t="e">
        <f t="shared" si="42"/>
        <v>#REF!</v>
      </c>
    </row>
    <row r="299" spans="2:10" ht="15.6" hidden="1" x14ac:dyDescent="0.25">
      <c r="B299" s="122"/>
      <c r="C299" s="69" t="s">
        <v>679</v>
      </c>
      <c r="D299" s="61" t="s">
        <v>2</v>
      </c>
      <c r="E299" s="62" t="e">
        <f t="shared" si="43"/>
        <v>#REF!</v>
      </c>
      <c r="F299" s="62">
        <f>'Прайс для расчета'!E297</f>
        <v>1044.75</v>
      </c>
      <c r="G299" s="123" t="e">
        <f t="shared" si="41"/>
        <v>#REF!</v>
      </c>
      <c r="I299" s="134">
        <f>'Прайс для расчета (М)'!E297</f>
        <v>522.375</v>
      </c>
      <c r="J299" s="133" t="e">
        <f t="shared" si="42"/>
        <v>#REF!</v>
      </c>
    </row>
    <row r="300" spans="2:10" ht="15.6" hidden="1" x14ac:dyDescent="0.25">
      <c r="B300" s="122"/>
      <c r="C300" s="69" t="s">
        <v>895</v>
      </c>
      <c r="D300" s="61" t="s">
        <v>2</v>
      </c>
      <c r="E300" s="62" t="e">
        <f t="shared" si="43"/>
        <v>#REF!</v>
      </c>
      <c r="F300" s="62">
        <f>'Прайс для расчета'!E298</f>
        <v>593.25</v>
      </c>
      <c r="G300" s="123" t="e">
        <f t="shared" si="41"/>
        <v>#REF!</v>
      </c>
      <c r="I300" s="134">
        <f>'Прайс для расчета (М)'!E298</f>
        <v>296.625</v>
      </c>
      <c r="J300" s="133" t="e">
        <f t="shared" si="42"/>
        <v>#REF!</v>
      </c>
    </row>
    <row r="301" spans="2:10" ht="15.6" hidden="1" x14ac:dyDescent="0.25">
      <c r="B301" s="122"/>
      <c r="C301" s="69" t="s">
        <v>947</v>
      </c>
      <c r="D301" s="61" t="s">
        <v>2</v>
      </c>
      <c r="E301" s="62" t="e">
        <f t="shared" si="43"/>
        <v>#REF!</v>
      </c>
      <c r="F301" s="62">
        <f>'Прайс для расчета'!E299</f>
        <v>635.25</v>
      </c>
      <c r="G301" s="123" t="e">
        <f t="shared" si="41"/>
        <v>#REF!</v>
      </c>
      <c r="I301" s="134">
        <f>'Прайс для расчета (М)'!E299</f>
        <v>317.625</v>
      </c>
      <c r="J301" s="133" t="e">
        <f t="shared" si="42"/>
        <v>#REF!</v>
      </c>
    </row>
    <row r="302" spans="2:10" ht="31.2" hidden="1" x14ac:dyDescent="0.25">
      <c r="B302" s="122"/>
      <c r="C302" s="69" t="s">
        <v>1074</v>
      </c>
      <c r="D302" s="86" t="s">
        <v>2</v>
      </c>
      <c r="E302" s="62" t="e">
        <f t="shared" si="43"/>
        <v>#REF!</v>
      </c>
      <c r="F302" s="62">
        <f>'Прайс для расчета'!E300</f>
        <v>1181.25</v>
      </c>
      <c r="G302" s="123" t="e">
        <f t="shared" si="41"/>
        <v>#REF!</v>
      </c>
      <c r="I302" s="134">
        <f>'Прайс для расчета (М)'!E300</f>
        <v>590.625</v>
      </c>
      <c r="J302" s="133" t="e">
        <f t="shared" si="42"/>
        <v>#REF!</v>
      </c>
    </row>
    <row r="303" spans="2:10" ht="15.6" hidden="1" x14ac:dyDescent="0.25">
      <c r="B303" s="122"/>
      <c r="C303" s="69" t="s">
        <v>896</v>
      </c>
      <c r="D303" s="61" t="s">
        <v>2</v>
      </c>
      <c r="E303" s="62" t="e">
        <f t="shared" si="43"/>
        <v>#REF!</v>
      </c>
      <c r="F303" s="62">
        <f>'Прайс для расчета'!E301</f>
        <v>635.25</v>
      </c>
      <c r="G303" s="123" t="e">
        <f t="shared" si="41"/>
        <v>#REF!</v>
      </c>
      <c r="I303" s="134">
        <f>'Прайс для расчета (М)'!E301</f>
        <v>317.625</v>
      </c>
      <c r="J303" s="133" t="e">
        <f t="shared" si="42"/>
        <v>#REF!</v>
      </c>
    </row>
    <row r="304" spans="2:10" ht="15.6" x14ac:dyDescent="0.25">
      <c r="B304" s="122">
        <v>1</v>
      </c>
      <c r="C304" s="69" t="s">
        <v>897</v>
      </c>
      <c r="D304" s="61" t="s">
        <v>2</v>
      </c>
      <c r="E304" s="62">
        <v>28.01</v>
      </c>
      <c r="F304" s="62">
        <f>'Прайс для расчета'!E302</f>
        <v>498.75</v>
      </c>
      <c r="G304" s="123">
        <f t="shared" si="41"/>
        <v>13969.987500000001</v>
      </c>
      <c r="I304" s="134">
        <f>'Прайс для расчета (М)'!E302</f>
        <v>249.375</v>
      </c>
      <c r="J304" s="133">
        <f t="shared" si="42"/>
        <v>6984.9937500000005</v>
      </c>
    </row>
    <row r="305" spans="2:10" ht="15.6" hidden="1" x14ac:dyDescent="0.25">
      <c r="B305" s="122"/>
      <c r="C305" s="69" t="s">
        <v>898</v>
      </c>
      <c r="D305" s="61" t="s">
        <v>3</v>
      </c>
      <c r="E305" s="62" t="e">
        <f t="shared" si="43"/>
        <v>#REF!</v>
      </c>
      <c r="F305" s="62">
        <f>'Прайс для расчета'!E303</f>
        <v>183.75</v>
      </c>
      <c r="G305" s="123" t="e">
        <f t="shared" si="41"/>
        <v>#REF!</v>
      </c>
      <c r="I305" s="134">
        <f>'Прайс для расчета (М)'!E303</f>
        <v>91.875</v>
      </c>
      <c r="J305" s="133" t="e">
        <f t="shared" si="42"/>
        <v>#REF!</v>
      </c>
    </row>
    <row r="306" spans="2:10" ht="15.6" hidden="1" x14ac:dyDescent="0.25">
      <c r="B306" s="122"/>
      <c r="C306" s="69" t="s">
        <v>899</v>
      </c>
      <c r="D306" s="61" t="s">
        <v>2</v>
      </c>
      <c r="E306" s="62" t="e">
        <f>$A$6</f>
        <v>#REF!</v>
      </c>
      <c r="F306" s="62">
        <f>'Прайс для расчета'!E304</f>
        <v>1181.25</v>
      </c>
      <c r="G306" s="123" t="e">
        <f t="shared" si="41"/>
        <v>#REF!</v>
      </c>
      <c r="I306" s="134">
        <f>'Прайс для расчета (М)'!E304</f>
        <v>590.625</v>
      </c>
      <c r="J306" s="133" t="e">
        <f t="shared" si="42"/>
        <v>#REF!</v>
      </c>
    </row>
    <row r="307" spans="2:10" ht="15.6" hidden="1" x14ac:dyDescent="0.25">
      <c r="B307" s="122"/>
      <c r="C307" s="69" t="s">
        <v>427</v>
      </c>
      <c r="D307" s="61" t="s">
        <v>2</v>
      </c>
      <c r="E307" s="62" t="e">
        <f>$A$6</f>
        <v>#REF!</v>
      </c>
      <c r="F307" s="62">
        <f>'Прайс для расчета'!E305</f>
        <v>1055.25</v>
      </c>
      <c r="G307" s="123" t="e">
        <f t="shared" si="41"/>
        <v>#REF!</v>
      </c>
      <c r="I307" s="134">
        <f>'Прайс для расчета (М)'!E305</f>
        <v>527.625</v>
      </c>
      <c r="J307" s="133" t="e">
        <f t="shared" si="42"/>
        <v>#REF!</v>
      </c>
    </row>
    <row r="308" spans="2:10" ht="15.6" hidden="1" x14ac:dyDescent="0.25">
      <c r="B308" s="122"/>
      <c r="C308" s="69" t="s">
        <v>528</v>
      </c>
      <c r="D308" s="61" t="s">
        <v>2</v>
      </c>
      <c r="E308" s="62" t="e">
        <f t="shared" ref="E308" si="44">$A$6</f>
        <v>#REF!</v>
      </c>
      <c r="F308" s="62">
        <f>'Прайс для расчета'!E306</f>
        <v>3990</v>
      </c>
      <c r="G308" s="123" t="e">
        <f t="shared" si="41"/>
        <v>#REF!</v>
      </c>
      <c r="I308" s="134">
        <f>'Прайс для расчета (М)'!E306</f>
        <v>1995</v>
      </c>
      <c r="J308" s="133" t="e">
        <f t="shared" si="42"/>
        <v>#REF!</v>
      </c>
    </row>
    <row r="309" spans="2:10" ht="15.6" hidden="1" x14ac:dyDescent="0.25">
      <c r="B309" s="122"/>
      <c r="C309" s="69" t="s">
        <v>429</v>
      </c>
      <c r="D309" s="61" t="s">
        <v>2</v>
      </c>
      <c r="E309" s="62">
        <v>28.1</v>
      </c>
      <c r="F309" s="62">
        <f>'Прайс для расчета'!E307</f>
        <v>472.5</v>
      </c>
      <c r="G309" s="123">
        <f t="shared" si="41"/>
        <v>13277.25</v>
      </c>
      <c r="I309" s="134">
        <f>'Прайс для расчета (М)'!E307</f>
        <v>236.25</v>
      </c>
      <c r="J309" s="133">
        <f t="shared" si="42"/>
        <v>6638.625</v>
      </c>
    </row>
    <row r="310" spans="2:10" ht="15.6" hidden="1" x14ac:dyDescent="0.25">
      <c r="B310" s="122"/>
      <c r="C310" s="69" t="s">
        <v>529</v>
      </c>
      <c r="D310" s="61" t="s">
        <v>2</v>
      </c>
      <c r="E310" s="62" t="e">
        <f>$A$6</f>
        <v>#REF!</v>
      </c>
      <c r="F310" s="62">
        <f>'Прайс для расчета'!E308</f>
        <v>787.5</v>
      </c>
      <c r="G310" s="123" t="e">
        <f t="shared" si="41"/>
        <v>#REF!</v>
      </c>
      <c r="I310" s="134">
        <f>'Прайс для расчета (М)'!E308</f>
        <v>393.75</v>
      </c>
      <c r="J310" s="133" t="e">
        <f t="shared" si="42"/>
        <v>#REF!</v>
      </c>
    </row>
    <row r="311" spans="2:10" ht="15.6" x14ac:dyDescent="0.25">
      <c r="B311" s="122">
        <v>1</v>
      </c>
      <c r="C311" s="69" t="s">
        <v>430</v>
      </c>
      <c r="D311" s="61" t="s">
        <v>2</v>
      </c>
      <c r="E311" s="62">
        <v>28.01</v>
      </c>
      <c r="F311" s="62">
        <f>'Прайс для расчета'!E309</f>
        <v>420</v>
      </c>
      <c r="G311" s="123">
        <f t="shared" si="41"/>
        <v>11764.2</v>
      </c>
      <c r="I311" s="134">
        <f>'Прайс для расчета (М)'!E309</f>
        <v>210</v>
      </c>
      <c r="J311" s="133">
        <f t="shared" si="42"/>
        <v>5882.1</v>
      </c>
    </row>
    <row r="312" spans="2:10" ht="15.6" x14ac:dyDescent="0.25">
      <c r="B312" s="122">
        <f>IF(SUM(B313:B319)&gt;0,1,0)</f>
        <v>1</v>
      </c>
      <c r="C312" s="60" t="s">
        <v>884</v>
      </c>
      <c r="D312" s="61"/>
      <c r="E312" s="62"/>
      <c r="F312" s="62"/>
      <c r="G312" s="123"/>
    </row>
    <row r="313" spans="2:10" ht="15.6" x14ac:dyDescent="0.25">
      <c r="B313" s="122">
        <v>1</v>
      </c>
      <c r="C313" s="69" t="s">
        <v>431</v>
      </c>
      <c r="D313" s="61" t="s">
        <v>3</v>
      </c>
      <c r="E313" s="62">
        <f>E210</f>
        <v>7.26</v>
      </c>
      <c r="F313" s="62">
        <f>'Прайс для расчета'!E311</f>
        <v>315</v>
      </c>
      <c r="G313" s="123">
        <f t="shared" ref="G313:G319" si="45">F313*E313</f>
        <v>2286.9</v>
      </c>
      <c r="I313" s="134">
        <f>'Прайс для расчета (М)'!E311</f>
        <v>157.5</v>
      </c>
      <c r="J313" s="133">
        <f t="shared" ref="J313:J319" si="46">I313*E313</f>
        <v>1143.45</v>
      </c>
    </row>
    <row r="314" spans="2:10" ht="15.6" hidden="1" x14ac:dyDescent="0.25">
      <c r="B314" s="122"/>
      <c r="C314" s="69" t="s">
        <v>432</v>
      </c>
      <c r="D314" s="61" t="s">
        <v>3</v>
      </c>
      <c r="E314" s="62">
        <f>E210</f>
        <v>7.26</v>
      </c>
      <c r="F314" s="62">
        <f>'Прайс для расчета'!E312</f>
        <v>367.5</v>
      </c>
      <c r="G314" s="123">
        <f t="shared" si="45"/>
        <v>2668.0499999999997</v>
      </c>
      <c r="I314" s="134">
        <f>'Прайс для расчета (М)'!E312</f>
        <v>183.75</v>
      </c>
      <c r="J314" s="133">
        <f t="shared" si="46"/>
        <v>1334.0249999999999</v>
      </c>
    </row>
    <row r="315" spans="2:10" ht="15.6" hidden="1" x14ac:dyDescent="0.25">
      <c r="B315" s="122"/>
      <c r="C315" s="69" t="s">
        <v>115</v>
      </c>
      <c r="D315" s="61" t="s">
        <v>3</v>
      </c>
      <c r="E315" s="62">
        <f>E210</f>
        <v>7.26</v>
      </c>
      <c r="F315" s="62">
        <f>'Прайс для расчета'!E313</f>
        <v>194.25</v>
      </c>
      <c r="G315" s="123">
        <f t="shared" si="45"/>
        <v>1410.2549999999999</v>
      </c>
      <c r="I315" s="134">
        <f>'Прайс для расчета (М)'!E313</f>
        <v>97.125</v>
      </c>
      <c r="J315" s="133">
        <f t="shared" si="46"/>
        <v>705.12749999999994</v>
      </c>
    </row>
    <row r="316" spans="2:10" ht="15.6" hidden="1" x14ac:dyDescent="0.25">
      <c r="B316" s="122"/>
      <c r="C316" s="69" t="s">
        <v>433</v>
      </c>
      <c r="D316" s="61" t="s">
        <v>3</v>
      </c>
      <c r="E316" s="62">
        <f>E210</f>
        <v>7.26</v>
      </c>
      <c r="F316" s="62">
        <f>'Прайс для расчета'!E314</f>
        <v>735</v>
      </c>
      <c r="G316" s="123">
        <f t="shared" si="45"/>
        <v>5336.0999999999995</v>
      </c>
      <c r="I316" s="134">
        <f>'Прайс для расчета (М)'!E314</f>
        <v>367.5</v>
      </c>
      <c r="J316" s="133">
        <f t="shared" si="46"/>
        <v>2668.0499999999997</v>
      </c>
    </row>
    <row r="317" spans="2:10" ht="15.6" hidden="1" x14ac:dyDescent="0.25">
      <c r="B317" s="122"/>
      <c r="C317" s="69" t="s">
        <v>434</v>
      </c>
      <c r="D317" s="61" t="s">
        <v>3</v>
      </c>
      <c r="E317" s="62">
        <f>E210</f>
        <v>7.26</v>
      </c>
      <c r="F317" s="62">
        <f>'Прайс для расчета'!E315</f>
        <v>1349.25</v>
      </c>
      <c r="G317" s="123">
        <f t="shared" si="45"/>
        <v>9795.5550000000003</v>
      </c>
      <c r="I317" s="134">
        <f>'Прайс для расчета (М)'!E315</f>
        <v>674.625</v>
      </c>
      <c r="J317" s="133">
        <f t="shared" si="46"/>
        <v>4897.7775000000001</v>
      </c>
    </row>
    <row r="318" spans="2:10" ht="15.6" hidden="1" x14ac:dyDescent="0.25">
      <c r="B318" s="122"/>
      <c r="C318" s="69" t="s">
        <v>1075</v>
      </c>
      <c r="D318" s="61" t="s">
        <v>3</v>
      </c>
      <c r="E318" s="62">
        <f>E210</f>
        <v>7.26</v>
      </c>
      <c r="F318" s="62">
        <f>'Прайс для расчета'!E316</f>
        <v>0</v>
      </c>
      <c r="G318" s="123">
        <f t="shared" si="45"/>
        <v>0</v>
      </c>
      <c r="I318" s="134">
        <f>'Прайс для расчета (М)'!E316</f>
        <v>0</v>
      </c>
      <c r="J318" s="133">
        <f t="shared" si="46"/>
        <v>0</v>
      </c>
    </row>
    <row r="319" spans="2:10" ht="15.6" hidden="1" x14ac:dyDescent="0.25">
      <c r="B319" s="122"/>
      <c r="C319" s="69" t="s">
        <v>435</v>
      </c>
      <c r="D319" s="61" t="s">
        <v>3</v>
      </c>
      <c r="E319" s="62">
        <f>E318</f>
        <v>7.26</v>
      </c>
      <c r="F319" s="62">
        <f>'Прайс для расчета'!E317</f>
        <v>1464.75</v>
      </c>
      <c r="G319" s="123">
        <f t="shared" si="45"/>
        <v>10634.084999999999</v>
      </c>
      <c r="I319" s="134">
        <f>'Прайс для расчета (М)'!E317</f>
        <v>732.375</v>
      </c>
      <c r="J319" s="133">
        <f t="shared" si="46"/>
        <v>5317.0424999999996</v>
      </c>
    </row>
    <row r="320" spans="2:10" ht="15.6" hidden="1" x14ac:dyDescent="0.25">
      <c r="B320" s="122">
        <f>IF(SUM(B321:B333)&gt;0,1,0)</f>
        <v>0</v>
      </c>
      <c r="C320" s="60" t="s">
        <v>879</v>
      </c>
      <c r="D320" s="61"/>
      <c r="E320" s="62"/>
      <c r="F320" s="62"/>
      <c r="G320" s="123"/>
    </row>
    <row r="321" spans="2:10" ht="15.6" hidden="1" x14ac:dyDescent="0.25">
      <c r="B321" s="122"/>
      <c r="C321" s="69" t="s">
        <v>436</v>
      </c>
      <c r="D321" s="61" t="s">
        <v>2</v>
      </c>
      <c r="E321" s="62">
        <f>$A$4</f>
        <v>11.67</v>
      </c>
      <c r="F321" s="62">
        <f>'Прайс для расчета'!E318</f>
        <v>577.5</v>
      </c>
      <c r="G321" s="123">
        <f t="shared" ref="G321:G333" si="47">F321*E321</f>
        <v>6739.4250000000002</v>
      </c>
      <c r="I321" s="134">
        <f>'Прайс для расчета (М)'!E318</f>
        <v>288.75</v>
      </c>
      <c r="J321" s="133">
        <f t="shared" ref="J321:J333" si="48">I321*E321</f>
        <v>3369.7125000000001</v>
      </c>
    </row>
    <row r="322" spans="2:10" ht="15.6" hidden="1" x14ac:dyDescent="0.25">
      <c r="B322" s="122"/>
      <c r="C322" s="69" t="s">
        <v>437</v>
      </c>
      <c r="D322" s="61" t="s">
        <v>2</v>
      </c>
      <c r="E322" s="62">
        <f>$A$4</f>
        <v>11.67</v>
      </c>
      <c r="F322" s="62">
        <f>'Прайс для расчета'!E319</f>
        <v>1396.5</v>
      </c>
      <c r="G322" s="123">
        <f t="shared" si="47"/>
        <v>16297.155000000001</v>
      </c>
      <c r="I322" s="134">
        <f>'Прайс для расчета (М)'!E319</f>
        <v>698.25</v>
      </c>
      <c r="J322" s="133">
        <f t="shared" si="48"/>
        <v>8148.5775000000003</v>
      </c>
    </row>
    <row r="323" spans="2:10" ht="15.6" hidden="1" x14ac:dyDescent="0.25">
      <c r="B323" s="122"/>
      <c r="C323" s="69" t="s">
        <v>438</v>
      </c>
      <c r="D323" s="61" t="s">
        <v>2</v>
      </c>
      <c r="E323" s="62">
        <f>$A$4</f>
        <v>11.67</v>
      </c>
      <c r="F323" s="62">
        <f>'Прайс для расчета'!E320</f>
        <v>1291.5</v>
      </c>
      <c r="G323" s="123">
        <f t="shared" si="47"/>
        <v>15071.805</v>
      </c>
      <c r="I323" s="134">
        <f>'Прайс для расчета (М)'!E320</f>
        <v>645.75</v>
      </c>
      <c r="J323" s="133">
        <f t="shared" si="48"/>
        <v>7535.9025000000001</v>
      </c>
    </row>
    <row r="324" spans="2:10" ht="15.6" hidden="1" x14ac:dyDescent="0.25">
      <c r="B324" s="122"/>
      <c r="C324" s="69" t="s">
        <v>439</v>
      </c>
      <c r="D324" s="61" t="s">
        <v>2</v>
      </c>
      <c r="E324" s="62">
        <f>$A$4</f>
        <v>11.67</v>
      </c>
      <c r="F324" s="62">
        <f>'Прайс для расчета'!E321</f>
        <v>1386</v>
      </c>
      <c r="G324" s="123">
        <f t="shared" si="47"/>
        <v>16174.62</v>
      </c>
      <c r="I324" s="134">
        <f>'Прайс для расчета (М)'!E321</f>
        <v>693</v>
      </c>
      <c r="J324" s="133">
        <f t="shared" si="48"/>
        <v>8087.31</v>
      </c>
    </row>
    <row r="325" spans="2:10" ht="15.6" hidden="1" x14ac:dyDescent="0.25">
      <c r="B325" s="122"/>
      <c r="C325" s="69" t="s">
        <v>440</v>
      </c>
      <c r="D325" s="61" t="s">
        <v>2</v>
      </c>
      <c r="E325" s="62">
        <f>$A$4</f>
        <v>11.67</v>
      </c>
      <c r="F325" s="62">
        <f>'Прайс для расчета'!E322</f>
        <v>1281</v>
      </c>
      <c r="G325" s="123">
        <f t="shared" si="47"/>
        <v>14949.27</v>
      </c>
      <c r="I325" s="134">
        <f>'Прайс для расчета (М)'!E322</f>
        <v>640.5</v>
      </c>
      <c r="J325" s="133">
        <f t="shared" si="48"/>
        <v>7474.6350000000002</v>
      </c>
    </row>
    <row r="326" spans="2:10" ht="15.6" hidden="1" x14ac:dyDescent="0.25">
      <c r="B326" s="122"/>
      <c r="C326" s="69" t="s">
        <v>441</v>
      </c>
      <c r="D326" s="61" t="s">
        <v>645</v>
      </c>
      <c r="E326" s="62">
        <f>$A$2</f>
        <v>14.005000000000001</v>
      </c>
      <c r="F326" s="62">
        <f>'Прайс для расчета'!E323</f>
        <v>330.75</v>
      </c>
      <c r="G326" s="123">
        <f t="shared" si="47"/>
        <v>4632.1537500000004</v>
      </c>
      <c r="I326" s="134">
        <f>'Прайс для расчета (М)'!E323</f>
        <v>165.375</v>
      </c>
      <c r="J326" s="133">
        <f t="shared" si="48"/>
        <v>2316.0768750000002</v>
      </c>
    </row>
    <row r="327" spans="2:10" ht="15.6" hidden="1" x14ac:dyDescent="0.25">
      <c r="B327" s="122"/>
      <c r="C327" s="69" t="s">
        <v>531</v>
      </c>
      <c r="D327" s="61" t="s">
        <v>645</v>
      </c>
      <c r="E327" s="62">
        <f>$A$2</f>
        <v>14.005000000000001</v>
      </c>
      <c r="F327" s="62">
        <f>'Прайс для расчета'!E324</f>
        <v>866.25</v>
      </c>
      <c r="G327" s="123">
        <f t="shared" si="47"/>
        <v>12131.831250000001</v>
      </c>
      <c r="I327" s="134">
        <f>'Прайс для расчета (М)'!E324</f>
        <v>433.125</v>
      </c>
      <c r="J327" s="133">
        <f t="shared" si="48"/>
        <v>6065.9156250000005</v>
      </c>
    </row>
    <row r="328" spans="2:10" ht="15.6" hidden="1" x14ac:dyDescent="0.25">
      <c r="B328" s="122"/>
      <c r="C328" s="69" t="s">
        <v>532</v>
      </c>
      <c r="D328" s="61" t="s">
        <v>645</v>
      </c>
      <c r="E328" s="62">
        <f>$A$2</f>
        <v>14.005000000000001</v>
      </c>
      <c r="F328" s="62">
        <f>'Прайс для расчета'!E325</f>
        <v>1097.376</v>
      </c>
      <c r="G328" s="123">
        <f t="shared" si="47"/>
        <v>15368.750880000001</v>
      </c>
      <c r="I328" s="134">
        <f>'Прайс для расчета (М)'!E325</f>
        <v>548.68799999999999</v>
      </c>
      <c r="J328" s="133">
        <f t="shared" si="48"/>
        <v>7684.3754400000007</v>
      </c>
    </row>
    <row r="329" spans="2:10" ht="15.6" hidden="1" x14ac:dyDescent="0.25">
      <c r="B329" s="122"/>
      <c r="C329" s="69" t="s">
        <v>533</v>
      </c>
      <c r="D329" s="61" t="s">
        <v>645</v>
      </c>
      <c r="E329" s="62">
        <f>$A$2</f>
        <v>14.005000000000001</v>
      </c>
      <c r="F329" s="62">
        <f>'Прайс для расчета'!E326</f>
        <v>852.6</v>
      </c>
      <c r="G329" s="123">
        <f t="shared" si="47"/>
        <v>11940.663</v>
      </c>
      <c r="I329" s="134">
        <f>'Прайс для расчета (М)'!E326</f>
        <v>426.3</v>
      </c>
      <c r="J329" s="133">
        <f t="shared" si="48"/>
        <v>5970.3315000000002</v>
      </c>
    </row>
    <row r="330" spans="2:10" ht="15.6" hidden="1" x14ac:dyDescent="0.25">
      <c r="B330" s="122"/>
      <c r="C330" s="69" t="s">
        <v>442</v>
      </c>
      <c r="D330" s="61" t="s">
        <v>645</v>
      </c>
      <c r="E330" s="62">
        <f>$A$2</f>
        <v>14.005000000000001</v>
      </c>
      <c r="F330" s="62">
        <f>'Прайс для расчета'!E327</f>
        <v>225.75</v>
      </c>
      <c r="G330" s="123">
        <f t="shared" si="47"/>
        <v>3161.6287500000003</v>
      </c>
      <c r="I330" s="134">
        <f>'Прайс для расчета (М)'!E327</f>
        <v>112.875</v>
      </c>
      <c r="J330" s="133">
        <f t="shared" si="48"/>
        <v>1580.8143750000002</v>
      </c>
    </row>
    <row r="331" spans="2:10" ht="15.6" hidden="1" x14ac:dyDescent="0.25">
      <c r="B331" s="122"/>
      <c r="C331" s="69" t="s">
        <v>443</v>
      </c>
      <c r="D331" s="61" t="s">
        <v>2</v>
      </c>
      <c r="E331" s="62">
        <f>$A$4</f>
        <v>11.67</v>
      </c>
      <c r="F331" s="62">
        <f>'Прайс для расчета'!E328</f>
        <v>462</v>
      </c>
      <c r="G331" s="123">
        <f t="shared" si="47"/>
        <v>5391.54</v>
      </c>
      <c r="I331" s="134">
        <f>'Прайс для расчета (М)'!E328</f>
        <v>231</v>
      </c>
      <c r="J331" s="133">
        <f t="shared" si="48"/>
        <v>2695.77</v>
      </c>
    </row>
    <row r="332" spans="2:10" ht="15.6" hidden="1" x14ac:dyDescent="0.25">
      <c r="B332" s="122"/>
      <c r="C332" s="69" t="s">
        <v>534</v>
      </c>
      <c r="D332" s="61" t="s">
        <v>2</v>
      </c>
      <c r="E332" s="62">
        <f>$A$4</f>
        <v>11.67</v>
      </c>
      <c r="F332" s="62">
        <f>'Прайс для расчета'!E329</f>
        <v>1060.5</v>
      </c>
      <c r="G332" s="123">
        <f t="shared" si="47"/>
        <v>12376.035</v>
      </c>
      <c r="I332" s="134">
        <f>'Прайс для расчета (М)'!E329</f>
        <v>530.25</v>
      </c>
      <c r="J332" s="133">
        <f t="shared" si="48"/>
        <v>6188.0174999999999</v>
      </c>
    </row>
    <row r="333" spans="2:10" ht="15.6" hidden="1" x14ac:dyDescent="0.25">
      <c r="B333" s="122"/>
      <c r="C333" s="69" t="s">
        <v>444</v>
      </c>
      <c r="D333" s="61" t="s">
        <v>2</v>
      </c>
      <c r="E333" s="62">
        <f>$A$4</f>
        <v>11.67</v>
      </c>
      <c r="F333" s="62">
        <f>'Прайс для расчета'!E330</f>
        <v>735</v>
      </c>
      <c r="G333" s="123">
        <f t="shared" si="47"/>
        <v>8577.4500000000007</v>
      </c>
      <c r="I333" s="134">
        <f>'Прайс для расчета (М)'!E330</f>
        <v>367.5</v>
      </c>
      <c r="J333" s="133">
        <f t="shared" si="48"/>
        <v>4288.7250000000004</v>
      </c>
    </row>
    <row r="334" spans="2:10" ht="15.6" hidden="1" x14ac:dyDescent="0.25">
      <c r="B334" s="122">
        <f>IF(SUM(B335:B353)&gt;0,1,0)</f>
        <v>0</v>
      </c>
      <c r="C334" s="60" t="s">
        <v>880</v>
      </c>
      <c r="D334" s="61"/>
      <c r="E334" s="62"/>
      <c r="F334" s="62"/>
      <c r="G334" s="123"/>
    </row>
    <row r="335" spans="2:10" ht="15.6" hidden="1" x14ac:dyDescent="0.25">
      <c r="B335" s="122"/>
      <c r="C335" s="69" t="s">
        <v>118</v>
      </c>
      <c r="D335" s="61" t="s">
        <v>0</v>
      </c>
      <c r="E335" s="62">
        <v>1</v>
      </c>
      <c r="F335" s="62">
        <f>'Прайс для расчета'!E331</f>
        <v>525</v>
      </c>
      <c r="G335" s="123">
        <f t="shared" ref="G335:G361" si="49">F335*E335</f>
        <v>525</v>
      </c>
      <c r="I335" s="134">
        <f>'Прайс для расчета (М)'!E331</f>
        <v>262.5</v>
      </c>
      <c r="J335" s="133">
        <f t="shared" ref="J335:J353" si="50">I335*E335</f>
        <v>262.5</v>
      </c>
    </row>
    <row r="336" spans="2:10" ht="15.6" hidden="1" x14ac:dyDescent="0.25">
      <c r="B336" s="122"/>
      <c r="C336" s="69" t="s">
        <v>119</v>
      </c>
      <c r="D336" s="61" t="s">
        <v>0</v>
      </c>
      <c r="E336" s="62">
        <v>1</v>
      </c>
      <c r="F336" s="62">
        <f>'Прайс для расчета'!E332</f>
        <v>945</v>
      </c>
      <c r="G336" s="123">
        <f t="shared" si="49"/>
        <v>945</v>
      </c>
      <c r="I336" s="134">
        <f>'Прайс для расчета (М)'!E332</f>
        <v>472.5</v>
      </c>
      <c r="J336" s="133">
        <f t="shared" si="50"/>
        <v>472.5</v>
      </c>
    </row>
    <row r="337" spans="2:10" ht="15.6" hidden="1" x14ac:dyDescent="0.25">
      <c r="B337" s="122"/>
      <c r="C337" s="69" t="s">
        <v>120</v>
      </c>
      <c r="D337" s="61" t="s">
        <v>0</v>
      </c>
      <c r="E337" s="62">
        <v>1</v>
      </c>
      <c r="F337" s="62">
        <f>'Прайс для расчета'!E333</f>
        <v>1575</v>
      </c>
      <c r="G337" s="123">
        <f t="shared" si="49"/>
        <v>1575</v>
      </c>
      <c r="I337" s="134">
        <f>'Прайс для расчета (М)'!E333</f>
        <v>787.5</v>
      </c>
      <c r="J337" s="133">
        <f t="shared" si="50"/>
        <v>787.5</v>
      </c>
    </row>
    <row r="338" spans="2:10" ht="15.6" hidden="1" x14ac:dyDescent="0.25">
      <c r="B338" s="122"/>
      <c r="C338" s="69" t="s">
        <v>121</v>
      </c>
      <c r="D338" s="61" t="s">
        <v>0</v>
      </c>
      <c r="E338" s="62">
        <v>1</v>
      </c>
      <c r="F338" s="62">
        <f>'Прайс для расчета'!E334</f>
        <v>840</v>
      </c>
      <c r="G338" s="123">
        <f t="shared" si="49"/>
        <v>840</v>
      </c>
      <c r="I338" s="134">
        <f>'Прайс для расчета (М)'!E334</f>
        <v>420</v>
      </c>
      <c r="J338" s="133">
        <f t="shared" si="50"/>
        <v>420</v>
      </c>
    </row>
    <row r="339" spans="2:10" ht="15.6" hidden="1" x14ac:dyDescent="0.25">
      <c r="B339" s="122"/>
      <c r="C339" s="69" t="s">
        <v>122</v>
      </c>
      <c r="D339" s="61" t="s">
        <v>3</v>
      </c>
      <c r="E339" s="62">
        <v>1</v>
      </c>
      <c r="F339" s="62">
        <f>'Прайс для расчета'!E335</f>
        <v>273</v>
      </c>
      <c r="G339" s="123">
        <f t="shared" si="49"/>
        <v>273</v>
      </c>
      <c r="I339" s="134">
        <f>'Прайс для расчета (М)'!E335</f>
        <v>136.5</v>
      </c>
      <c r="J339" s="133">
        <f t="shared" si="50"/>
        <v>136.5</v>
      </c>
    </row>
    <row r="340" spans="2:10" ht="15.6" hidden="1" x14ac:dyDescent="0.25">
      <c r="B340" s="122"/>
      <c r="C340" s="69" t="s">
        <v>123</v>
      </c>
      <c r="D340" s="61" t="s">
        <v>2</v>
      </c>
      <c r="E340" s="62">
        <v>1</v>
      </c>
      <c r="F340" s="62">
        <f>'Прайс для расчета'!E336</f>
        <v>1890</v>
      </c>
      <c r="G340" s="123">
        <f t="shared" si="49"/>
        <v>1890</v>
      </c>
      <c r="I340" s="134">
        <f>'Прайс для расчета (М)'!E336</f>
        <v>945</v>
      </c>
      <c r="J340" s="133">
        <f t="shared" si="50"/>
        <v>945</v>
      </c>
    </row>
    <row r="341" spans="2:10" ht="15.6" hidden="1" x14ac:dyDescent="0.25">
      <c r="B341" s="122"/>
      <c r="C341" s="69" t="s">
        <v>124</v>
      </c>
      <c r="D341" s="61" t="s">
        <v>3</v>
      </c>
      <c r="E341" s="62">
        <v>1</v>
      </c>
      <c r="F341" s="62">
        <f>'Прайс для расчета'!E337</f>
        <v>346.5</v>
      </c>
      <c r="G341" s="123">
        <f t="shared" si="49"/>
        <v>346.5</v>
      </c>
      <c r="I341" s="134">
        <f>'Прайс для расчета (М)'!E337</f>
        <v>173.25</v>
      </c>
      <c r="J341" s="133">
        <f t="shared" si="50"/>
        <v>173.25</v>
      </c>
    </row>
    <row r="342" spans="2:10" ht="15.6" hidden="1" x14ac:dyDescent="0.25">
      <c r="B342" s="122"/>
      <c r="C342" s="69" t="s">
        <v>681</v>
      </c>
      <c r="D342" s="61" t="s">
        <v>0</v>
      </c>
      <c r="E342" s="62">
        <v>1</v>
      </c>
      <c r="F342" s="62">
        <f>'Прайс для расчета'!E338</f>
        <v>4179</v>
      </c>
      <c r="G342" s="123">
        <f t="shared" si="49"/>
        <v>4179</v>
      </c>
      <c r="I342" s="134">
        <f>'Прайс для расчета (М)'!E338</f>
        <v>2089.5</v>
      </c>
      <c r="J342" s="133">
        <f t="shared" si="50"/>
        <v>2089.5</v>
      </c>
    </row>
    <row r="343" spans="2:10" ht="15.6" hidden="1" x14ac:dyDescent="0.25">
      <c r="B343" s="122"/>
      <c r="C343" s="69" t="s">
        <v>228</v>
      </c>
      <c r="D343" s="61" t="s">
        <v>0</v>
      </c>
      <c r="E343" s="62">
        <v>1</v>
      </c>
      <c r="F343" s="62">
        <f>'Прайс для расчета'!E339</f>
        <v>3255</v>
      </c>
      <c r="G343" s="123">
        <f t="shared" si="49"/>
        <v>3255</v>
      </c>
      <c r="I343" s="134">
        <f>'Прайс для расчета (М)'!E339</f>
        <v>1627.5</v>
      </c>
      <c r="J343" s="133">
        <f t="shared" si="50"/>
        <v>1627.5</v>
      </c>
    </row>
    <row r="344" spans="2:10" ht="15.6" hidden="1" x14ac:dyDescent="0.25">
      <c r="B344" s="122"/>
      <c r="C344" s="69" t="s">
        <v>132</v>
      </c>
      <c r="D344" s="61" t="s">
        <v>0</v>
      </c>
      <c r="E344" s="62">
        <v>1</v>
      </c>
      <c r="F344" s="62">
        <f>'Прайс для расчета'!E340</f>
        <v>1176</v>
      </c>
      <c r="G344" s="123">
        <f t="shared" si="49"/>
        <v>1176</v>
      </c>
      <c r="I344" s="134">
        <f>'Прайс для расчета (М)'!E340</f>
        <v>588</v>
      </c>
      <c r="J344" s="133">
        <f t="shared" si="50"/>
        <v>588</v>
      </c>
    </row>
    <row r="345" spans="2:10" ht="15.6" hidden="1" x14ac:dyDescent="0.25">
      <c r="B345" s="122"/>
      <c r="C345" s="69" t="s">
        <v>125</v>
      </c>
      <c r="D345" s="61" t="s">
        <v>0</v>
      </c>
      <c r="E345" s="62">
        <v>1</v>
      </c>
      <c r="F345" s="62">
        <f>'Прайс для расчета'!E341</f>
        <v>367.5</v>
      </c>
      <c r="G345" s="123">
        <f t="shared" si="49"/>
        <v>367.5</v>
      </c>
      <c r="I345" s="134">
        <f>'Прайс для расчета (М)'!E341</f>
        <v>183.75</v>
      </c>
      <c r="J345" s="133">
        <f t="shared" si="50"/>
        <v>183.75</v>
      </c>
    </row>
    <row r="346" spans="2:10" ht="15.6" hidden="1" x14ac:dyDescent="0.25">
      <c r="B346" s="122"/>
      <c r="C346" s="69" t="s">
        <v>126</v>
      </c>
      <c r="D346" s="61" t="s">
        <v>3</v>
      </c>
      <c r="E346" s="62">
        <v>1</v>
      </c>
      <c r="F346" s="62">
        <f>'Прайс для расчета'!E342</f>
        <v>199.5</v>
      </c>
      <c r="G346" s="123">
        <f t="shared" si="49"/>
        <v>199.5</v>
      </c>
      <c r="I346" s="134">
        <f>'Прайс для расчета (М)'!E342</f>
        <v>99.75</v>
      </c>
      <c r="J346" s="133">
        <f t="shared" si="50"/>
        <v>99.75</v>
      </c>
    </row>
    <row r="347" spans="2:10" ht="15.6" hidden="1" x14ac:dyDescent="0.25">
      <c r="B347" s="122"/>
      <c r="C347" s="69" t="s">
        <v>127</v>
      </c>
      <c r="D347" s="61" t="s">
        <v>2</v>
      </c>
      <c r="E347" s="62">
        <v>1</v>
      </c>
      <c r="F347" s="62">
        <f>'Прайс для расчета'!E343</f>
        <v>1995</v>
      </c>
      <c r="G347" s="123">
        <f t="shared" si="49"/>
        <v>1995</v>
      </c>
      <c r="I347" s="134">
        <f>'Прайс для расчета (М)'!E343</f>
        <v>997.5</v>
      </c>
      <c r="J347" s="133">
        <f t="shared" si="50"/>
        <v>997.5</v>
      </c>
    </row>
    <row r="348" spans="2:10" ht="15.6" hidden="1" x14ac:dyDescent="0.25">
      <c r="B348" s="122"/>
      <c r="C348" s="69" t="s">
        <v>535</v>
      </c>
      <c r="D348" s="61" t="s">
        <v>2</v>
      </c>
      <c r="E348" s="62">
        <v>1</v>
      </c>
      <c r="F348" s="62">
        <f>'Прайс для расчета'!E344</f>
        <v>840</v>
      </c>
      <c r="G348" s="123">
        <f t="shared" si="49"/>
        <v>840</v>
      </c>
      <c r="I348" s="134">
        <f>'Прайс для расчета (М)'!E344</f>
        <v>420</v>
      </c>
      <c r="J348" s="133">
        <f t="shared" si="50"/>
        <v>420</v>
      </c>
    </row>
    <row r="349" spans="2:10" ht="15.6" hidden="1" x14ac:dyDescent="0.25">
      <c r="B349" s="122"/>
      <c r="C349" s="69" t="s">
        <v>536</v>
      </c>
      <c r="D349" s="61" t="s">
        <v>0</v>
      </c>
      <c r="E349" s="62">
        <v>1</v>
      </c>
      <c r="F349" s="62">
        <f>'Прайс для расчета'!E345</f>
        <v>3097.5</v>
      </c>
      <c r="G349" s="123">
        <f t="shared" si="49"/>
        <v>3097.5</v>
      </c>
      <c r="I349" s="134">
        <f>'Прайс для расчета (М)'!E345</f>
        <v>1548.75</v>
      </c>
      <c r="J349" s="133">
        <f t="shared" si="50"/>
        <v>1548.75</v>
      </c>
    </row>
    <row r="350" spans="2:10" ht="15.6" hidden="1" x14ac:dyDescent="0.25">
      <c r="B350" s="122"/>
      <c r="C350" s="69" t="s">
        <v>128</v>
      </c>
      <c r="D350" s="61" t="s">
        <v>2</v>
      </c>
      <c r="E350" s="62">
        <v>1</v>
      </c>
      <c r="F350" s="62">
        <f>'Прайс для расчета'!E346</f>
        <v>1029</v>
      </c>
      <c r="G350" s="123">
        <f t="shared" si="49"/>
        <v>1029</v>
      </c>
      <c r="I350" s="134">
        <f>'Прайс для расчета (М)'!E346</f>
        <v>514.5</v>
      </c>
      <c r="J350" s="133">
        <f t="shared" si="50"/>
        <v>514.5</v>
      </c>
    </row>
    <row r="351" spans="2:10" ht="15.6" hidden="1" x14ac:dyDescent="0.25">
      <c r="B351" s="122"/>
      <c r="C351" s="69" t="s">
        <v>129</v>
      </c>
      <c r="D351" s="61" t="s">
        <v>3</v>
      </c>
      <c r="E351" s="62">
        <v>1</v>
      </c>
      <c r="F351" s="62">
        <f>'Прайс для расчета'!E347</f>
        <v>1627.5</v>
      </c>
      <c r="G351" s="123">
        <f t="shared" si="49"/>
        <v>1627.5</v>
      </c>
      <c r="I351" s="134">
        <f>'Прайс для расчета (М)'!E347</f>
        <v>813.75</v>
      </c>
      <c r="J351" s="133">
        <f t="shared" si="50"/>
        <v>813.75</v>
      </c>
    </row>
    <row r="352" spans="2:10" ht="15.6" hidden="1" x14ac:dyDescent="0.25">
      <c r="B352" s="122"/>
      <c r="C352" s="69" t="s">
        <v>130</v>
      </c>
      <c r="D352" s="61" t="s">
        <v>3</v>
      </c>
      <c r="E352" s="62">
        <v>1</v>
      </c>
      <c r="F352" s="62">
        <f>'Прайс для расчета'!E348</f>
        <v>1627.5</v>
      </c>
      <c r="G352" s="123">
        <f t="shared" si="49"/>
        <v>1627.5</v>
      </c>
      <c r="I352" s="134">
        <f>'Прайс для расчета (М)'!E348</f>
        <v>813.75</v>
      </c>
      <c r="J352" s="133">
        <f t="shared" si="50"/>
        <v>813.75</v>
      </c>
    </row>
    <row r="353" spans="2:10" ht="15.6" hidden="1" x14ac:dyDescent="0.25">
      <c r="B353" s="122"/>
      <c r="C353" s="69" t="s">
        <v>131</v>
      </c>
      <c r="D353" s="61" t="s">
        <v>3</v>
      </c>
      <c r="E353" s="62">
        <v>1</v>
      </c>
      <c r="F353" s="62">
        <f>'Прайс для расчета'!E349</f>
        <v>420</v>
      </c>
      <c r="G353" s="123">
        <f t="shared" si="49"/>
        <v>420</v>
      </c>
      <c r="I353" s="134">
        <f>'Прайс для расчета (М)'!E349</f>
        <v>210</v>
      </c>
      <c r="J353" s="133">
        <f t="shared" si="50"/>
        <v>210</v>
      </c>
    </row>
    <row r="354" spans="2:10" ht="15.6" hidden="1" x14ac:dyDescent="0.25">
      <c r="B354" s="122">
        <f>IF(SUM(B355:B361)&gt;0,1,0)</f>
        <v>0</v>
      </c>
      <c r="C354" s="60" t="s">
        <v>881</v>
      </c>
      <c r="D354" s="61"/>
      <c r="E354" s="62"/>
      <c r="F354" s="62"/>
      <c r="G354" s="123"/>
    </row>
    <row r="355" spans="2:10" ht="15.6" hidden="1" x14ac:dyDescent="0.25">
      <c r="B355" s="122"/>
      <c r="C355" s="69" t="s">
        <v>445</v>
      </c>
      <c r="D355" s="61" t="s">
        <v>3</v>
      </c>
      <c r="E355" s="62">
        <f>E7</f>
        <v>0</v>
      </c>
      <c r="F355" s="62">
        <f>'Прайс для расчета'!E351</f>
        <v>404.25</v>
      </c>
      <c r="G355" s="123">
        <f t="shared" si="49"/>
        <v>0</v>
      </c>
      <c r="I355" s="134">
        <f>'Прайс для расчета (М)'!E351</f>
        <v>202.125</v>
      </c>
      <c r="J355" s="133">
        <f t="shared" ref="J355:J361" si="51">I355*E355</f>
        <v>0</v>
      </c>
    </row>
    <row r="356" spans="2:10" ht="15.6" hidden="1" x14ac:dyDescent="0.25">
      <c r="B356" s="122"/>
      <c r="C356" s="69" t="s">
        <v>8</v>
      </c>
      <c r="D356" s="61" t="s">
        <v>2</v>
      </c>
      <c r="E356" s="62">
        <v>1</v>
      </c>
      <c r="F356" s="62">
        <f>'Прайс для расчета'!E352</f>
        <v>3858.7080000000001</v>
      </c>
      <c r="G356" s="123">
        <f t="shared" si="49"/>
        <v>3858.7080000000001</v>
      </c>
      <c r="I356" s="134">
        <f>'Прайс для расчета (М)'!E352</f>
        <v>1929.354</v>
      </c>
      <c r="J356" s="133">
        <f t="shared" si="51"/>
        <v>1929.354</v>
      </c>
    </row>
    <row r="357" spans="2:10" ht="15.6" hidden="1" x14ac:dyDescent="0.25">
      <c r="B357" s="122"/>
      <c r="C357" s="69" t="s">
        <v>446</v>
      </c>
      <c r="D357" s="61" t="s">
        <v>0</v>
      </c>
      <c r="E357" s="62">
        <v>1</v>
      </c>
      <c r="F357" s="62">
        <f>'Прайс для расчета'!E353</f>
        <v>1044.75</v>
      </c>
      <c r="G357" s="123">
        <f t="shared" si="49"/>
        <v>1044.75</v>
      </c>
      <c r="I357" s="134">
        <f>'Прайс для расчета (М)'!E353</f>
        <v>522.375</v>
      </c>
      <c r="J357" s="133">
        <f t="shared" si="51"/>
        <v>522.375</v>
      </c>
    </row>
    <row r="358" spans="2:10" ht="15.6" hidden="1" x14ac:dyDescent="0.25">
      <c r="B358" s="122"/>
      <c r="C358" s="69" t="s">
        <v>447</v>
      </c>
      <c r="D358" s="61" t="s">
        <v>0</v>
      </c>
      <c r="E358" s="62">
        <v>1</v>
      </c>
      <c r="F358" s="62">
        <f>'Прайс для расчета'!E354</f>
        <v>1522.5</v>
      </c>
      <c r="G358" s="123">
        <f t="shared" si="49"/>
        <v>1522.5</v>
      </c>
      <c r="I358" s="134">
        <f>'Прайс для расчета (М)'!E354</f>
        <v>761.25</v>
      </c>
      <c r="J358" s="133">
        <f t="shared" si="51"/>
        <v>761.25</v>
      </c>
    </row>
    <row r="359" spans="2:10" ht="15.6" hidden="1" x14ac:dyDescent="0.25">
      <c r="B359" s="122"/>
      <c r="C359" s="69" t="s">
        <v>448</v>
      </c>
      <c r="D359" s="61" t="s">
        <v>0</v>
      </c>
      <c r="E359" s="62">
        <v>1</v>
      </c>
      <c r="F359" s="62">
        <f>'Прайс для расчета'!E355</f>
        <v>1522.5</v>
      </c>
      <c r="G359" s="123">
        <f t="shared" si="49"/>
        <v>1522.5</v>
      </c>
      <c r="I359" s="134">
        <f>'Прайс для расчета (М)'!E355</f>
        <v>761.25</v>
      </c>
      <c r="J359" s="133">
        <f t="shared" si="51"/>
        <v>761.25</v>
      </c>
    </row>
    <row r="360" spans="2:10" ht="15.6" hidden="1" x14ac:dyDescent="0.25">
      <c r="B360" s="122"/>
      <c r="C360" s="69" t="s">
        <v>538</v>
      </c>
      <c r="D360" s="61" t="s">
        <v>0</v>
      </c>
      <c r="E360" s="62">
        <v>1</v>
      </c>
      <c r="F360" s="62">
        <f>'Прайс для расчета'!E356</f>
        <v>577.5</v>
      </c>
      <c r="G360" s="123">
        <f t="shared" si="49"/>
        <v>577.5</v>
      </c>
      <c r="I360" s="134">
        <f>'Прайс для расчета (М)'!E356</f>
        <v>288.75</v>
      </c>
      <c r="J360" s="133">
        <f t="shared" si="51"/>
        <v>288.75</v>
      </c>
    </row>
    <row r="361" spans="2:10" ht="15.6" hidden="1" x14ac:dyDescent="0.25">
      <c r="B361" s="122"/>
      <c r="C361" s="69" t="s">
        <v>539</v>
      </c>
      <c r="D361" s="61" t="s">
        <v>0</v>
      </c>
      <c r="E361" s="62">
        <v>1</v>
      </c>
      <c r="F361" s="62">
        <f>'Прайс для расчета'!E357</f>
        <v>210</v>
      </c>
      <c r="G361" s="123">
        <f t="shared" si="49"/>
        <v>210</v>
      </c>
      <c r="I361" s="134">
        <f>'Прайс для расчета (М)'!E357</f>
        <v>105</v>
      </c>
      <c r="J361" s="133">
        <f t="shared" si="51"/>
        <v>105</v>
      </c>
    </row>
    <row r="362" spans="2:10" ht="20.100000000000001" customHeight="1" x14ac:dyDescent="0.25">
      <c r="B362" s="140">
        <f>IF(SUM(B250:B361)&gt;0,1,0)</f>
        <v>1</v>
      </c>
      <c r="C362" s="245" t="s">
        <v>540</v>
      </c>
      <c r="D362" s="245"/>
      <c r="E362" s="245"/>
      <c r="F362" s="245"/>
      <c r="G362" s="150">
        <f>SUMIF(B251:B361,1,G251:G361)</f>
        <v>53820.30060000001</v>
      </c>
      <c r="J362" s="133">
        <f>SUMIF(B251:B361,1,J251:J361)</f>
        <v>25786.620299999999</v>
      </c>
    </row>
    <row r="363" spans="2:10" ht="15.6" x14ac:dyDescent="0.25">
      <c r="B363" s="147">
        <f>IF(SUM(B364:B371)&gt;0,1,0)</f>
        <v>1</v>
      </c>
      <c r="C363" s="148" t="s">
        <v>1161</v>
      </c>
      <c r="D363" s="149" t="s">
        <v>179</v>
      </c>
      <c r="E363" s="149" t="s">
        <v>180</v>
      </c>
      <c r="F363" s="149" t="s">
        <v>1</v>
      </c>
      <c r="G363" s="149" t="s">
        <v>181</v>
      </c>
      <c r="I363" s="132" t="s">
        <v>1</v>
      </c>
      <c r="J363" s="133" t="s">
        <v>181</v>
      </c>
    </row>
    <row r="364" spans="2:10" ht="15.6" x14ac:dyDescent="0.25">
      <c r="B364" s="122">
        <v>1</v>
      </c>
      <c r="C364" s="69" t="s">
        <v>114</v>
      </c>
      <c r="D364" s="61" t="s">
        <v>0</v>
      </c>
      <c r="E364" s="62">
        <v>1</v>
      </c>
      <c r="F364" s="62">
        <f>'Прайс для расчета'!E404</f>
        <v>1995</v>
      </c>
      <c r="G364" s="123">
        <f>F364*E364</f>
        <v>1995</v>
      </c>
      <c r="I364" s="134">
        <f>'Прайс для расчета (М)'!E404</f>
        <v>997.5</v>
      </c>
      <c r="J364" s="133">
        <f t="shared" ref="J364:J371" si="52">I364*E364</f>
        <v>997.5</v>
      </c>
    </row>
    <row r="365" spans="2:10" ht="15.6" hidden="1" x14ac:dyDescent="0.25">
      <c r="B365" s="122"/>
      <c r="C365" s="69" t="s">
        <v>952</v>
      </c>
      <c r="D365" s="61" t="s">
        <v>0</v>
      </c>
      <c r="E365" s="62">
        <v>1</v>
      </c>
      <c r="F365" s="62">
        <f>'Прайс для расчета'!E405</f>
        <v>7350</v>
      </c>
      <c r="G365" s="123">
        <f t="shared" ref="G365:G371" si="53">F365*E365</f>
        <v>7350</v>
      </c>
      <c r="I365" s="134">
        <f>'Прайс для расчета (М)'!E405</f>
        <v>3675</v>
      </c>
      <c r="J365" s="133">
        <f t="shared" si="52"/>
        <v>3675</v>
      </c>
    </row>
    <row r="366" spans="2:10" ht="15.6" hidden="1" x14ac:dyDescent="0.25">
      <c r="B366" s="122"/>
      <c r="C366" s="69" t="s">
        <v>1084</v>
      </c>
      <c r="D366" s="61" t="s">
        <v>0</v>
      </c>
      <c r="E366" s="62">
        <v>1</v>
      </c>
      <c r="F366" s="62">
        <f>'Прайс для расчета'!E406</f>
        <v>4725</v>
      </c>
      <c r="G366" s="123">
        <f t="shared" si="53"/>
        <v>4725</v>
      </c>
      <c r="I366" s="134">
        <f>'Прайс для расчета (М)'!E406</f>
        <v>2362.5</v>
      </c>
      <c r="J366" s="133">
        <f t="shared" si="52"/>
        <v>2362.5</v>
      </c>
    </row>
    <row r="367" spans="2:10" ht="15.6" hidden="1" x14ac:dyDescent="0.25">
      <c r="B367" s="122"/>
      <c r="C367" s="69" t="s">
        <v>954</v>
      </c>
      <c r="D367" s="61" t="s">
        <v>0</v>
      </c>
      <c r="E367" s="62">
        <v>1</v>
      </c>
      <c r="F367" s="62">
        <f>'Прайс для расчета'!E407</f>
        <v>8200.5</v>
      </c>
      <c r="G367" s="123">
        <f t="shared" si="53"/>
        <v>8200.5</v>
      </c>
      <c r="I367" s="134">
        <f>'Прайс для расчета (М)'!E407</f>
        <v>4100.25</v>
      </c>
      <c r="J367" s="133">
        <f t="shared" si="52"/>
        <v>4100.25</v>
      </c>
    </row>
    <row r="368" spans="2:10" ht="15.6" hidden="1" x14ac:dyDescent="0.25">
      <c r="B368" s="122"/>
      <c r="C368" s="69" t="s">
        <v>544</v>
      </c>
      <c r="D368" s="61" t="s">
        <v>0</v>
      </c>
      <c r="E368" s="62">
        <v>1</v>
      </c>
      <c r="F368" s="62">
        <f>'Прайс для расчета'!E408</f>
        <v>1200.2549999999999</v>
      </c>
      <c r="G368" s="123">
        <f t="shared" si="53"/>
        <v>1200.2549999999999</v>
      </c>
      <c r="I368" s="134">
        <f>'Прайс для расчета (М)'!E408</f>
        <v>600.12749999999994</v>
      </c>
      <c r="J368" s="133">
        <f t="shared" si="52"/>
        <v>600.12749999999994</v>
      </c>
    </row>
    <row r="369" spans="2:10" ht="15.6" hidden="1" x14ac:dyDescent="0.25">
      <c r="B369" s="122"/>
      <c r="C369" s="69" t="s">
        <v>136</v>
      </c>
      <c r="D369" s="61" t="s">
        <v>0</v>
      </c>
      <c r="E369" s="62">
        <v>1</v>
      </c>
      <c r="F369" s="62">
        <f>'Прайс для расчета'!E409</f>
        <v>344.42099999999999</v>
      </c>
      <c r="G369" s="123">
        <f t="shared" si="53"/>
        <v>344.42099999999999</v>
      </c>
      <c r="I369" s="134">
        <f>'Прайс для расчета (М)'!E409</f>
        <v>172.2105</v>
      </c>
      <c r="J369" s="133">
        <f t="shared" si="52"/>
        <v>172.2105</v>
      </c>
    </row>
    <row r="370" spans="2:10" ht="15.6" hidden="1" x14ac:dyDescent="0.25">
      <c r="B370" s="122"/>
      <c r="C370" s="69" t="s">
        <v>449</v>
      </c>
      <c r="D370" s="61" t="s">
        <v>3</v>
      </c>
      <c r="E370" s="62">
        <v>1</v>
      </c>
      <c r="F370" s="62">
        <f>'Прайс для расчета'!E410</f>
        <v>240.05099999999999</v>
      </c>
      <c r="G370" s="123">
        <f t="shared" si="53"/>
        <v>240.05099999999999</v>
      </c>
      <c r="I370" s="134">
        <f>'Прайс для расчета (М)'!E410</f>
        <v>120.02549999999999</v>
      </c>
      <c r="J370" s="133">
        <f t="shared" si="52"/>
        <v>120.02549999999999</v>
      </c>
    </row>
    <row r="371" spans="2:10" ht="15.6" hidden="1" x14ac:dyDescent="0.25">
      <c r="B371" s="122"/>
      <c r="C371" s="69" t="s">
        <v>450</v>
      </c>
      <c r="D371" s="61" t="s">
        <v>3</v>
      </c>
      <c r="E371" s="62">
        <v>1</v>
      </c>
      <c r="F371" s="62">
        <f>'Прайс для расчета'!E411</f>
        <v>326.529</v>
      </c>
      <c r="G371" s="123">
        <f t="shared" si="53"/>
        <v>326.529</v>
      </c>
      <c r="I371" s="134">
        <f>'Прайс для расчета (М)'!E411</f>
        <v>163.2645</v>
      </c>
      <c r="J371" s="133">
        <f t="shared" si="52"/>
        <v>163.2645</v>
      </c>
    </row>
    <row r="372" spans="2:10" ht="20.100000000000001" customHeight="1" x14ac:dyDescent="0.25">
      <c r="B372" s="140">
        <f>IF(SUM(B364:B371)&gt;0,1,0)</f>
        <v>1</v>
      </c>
      <c r="C372" s="245" t="s">
        <v>545</v>
      </c>
      <c r="D372" s="245"/>
      <c r="E372" s="245"/>
      <c r="F372" s="245"/>
      <c r="G372" s="150">
        <f>SUMIF(B364:B371,1,G364:G371)</f>
        <v>1995</v>
      </c>
      <c r="J372" s="133">
        <f>SUMIF(B364:B371,1,J364:J371)</f>
        <v>997.5</v>
      </c>
    </row>
    <row r="373" spans="2:10" ht="15.6" x14ac:dyDescent="0.25">
      <c r="B373" s="147">
        <f>IF(SUM(B374:B381)&gt;0,1,0)</f>
        <v>1</v>
      </c>
      <c r="C373" s="148" t="s">
        <v>1162</v>
      </c>
      <c r="D373" s="149" t="s">
        <v>179</v>
      </c>
      <c r="E373" s="149" t="s">
        <v>180</v>
      </c>
      <c r="F373" s="149" t="s">
        <v>1</v>
      </c>
      <c r="G373" s="149" t="s">
        <v>181</v>
      </c>
      <c r="I373" s="132" t="s">
        <v>1</v>
      </c>
      <c r="J373" s="133" t="s">
        <v>181</v>
      </c>
    </row>
    <row r="374" spans="2:10" ht="15.75" customHeight="1" x14ac:dyDescent="0.25">
      <c r="B374" s="122">
        <v>1</v>
      </c>
      <c r="C374" s="69" t="s">
        <v>1078</v>
      </c>
      <c r="D374" s="61" t="s">
        <v>2</v>
      </c>
      <c r="E374" s="62">
        <v>11.67</v>
      </c>
      <c r="F374" s="62">
        <f>'Прайс для расчета'!E412</f>
        <v>110.25</v>
      </c>
      <c r="G374" s="123">
        <f t="shared" ref="G374:G381" si="54">F374*E374</f>
        <v>1286.6175000000001</v>
      </c>
      <c r="I374" s="134">
        <f>'Прайс для расчета (М)'!E412</f>
        <v>55.125</v>
      </c>
      <c r="J374" s="133">
        <f t="shared" ref="J374:J381" si="55">I374*E374</f>
        <v>643.30875000000003</v>
      </c>
    </row>
    <row r="375" spans="2:10" ht="15.6" hidden="1" x14ac:dyDescent="0.25">
      <c r="B375" s="122"/>
      <c r="C375" s="69" t="s">
        <v>688</v>
      </c>
      <c r="D375" s="61" t="s">
        <v>0</v>
      </c>
      <c r="E375" s="62">
        <v>1</v>
      </c>
      <c r="F375" s="62">
        <f>'Прайс для расчета'!E413</f>
        <v>1714.65</v>
      </c>
      <c r="G375" s="123">
        <f t="shared" si="54"/>
        <v>1714.65</v>
      </c>
      <c r="I375" s="134">
        <f>'Прайс для расчета (М)'!E413</f>
        <v>857.32500000000005</v>
      </c>
      <c r="J375" s="133">
        <f t="shared" si="55"/>
        <v>857.32500000000005</v>
      </c>
    </row>
    <row r="376" spans="2:10" ht="15.6" hidden="1" x14ac:dyDescent="0.25">
      <c r="B376" s="122"/>
      <c r="C376" s="69" t="s">
        <v>452</v>
      </c>
      <c r="D376" s="61" t="s">
        <v>0</v>
      </c>
      <c r="E376" s="62">
        <v>1</v>
      </c>
      <c r="F376" s="62">
        <f>'Прайс для расчета'!E414</f>
        <v>2571.9749999999999</v>
      </c>
      <c r="G376" s="123">
        <f t="shared" si="54"/>
        <v>2571.9749999999999</v>
      </c>
      <c r="I376" s="134">
        <f>'Прайс для расчета (М)'!E414</f>
        <v>1285.9875</v>
      </c>
      <c r="J376" s="133">
        <f t="shared" si="55"/>
        <v>1285.9875</v>
      </c>
    </row>
    <row r="377" spans="2:10" ht="15.6" hidden="1" x14ac:dyDescent="0.25">
      <c r="B377" s="122"/>
      <c r="C377" s="69" t="s">
        <v>453</v>
      </c>
      <c r="D377" s="61" t="s">
        <v>0</v>
      </c>
      <c r="E377" s="62">
        <v>1</v>
      </c>
      <c r="F377" s="62">
        <f>'Прайс для расчета'!E415</f>
        <v>857.32500000000005</v>
      </c>
      <c r="G377" s="123">
        <f t="shared" si="54"/>
        <v>857.32500000000005</v>
      </c>
      <c r="I377" s="134">
        <f>'Прайс для расчета (М)'!E415</f>
        <v>428.66250000000002</v>
      </c>
      <c r="J377" s="133">
        <f t="shared" si="55"/>
        <v>428.66250000000002</v>
      </c>
    </row>
    <row r="378" spans="2:10" ht="15.6" hidden="1" x14ac:dyDescent="0.25">
      <c r="B378" s="122"/>
      <c r="C378" s="69" t="s">
        <v>454</v>
      </c>
      <c r="D378" s="61" t="s">
        <v>885</v>
      </c>
      <c r="E378" s="62">
        <v>1</v>
      </c>
      <c r="F378" s="62">
        <f>'Прайс для расчета'!E416</f>
        <v>1470</v>
      </c>
      <c r="G378" s="123">
        <f t="shared" si="54"/>
        <v>1470</v>
      </c>
      <c r="I378" s="134">
        <f>'Прайс для расчета (М)'!E416</f>
        <v>735</v>
      </c>
      <c r="J378" s="133">
        <f t="shared" si="55"/>
        <v>735</v>
      </c>
    </row>
    <row r="379" spans="2:10" ht="15.6" hidden="1" x14ac:dyDescent="0.25">
      <c r="B379" s="122"/>
      <c r="C379" s="69" t="s">
        <v>455</v>
      </c>
      <c r="D379" s="61" t="s">
        <v>886</v>
      </c>
      <c r="E379" s="62">
        <v>1</v>
      </c>
      <c r="F379" s="62">
        <f>'Прайс для расчета'!E417</f>
        <v>315</v>
      </c>
      <c r="G379" s="123">
        <f t="shared" si="54"/>
        <v>315</v>
      </c>
      <c r="I379" s="134">
        <f>'Прайс для расчета (М)'!E417</f>
        <v>157.5</v>
      </c>
      <c r="J379" s="133">
        <f t="shared" si="55"/>
        <v>157.5</v>
      </c>
    </row>
    <row r="380" spans="2:10" ht="15.6" hidden="1" x14ac:dyDescent="0.25">
      <c r="B380" s="122"/>
      <c r="C380" s="69" t="s">
        <v>456</v>
      </c>
      <c r="D380" s="61" t="s">
        <v>886</v>
      </c>
      <c r="E380" s="62">
        <v>1</v>
      </c>
      <c r="F380" s="62">
        <f>'Прайс для расчета'!E418</f>
        <v>1575</v>
      </c>
      <c r="G380" s="123">
        <f t="shared" si="54"/>
        <v>1575</v>
      </c>
      <c r="I380" s="134">
        <f>'Прайс для расчета (М)'!E418</f>
        <v>787.5</v>
      </c>
      <c r="J380" s="133">
        <f t="shared" si="55"/>
        <v>787.5</v>
      </c>
    </row>
    <row r="381" spans="2:10" ht="15.6" hidden="1" x14ac:dyDescent="0.25">
      <c r="B381" s="122"/>
      <c r="C381" s="69" t="s">
        <v>689</v>
      </c>
      <c r="D381" s="61" t="s">
        <v>886</v>
      </c>
      <c r="E381" s="62">
        <v>1</v>
      </c>
      <c r="F381" s="62">
        <f>'Прайс для расчета'!E419</f>
        <v>315</v>
      </c>
      <c r="G381" s="123">
        <f t="shared" si="54"/>
        <v>315</v>
      </c>
      <c r="I381" s="134">
        <f>'Прайс для расчета (М)'!E419</f>
        <v>157.5</v>
      </c>
      <c r="J381" s="133">
        <f t="shared" si="55"/>
        <v>157.5</v>
      </c>
    </row>
    <row r="382" spans="2:10" ht="20.100000000000001" customHeight="1" x14ac:dyDescent="0.25">
      <c r="B382" s="140">
        <f>IF(SUM(B374:B381)&gt;0,1,0)</f>
        <v>1</v>
      </c>
      <c r="C382" s="245" t="s">
        <v>546</v>
      </c>
      <c r="D382" s="245"/>
      <c r="E382" s="245"/>
      <c r="F382" s="245"/>
      <c r="G382" s="150">
        <f>SUMIF(B374:B381,1,G374:G381)</f>
        <v>1286.6175000000001</v>
      </c>
      <c r="J382" s="133">
        <f>SUMIF(B374:B381,1,J374:J381)</f>
        <v>643.30875000000003</v>
      </c>
    </row>
    <row r="383" spans="2:10" ht="20.100000000000001" customHeight="1" x14ac:dyDescent="0.25">
      <c r="B383" s="147">
        <f>IF(SUM(B10:B382)&gt;0,1,0)</f>
        <v>1</v>
      </c>
      <c r="C383" s="242" t="s">
        <v>191</v>
      </c>
      <c r="D383" s="243"/>
      <c r="E383" s="243"/>
      <c r="F383" s="244"/>
      <c r="G383" s="151" t="e">
        <f>SUM(G382+G372+G362+G248+G137)</f>
        <v>#REF!</v>
      </c>
      <c r="J383" s="133" t="e">
        <f>SUM(J382+J372+J362+J248+J137)</f>
        <v>#REF!</v>
      </c>
    </row>
    <row r="384" spans="2:10" ht="20.100000000000001" customHeight="1" x14ac:dyDescent="0.25">
      <c r="B384" s="147" t="e">
        <f>IF(G384&gt;0,1,0)</f>
        <v>#REF!</v>
      </c>
      <c r="C384" s="239" t="s">
        <v>241</v>
      </c>
      <c r="D384" s="240"/>
      <c r="E384" s="240"/>
      <c r="F384" s="241"/>
      <c r="G384" s="152" t="e">
        <f>#REF!</f>
        <v>#REF!</v>
      </c>
      <c r="J384" s="133">
        <v>0</v>
      </c>
    </row>
    <row r="385" spans="2:10" ht="20.100000000000001" customHeight="1" x14ac:dyDescent="0.25">
      <c r="B385" s="147" t="e">
        <f>IF(G385&gt;0,1,0)</f>
        <v>#REF!</v>
      </c>
      <c r="C385" s="239" t="s">
        <v>240</v>
      </c>
      <c r="D385" s="240"/>
      <c r="E385" s="240"/>
      <c r="F385" s="241"/>
      <c r="G385" s="151" t="e">
        <f>G383-(G383*G384)</f>
        <v>#REF!</v>
      </c>
      <c r="J385" s="133" t="e">
        <f>J383-(J383*J384)</f>
        <v>#REF!</v>
      </c>
    </row>
    <row r="386" spans="2:10" x14ac:dyDescent="0.25">
      <c r="B386" s="114"/>
      <c r="C386" s="124"/>
      <c r="E386" s="125"/>
    </row>
    <row r="387" spans="2:10" ht="15.6" x14ac:dyDescent="0.25">
      <c r="B387" s="114"/>
      <c r="C387" s="126" t="s">
        <v>238</v>
      </c>
      <c r="E387" s="127" t="s">
        <v>239</v>
      </c>
    </row>
    <row r="388" spans="2:10" x14ac:dyDescent="0.25">
      <c r="B388" s="114"/>
      <c r="C388" s="124"/>
    </row>
    <row r="389" spans="2:10" x14ac:dyDescent="0.25">
      <c r="B389" s="114"/>
      <c r="C389" s="128" t="s">
        <v>185</v>
      </c>
      <c r="E389" s="129" t="s">
        <v>185</v>
      </c>
    </row>
    <row r="390" spans="2:10" x14ac:dyDescent="0.25">
      <c r="B390" s="114"/>
      <c r="C390" s="130" t="s">
        <v>690</v>
      </c>
      <c r="E390" s="125" t="s">
        <v>186</v>
      </c>
    </row>
    <row r="391" spans="2:10" x14ac:dyDescent="0.25">
      <c r="B391" s="114"/>
      <c r="C391" s="124"/>
      <c r="E391" s="125"/>
    </row>
  </sheetData>
  <autoFilter ref="B9:G385">
    <filterColumn colId="0">
      <filters>
        <filter val="1"/>
      </filters>
    </filterColumn>
  </autoFilter>
  <mergeCells count="13">
    <mergeCell ref="C385:F385"/>
    <mergeCell ref="C1:C4"/>
    <mergeCell ref="C5:G5"/>
    <mergeCell ref="C6:C7"/>
    <mergeCell ref="D8:G8"/>
    <mergeCell ref="C137:F137"/>
    <mergeCell ref="C248:F248"/>
    <mergeCell ref="D4:F4"/>
    <mergeCell ref="C362:F362"/>
    <mergeCell ref="C372:F372"/>
    <mergeCell ref="C382:F382"/>
    <mergeCell ref="C383:F383"/>
    <mergeCell ref="C384:F384"/>
  </mergeCells>
  <conditionalFormatting sqref="B144:B148 D144:E148 B149:E164 B251:B269 E251:G251 B10:G58 B270:E286 E252:E269 B302:C302 B303:D305 E302:E305 B368:E371 B59 E59 F365:G371 B306:E311 F302:F311 F144:G164 B296:F301 G296:G311 B287:G295 B60:G143 B312:G364 B372:G385 B165:G250 F252:G286">
    <cfRule type="expression" dxfId="179" priority="6">
      <formula>$B10=0</formula>
    </cfRule>
  </conditionalFormatting>
  <conditionalFormatting sqref="C144:C148">
    <cfRule type="expression" dxfId="178" priority="5">
      <formula>$B144=0</formula>
    </cfRule>
  </conditionalFormatting>
  <conditionalFormatting sqref="D251:D269">
    <cfRule type="expression" dxfId="177" priority="3">
      <formula>$B251=0</formula>
    </cfRule>
  </conditionalFormatting>
  <conditionalFormatting sqref="C251:C269">
    <cfRule type="expression" dxfId="176" priority="4">
      <formula>$B251=0</formula>
    </cfRule>
  </conditionalFormatting>
  <conditionalFormatting sqref="B365:E367">
    <cfRule type="expression" dxfId="175" priority="2">
      <formula>$B365=0</formula>
    </cfRule>
  </conditionalFormatting>
  <conditionalFormatting sqref="C59:D59 F59:G59">
    <cfRule type="expression" dxfId="174" priority="1">
      <formula>$B59=0</formula>
    </cfRule>
  </conditionalFormatting>
  <printOptions horizontalCentered="1"/>
  <pageMargins left="0.25" right="0.25" top="0.75" bottom="0.75" header="0.3" footer="0.3"/>
  <pageSetup paperSize="9" scale="62" fitToHeight="0" orientation="portrait" r:id="rId1"/>
  <headerFooter>
    <oddFooter>&amp;Rредакция 3.0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1111111">
    <tabColor rgb="FF00B050"/>
    <pageSetUpPr fitToPage="1"/>
  </sheetPr>
  <dimension ref="A1:U382"/>
  <sheetViews>
    <sheetView topLeftCell="A217" zoomScaleNormal="100" zoomScalePageLayoutView="145" workbookViewId="0">
      <selection activeCell="C240" sqref="C240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12" max="12" width="8.77734375" customWidth="1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G139</f>
        <v>0</v>
      </c>
      <c r="U1" s="35">
        <f>J139</f>
        <v>0</v>
      </c>
    </row>
    <row r="2" spans="1:21" ht="21.9" customHeight="1" x14ac:dyDescent="0.25">
      <c r="A2" s="19">
        <f>ROUND(D7*2+E7*2,2)</f>
        <v>0</v>
      </c>
      <c r="C2" s="258"/>
      <c r="T2" s="35">
        <f>G250</f>
        <v>0</v>
      </c>
      <c r="U2" s="35">
        <f>J250</f>
        <v>0</v>
      </c>
    </row>
    <row r="3" spans="1:21" ht="21.9" customHeight="1" x14ac:dyDescent="0.25">
      <c r="A3" s="18" t="s">
        <v>183</v>
      </c>
      <c r="C3" s="258"/>
      <c r="T3" s="35">
        <f>G364</f>
        <v>0</v>
      </c>
      <c r="U3" s="35">
        <f>J364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v>0</v>
      </c>
      <c r="U4" s="35">
        <v>0</v>
      </c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  <c r="T5" s="35">
        <v>0</v>
      </c>
      <c r="U5" s="35"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T6" s="35">
        <f>G374</f>
        <v>0</v>
      </c>
      <c r="U6" s="35">
        <f>J374</f>
        <v>0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  <c r="T7" s="35">
        <f>G375</f>
        <v>0</v>
      </c>
      <c r="U7" s="35">
        <f>J375</f>
        <v>0</v>
      </c>
    </row>
    <row r="8" spans="1:21" x14ac:dyDescent="0.25">
      <c r="C8" s="70" t="s">
        <v>1015</v>
      </c>
      <c r="D8" s="255" t="e">
        <f>G377</f>
        <v>#REF!</v>
      </c>
      <c r="E8" s="256"/>
      <c r="F8" s="256"/>
      <c r="G8" s="257"/>
      <c r="H8" s="44" t="s">
        <v>760</v>
      </c>
      <c r="T8" s="35" t="e">
        <f>G377</f>
        <v>#REF!</v>
      </c>
      <c r="U8" s="35">
        <f>J377</f>
        <v>0</v>
      </c>
    </row>
    <row r="9" spans="1:21" ht="15.6" x14ac:dyDescent="0.3">
      <c r="B9" s="110"/>
      <c r="C9" s="137"/>
      <c r="D9" s="112"/>
      <c r="E9" s="112"/>
      <c r="F9" s="112"/>
      <c r="G9" s="112"/>
    </row>
    <row r="10" spans="1:21" ht="15.6" x14ac:dyDescent="0.25">
      <c r="B10" s="153">
        <f>IF(SUM(B11:B138)&gt;0,1,0)</f>
        <v>0</v>
      </c>
      <c r="C10" s="164" t="s">
        <v>978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IF(SUM(B12:B34)&gt;0,1,0)</f>
        <v>0</v>
      </c>
      <c r="C11" s="67" t="s">
        <v>877</v>
      </c>
      <c r="D11" s="61"/>
      <c r="E11" s="62"/>
      <c r="F11" s="63"/>
      <c r="G11" s="64"/>
    </row>
    <row r="12" spans="1:21" ht="15.6" x14ac:dyDescent="0.25">
      <c r="B12" s="59"/>
      <c r="C12" s="65" t="s">
        <v>305</v>
      </c>
      <c r="D12" s="61" t="s">
        <v>3</v>
      </c>
      <c r="E12" s="62">
        <f>$A$2</f>
        <v>0</v>
      </c>
      <c r="F12" s="63">
        <f>'Прайс для расчета'!E5</f>
        <v>89.25</v>
      </c>
      <c r="G12" s="64">
        <f t="shared" ref="G12:G32" si="0">F12*E12</f>
        <v>0</v>
      </c>
      <c r="I12" s="135">
        <f>'Прайс для расчета (М)'!E5</f>
        <v>44.625</v>
      </c>
      <c r="J12" s="36">
        <f t="shared" ref="J12:J34" si="1">I12*E12</f>
        <v>0</v>
      </c>
    </row>
    <row r="13" spans="1:21" ht="15.6" x14ac:dyDescent="0.25">
      <c r="B13" s="59"/>
      <c r="C13" s="65" t="s">
        <v>306</v>
      </c>
      <c r="D13" s="61" t="s">
        <v>2</v>
      </c>
      <c r="E13" s="62">
        <f t="shared" ref="E13:E28" si="2">$A$4</f>
        <v>0</v>
      </c>
      <c r="F13" s="63">
        <f>'Прайс для расчета'!E6</f>
        <v>157.5</v>
      </c>
      <c r="G13" s="64">
        <f t="shared" si="0"/>
        <v>0</v>
      </c>
      <c r="I13" s="135">
        <f>'Прайс для расчета (М)'!E6</f>
        <v>78.75</v>
      </c>
      <c r="J13" s="36">
        <f t="shared" si="1"/>
        <v>0</v>
      </c>
    </row>
    <row r="14" spans="1:21" ht="15.6" x14ac:dyDescent="0.25">
      <c r="B14" s="59"/>
      <c r="C14" s="65" t="s">
        <v>307</v>
      </c>
      <c r="D14" s="61" t="s">
        <v>2</v>
      </c>
      <c r="E14" s="62">
        <f t="shared" si="2"/>
        <v>0</v>
      </c>
      <c r="F14" s="63">
        <f>'Прайс для расчета'!E7</f>
        <v>292.23599999999999</v>
      </c>
      <c r="G14" s="64">
        <f t="shared" si="0"/>
        <v>0</v>
      </c>
      <c r="I14" s="135">
        <f>'Прайс для расчета (М)'!E7</f>
        <v>146.11799999999999</v>
      </c>
      <c r="J14" s="36">
        <f t="shared" si="1"/>
        <v>0</v>
      </c>
    </row>
    <row r="15" spans="1:21" ht="15.6" x14ac:dyDescent="0.25">
      <c r="B15" s="59"/>
      <c r="C15" s="65" t="s">
        <v>308</v>
      </c>
      <c r="D15" s="61" t="s">
        <v>2</v>
      </c>
      <c r="E15" s="62">
        <f t="shared" si="2"/>
        <v>0</v>
      </c>
      <c r="F15" s="63">
        <f>'Прайс для расчета'!E8</f>
        <v>367.5</v>
      </c>
      <c r="G15" s="64">
        <f t="shared" si="0"/>
        <v>0</v>
      </c>
      <c r="I15" s="135">
        <f>'Прайс для расчета (М)'!E8</f>
        <v>183.75</v>
      </c>
      <c r="J15" s="36">
        <f t="shared" si="1"/>
        <v>0</v>
      </c>
    </row>
    <row r="16" spans="1:21" ht="15.6" x14ac:dyDescent="0.25">
      <c r="B16" s="59"/>
      <c r="C16" s="65" t="s">
        <v>309</v>
      </c>
      <c r="D16" s="61" t="s">
        <v>2</v>
      </c>
      <c r="E16" s="62">
        <f t="shared" si="2"/>
        <v>0</v>
      </c>
      <c r="F16" s="63">
        <f>'Прайс для расчета'!E9</f>
        <v>120.771</v>
      </c>
      <c r="G16" s="64">
        <f t="shared" si="0"/>
        <v>0</v>
      </c>
      <c r="I16" s="135">
        <f>'Прайс для расчета (М)'!E9</f>
        <v>60.3855</v>
      </c>
      <c r="J16" s="36">
        <f t="shared" si="1"/>
        <v>0</v>
      </c>
    </row>
    <row r="17" spans="2:10" ht="15.6" x14ac:dyDescent="0.25">
      <c r="B17" s="59"/>
      <c r="C17" s="65" t="s">
        <v>310</v>
      </c>
      <c r="D17" s="61" t="s">
        <v>2</v>
      </c>
      <c r="E17" s="62">
        <f t="shared" si="2"/>
        <v>0</v>
      </c>
      <c r="F17" s="63">
        <f>'Прайс для расчета'!E10</f>
        <v>102.87899999999999</v>
      </c>
      <c r="G17" s="64">
        <f t="shared" si="0"/>
        <v>0</v>
      </c>
      <c r="I17" s="135">
        <f>'Прайс для расчета (М)'!E10</f>
        <v>51.439499999999995</v>
      </c>
      <c r="J17" s="36">
        <f t="shared" si="1"/>
        <v>0</v>
      </c>
    </row>
    <row r="18" spans="2:10" ht="15.6" x14ac:dyDescent="0.25">
      <c r="B18" s="59"/>
      <c r="C18" s="65" t="s">
        <v>1002</v>
      </c>
      <c r="D18" s="61" t="s">
        <v>2</v>
      </c>
      <c r="E18" s="62">
        <f t="shared" si="2"/>
        <v>0</v>
      </c>
      <c r="F18" s="63">
        <f>'Прайс для расчета'!E11</f>
        <v>1837.5</v>
      </c>
      <c r="G18" s="64">
        <f t="shared" si="0"/>
        <v>0</v>
      </c>
      <c r="I18" s="135">
        <f>'Прайс для расчета (М)'!E11</f>
        <v>918.75</v>
      </c>
      <c r="J18" s="36">
        <f t="shared" si="1"/>
        <v>0</v>
      </c>
    </row>
    <row r="19" spans="2:10" ht="15.6" x14ac:dyDescent="0.25">
      <c r="B19" s="59"/>
      <c r="C19" s="65" t="s">
        <v>1003</v>
      </c>
      <c r="D19" s="61" t="s">
        <v>2</v>
      </c>
      <c r="E19" s="62">
        <f t="shared" si="2"/>
        <v>0</v>
      </c>
      <c r="F19" s="63">
        <f>'Прайс для расчета'!E12</f>
        <v>2677.5</v>
      </c>
      <c r="G19" s="64">
        <f t="shared" si="0"/>
        <v>0</v>
      </c>
      <c r="I19" s="135">
        <f>'Прайс для расчета (М)'!E12</f>
        <v>1338.75</v>
      </c>
      <c r="J19" s="36">
        <f t="shared" si="1"/>
        <v>0</v>
      </c>
    </row>
    <row r="20" spans="2:10" ht="15.6" x14ac:dyDescent="0.25">
      <c r="B20" s="59"/>
      <c r="C20" s="65" t="s">
        <v>59</v>
      </c>
      <c r="D20" s="61" t="s">
        <v>2</v>
      </c>
      <c r="E20" s="62">
        <f t="shared" si="2"/>
        <v>0</v>
      </c>
      <c r="F20" s="63">
        <f>'Прайс для расчета'!E13</f>
        <v>367.5</v>
      </c>
      <c r="G20" s="64">
        <f t="shared" si="0"/>
        <v>0</v>
      </c>
      <c r="I20" s="135">
        <f>'Прайс для расчета (М)'!E13</f>
        <v>183.75</v>
      </c>
      <c r="J20" s="36">
        <f t="shared" si="1"/>
        <v>0</v>
      </c>
    </row>
    <row r="21" spans="2:10" ht="15.6" x14ac:dyDescent="0.25">
      <c r="B21" s="59"/>
      <c r="C21" s="65" t="s">
        <v>311</v>
      </c>
      <c r="D21" s="61" t="s">
        <v>2</v>
      </c>
      <c r="E21" s="62">
        <f t="shared" si="2"/>
        <v>0</v>
      </c>
      <c r="F21" s="63">
        <f>'Прайс для расчета'!E14</f>
        <v>315</v>
      </c>
      <c r="G21" s="64">
        <f t="shared" si="0"/>
        <v>0</v>
      </c>
      <c r="I21" s="135">
        <f>'Прайс для расчета (М)'!E14</f>
        <v>157.5</v>
      </c>
      <c r="J21" s="36">
        <f t="shared" si="1"/>
        <v>0</v>
      </c>
    </row>
    <row r="22" spans="2:10" ht="15.6" x14ac:dyDescent="0.25">
      <c r="B22" s="59"/>
      <c r="C22" s="65" t="s">
        <v>312</v>
      </c>
      <c r="D22" s="61" t="s">
        <v>2</v>
      </c>
      <c r="E22" s="62">
        <f t="shared" si="2"/>
        <v>0</v>
      </c>
      <c r="F22" s="63">
        <f>'Прайс для расчета'!E15</f>
        <v>162.75</v>
      </c>
      <c r="G22" s="64">
        <f t="shared" si="0"/>
        <v>0</v>
      </c>
      <c r="I22" s="135">
        <f>'Прайс для расчета (М)'!E15</f>
        <v>81.375</v>
      </c>
      <c r="J22" s="36">
        <f t="shared" si="1"/>
        <v>0</v>
      </c>
    </row>
    <row r="23" spans="2:10" ht="15.6" x14ac:dyDescent="0.25">
      <c r="B23" s="59"/>
      <c r="C23" s="65" t="s">
        <v>313</v>
      </c>
      <c r="D23" s="61" t="s">
        <v>2</v>
      </c>
      <c r="E23" s="62">
        <f t="shared" si="2"/>
        <v>0</v>
      </c>
      <c r="F23" s="63">
        <f>'Прайс для расчета'!E16</f>
        <v>162.75</v>
      </c>
      <c r="G23" s="64">
        <f t="shared" si="0"/>
        <v>0</v>
      </c>
      <c r="I23" s="135">
        <f>'Прайс для расчета (М)'!E16</f>
        <v>81.375</v>
      </c>
      <c r="J23" s="36">
        <f t="shared" si="1"/>
        <v>0</v>
      </c>
    </row>
    <row r="24" spans="2:10" ht="15.6" x14ac:dyDescent="0.25">
      <c r="B24" s="59"/>
      <c r="C24" s="65" t="s">
        <v>314</v>
      </c>
      <c r="D24" s="61" t="s">
        <v>2</v>
      </c>
      <c r="E24" s="62">
        <f t="shared" si="2"/>
        <v>0</v>
      </c>
      <c r="F24" s="63">
        <f>'Прайс для расчета'!E17</f>
        <v>335.47500000000002</v>
      </c>
      <c r="G24" s="64">
        <f t="shared" si="0"/>
        <v>0</v>
      </c>
      <c r="I24" s="135">
        <f>'Прайс для расчета (М)'!E17</f>
        <v>167.73750000000001</v>
      </c>
      <c r="J24" s="36">
        <f t="shared" si="1"/>
        <v>0</v>
      </c>
    </row>
    <row r="25" spans="2:10" ht="15.6" x14ac:dyDescent="0.25">
      <c r="B25" s="59"/>
      <c r="C25" s="65" t="s">
        <v>658</v>
      </c>
      <c r="D25" s="61" t="s">
        <v>2</v>
      </c>
      <c r="E25" s="62">
        <f t="shared" si="2"/>
        <v>0</v>
      </c>
      <c r="F25" s="63">
        <f>'Прайс для расчета'!E18</f>
        <v>73.5</v>
      </c>
      <c r="G25" s="64">
        <f t="shared" si="0"/>
        <v>0</v>
      </c>
      <c r="I25" s="135">
        <f>'Прайс для расчета (М)'!E18</f>
        <v>36.75</v>
      </c>
      <c r="J25" s="36">
        <f t="shared" si="1"/>
        <v>0</v>
      </c>
    </row>
    <row r="26" spans="2:10" ht="15.6" x14ac:dyDescent="0.25">
      <c r="B26" s="59"/>
      <c r="C26" s="65" t="s">
        <v>315</v>
      </c>
      <c r="D26" s="61" t="s">
        <v>2</v>
      </c>
      <c r="E26" s="62">
        <f t="shared" si="2"/>
        <v>0</v>
      </c>
      <c r="F26" s="63">
        <f>'Прайс для расчета'!E19</f>
        <v>420.46199999999999</v>
      </c>
      <c r="G26" s="64">
        <f t="shared" si="0"/>
        <v>0</v>
      </c>
      <c r="I26" s="135">
        <f>'Прайс для расчета (М)'!E19</f>
        <v>210.23099999999999</v>
      </c>
      <c r="J26" s="36">
        <f t="shared" si="1"/>
        <v>0</v>
      </c>
    </row>
    <row r="27" spans="2:10" ht="15.6" x14ac:dyDescent="0.25">
      <c r="B27" s="59"/>
      <c r="C27" s="65" t="s">
        <v>316</v>
      </c>
      <c r="D27" s="61" t="s">
        <v>2</v>
      </c>
      <c r="E27" s="62">
        <f t="shared" si="2"/>
        <v>0</v>
      </c>
      <c r="F27" s="63">
        <f>'Прайс для расчета'!E20</f>
        <v>577.5</v>
      </c>
      <c r="G27" s="64">
        <f t="shared" si="0"/>
        <v>0</v>
      </c>
      <c r="I27" s="135">
        <f>'Прайс для расчета (М)'!E20</f>
        <v>288.75</v>
      </c>
      <c r="J27" s="36">
        <f t="shared" si="1"/>
        <v>0</v>
      </c>
    </row>
    <row r="28" spans="2:10" ht="15.6" x14ac:dyDescent="0.25">
      <c r="B28" s="59"/>
      <c r="C28" s="65" t="s">
        <v>317</v>
      </c>
      <c r="D28" s="61" t="s">
        <v>2</v>
      </c>
      <c r="E28" s="62">
        <f t="shared" si="2"/>
        <v>0</v>
      </c>
      <c r="F28" s="63">
        <f>'Прайс для расчета'!E21</f>
        <v>262.5</v>
      </c>
      <c r="G28" s="64">
        <f t="shared" si="0"/>
        <v>0</v>
      </c>
      <c r="I28" s="135">
        <f>'Прайс для расчета (М)'!E21</f>
        <v>131.25</v>
      </c>
      <c r="J28" s="36">
        <f t="shared" si="1"/>
        <v>0</v>
      </c>
    </row>
    <row r="29" spans="2:10" ht="15.6" x14ac:dyDescent="0.25">
      <c r="B29" s="59"/>
      <c r="C29" s="65" t="s">
        <v>318</v>
      </c>
      <c r="D29" s="61" t="s">
        <v>3</v>
      </c>
      <c r="E29" s="62">
        <f>$A$2</f>
        <v>0</v>
      </c>
      <c r="F29" s="63">
        <f>'Прайс для расчета'!E22</f>
        <v>644.11199999999997</v>
      </c>
      <c r="G29" s="64">
        <f t="shared" si="0"/>
        <v>0</v>
      </c>
      <c r="I29" s="135">
        <f>'Прайс для расчета (М)'!E22</f>
        <v>322.05599999999998</v>
      </c>
      <c r="J29" s="36">
        <f t="shared" si="1"/>
        <v>0</v>
      </c>
    </row>
    <row r="30" spans="2:10" ht="15.6" x14ac:dyDescent="0.25">
      <c r="B30" s="59"/>
      <c r="C30" s="65" t="s">
        <v>319</v>
      </c>
      <c r="D30" s="61" t="s">
        <v>3</v>
      </c>
      <c r="E30" s="62">
        <f>$A$2</f>
        <v>0</v>
      </c>
      <c r="F30" s="63">
        <f>'Прайс для расчета'!E23</f>
        <v>111.825</v>
      </c>
      <c r="G30" s="64">
        <f t="shared" si="0"/>
        <v>0</v>
      </c>
      <c r="I30" s="135">
        <f>'Прайс для расчета (М)'!E23</f>
        <v>55.912500000000001</v>
      </c>
      <c r="J30" s="36">
        <f t="shared" si="1"/>
        <v>0</v>
      </c>
    </row>
    <row r="31" spans="2:10" ht="15.6" x14ac:dyDescent="0.25">
      <c r="B31" s="59"/>
      <c r="C31" s="65" t="s">
        <v>320</v>
      </c>
      <c r="D31" s="61" t="s">
        <v>3</v>
      </c>
      <c r="E31" s="62">
        <v>1</v>
      </c>
      <c r="F31" s="63">
        <f>'Прайс для расчета'!E24</f>
        <v>523.34100000000001</v>
      </c>
      <c r="G31" s="64">
        <f t="shared" si="0"/>
        <v>523.34100000000001</v>
      </c>
      <c r="I31" s="135">
        <f>'Прайс для расчета (М)'!E24</f>
        <v>261.6705</v>
      </c>
      <c r="J31" s="36">
        <f t="shared" si="1"/>
        <v>261.6705</v>
      </c>
    </row>
    <row r="32" spans="2:10" ht="15.6" x14ac:dyDescent="0.25">
      <c r="B32" s="59"/>
      <c r="C32" s="65" t="s">
        <v>219</v>
      </c>
      <c r="D32" s="61" t="s">
        <v>2</v>
      </c>
      <c r="E32" s="62">
        <f>$A$4</f>
        <v>0</v>
      </c>
      <c r="F32" s="63">
        <f>'Прайс для расчета'!E25</f>
        <v>335.47500000000002</v>
      </c>
      <c r="G32" s="64">
        <f t="shared" si="0"/>
        <v>0</v>
      </c>
      <c r="I32" s="135">
        <f>'Прайс для расчета (М)'!E25</f>
        <v>167.73750000000001</v>
      </c>
      <c r="J32" s="36">
        <f t="shared" si="1"/>
        <v>0</v>
      </c>
    </row>
    <row r="33" spans="2:10" ht="15.6" x14ac:dyDescent="0.25">
      <c r="B33" s="59"/>
      <c r="C33" s="65" t="s">
        <v>564</v>
      </c>
      <c r="D33" s="61" t="s">
        <v>3</v>
      </c>
      <c r="E33" s="62">
        <f t="shared" ref="E33:E34" si="3">$A$4</f>
        <v>0</v>
      </c>
      <c r="F33" s="63">
        <f>'Прайс для расчета'!E26</f>
        <v>1786.2179999999998</v>
      </c>
      <c r="G33" s="64">
        <f t="shared" ref="G33:G34" si="4">F33*E33</f>
        <v>0</v>
      </c>
      <c r="I33" s="135">
        <f>'Прайс для расчета (М)'!E26</f>
        <v>893.10899999999992</v>
      </c>
      <c r="J33" s="36">
        <f t="shared" si="1"/>
        <v>0</v>
      </c>
    </row>
    <row r="34" spans="2:10" ht="15.6" x14ac:dyDescent="0.25">
      <c r="B34" s="59"/>
      <c r="C34" s="65" t="s">
        <v>565</v>
      </c>
      <c r="D34" s="61" t="s">
        <v>3</v>
      </c>
      <c r="E34" s="62">
        <f t="shared" si="3"/>
        <v>0</v>
      </c>
      <c r="F34" s="63">
        <f>'Прайс для расчета'!E27</f>
        <v>4045.0829999999996</v>
      </c>
      <c r="G34" s="64">
        <f t="shared" si="4"/>
        <v>0</v>
      </c>
      <c r="I34" s="135">
        <f>'Прайс для расчета (М)'!E27</f>
        <v>2022.5414999999998</v>
      </c>
      <c r="J34" s="36">
        <f t="shared" si="1"/>
        <v>0</v>
      </c>
    </row>
    <row r="35" spans="2:10" ht="15.6" x14ac:dyDescent="0.25">
      <c r="B35" s="59">
        <f>IF(SUM(B36:B61)&gt;0,1,0)</f>
        <v>0</v>
      </c>
      <c r="C35" s="67" t="s">
        <v>878</v>
      </c>
      <c r="D35" s="61"/>
      <c r="E35" s="62"/>
      <c r="F35" s="63"/>
      <c r="G35" s="64"/>
    </row>
    <row r="36" spans="2:10" ht="15.6" x14ac:dyDescent="0.25">
      <c r="B36" s="59"/>
      <c r="C36" s="65" t="s">
        <v>321</v>
      </c>
      <c r="D36" s="61" t="s">
        <v>3</v>
      </c>
      <c r="E36" s="62">
        <v>1</v>
      </c>
      <c r="F36" s="63">
        <f>'Прайс для расчета'!E29</f>
        <v>68.585999999999999</v>
      </c>
      <c r="G36" s="64">
        <f t="shared" ref="G36:G60" si="5">F36*E36</f>
        <v>68.585999999999999</v>
      </c>
      <c r="I36" s="135">
        <f>'Прайс для расчета (М)'!E29</f>
        <v>34.292999999999999</v>
      </c>
      <c r="J36" s="36">
        <f t="shared" ref="J36:J61" si="6">I36*E36</f>
        <v>34.292999999999999</v>
      </c>
    </row>
    <row r="37" spans="2:10" ht="15.6" x14ac:dyDescent="0.25">
      <c r="B37" s="59"/>
      <c r="C37" s="65" t="s">
        <v>322</v>
      </c>
      <c r="D37" s="61" t="s">
        <v>0</v>
      </c>
      <c r="E37" s="62">
        <v>1</v>
      </c>
      <c r="F37" s="63">
        <f>'Прайс для расчета'!E30</f>
        <v>231</v>
      </c>
      <c r="G37" s="64">
        <f t="shared" si="5"/>
        <v>231</v>
      </c>
      <c r="I37" s="135">
        <f>'Прайс для расчета (М)'!E30</f>
        <v>115.5</v>
      </c>
      <c r="J37" s="36">
        <f t="shared" si="6"/>
        <v>115.5</v>
      </c>
    </row>
    <row r="38" spans="2:10" ht="15.6" x14ac:dyDescent="0.25">
      <c r="B38" s="59"/>
      <c r="C38" s="65" t="s">
        <v>220</v>
      </c>
      <c r="D38" s="61" t="s">
        <v>2</v>
      </c>
      <c r="E38" s="62" t="e">
        <f t="shared" ref="E38:E44" si="7">$A$6</f>
        <v>#REF!</v>
      </c>
      <c r="F38" s="63">
        <f>'Прайс для расчета'!E31</f>
        <v>210</v>
      </c>
      <c r="G38" s="64" t="e">
        <f t="shared" si="5"/>
        <v>#REF!</v>
      </c>
      <c r="I38" s="135">
        <f>'Прайс для расчета (М)'!E31</f>
        <v>105</v>
      </c>
      <c r="J38" s="36" t="e">
        <f t="shared" si="6"/>
        <v>#REF!</v>
      </c>
    </row>
    <row r="39" spans="2:10" ht="15.6" x14ac:dyDescent="0.25">
      <c r="B39" s="59"/>
      <c r="C39" s="65" t="s">
        <v>323</v>
      </c>
      <c r="D39" s="61" t="s">
        <v>2</v>
      </c>
      <c r="E39" s="62" t="e">
        <f t="shared" si="7"/>
        <v>#REF!</v>
      </c>
      <c r="F39" s="63">
        <f>'Прайс для расчета'!E32</f>
        <v>205.75799999999998</v>
      </c>
      <c r="G39" s="64" t="e">
        <f t="shared" si="5"/>
        <v>#REF!</v>
      </c>
      <c r="I39" s="135">
        <f>'Прайс для расчета (М)'!E32</f>
        <v>102.87899999999999</v>
      </c>
      <c r="J39" s="36" t="e">
        <f t="shared" si="6"/>
        <v>#REF!</v>
      </c>
    </row>
    <row r="40" spans="2:10" ht="15.6" x14ac:dyDescent="0.25">
      <c r="B40" s="59"/>
      <c r="C40" s="65" t="s">
        <v>154</v>
      </c>
      <c r="D40" s="61" t="s">
        <v>2</v>
      </c>
      <c r="E40" s="62" t="e">
        <f t="shared" si="7"/>
        <v>#REF!</v>
      </c>
      <c r="F40" s="63">
        <f>'Прайс для расчета'!E33</f>
        <v>205.75799999999998</v>
      </c>
      <c r="G40" s="64" t="e">
        <f t="shared" si="5"/>
        <v>#REF!</v>
      </c>
      <c r="I40" s="135">
        <f>'Прайс для расчета (М)'!E33</f>
        <v>102.87899999999999</v>
      </c>
      <c r="J40" s="36" t="e">
        <f t="shared" si="6"/>
        <v>#REF!</v>
      </c>
    </row>
    <row r="41" spans="2:10" ht="15.6" x14ac:dyDescent="0.25">
      <c r="B41" s="59"/>
      <c r="C41" s="65" t="s">
        <v>324</v>
      </c>
      <c r="D41" s="61" t="s">
        <v>2</v>
      </c>
      <c r="E41" s="62" t="e">
        <f t="shared" si="7"/>
        <v>#REF!</v>
      </c>
      <c r="F41" s="63">
        <f>'Прайс для расчета'!E34</f>
        <v>506.94</v>
      </c>
      <c r="G41" s="64" t="e">
        <f t="shared" si="5"/>
        <v>#REF!</v>
      </c>
      <c r="I41" s="135">
        <f>'Прайс для расчета (М)'!E34</f>
        <v>253.47</v>
      </c>
      <c r="J41" s="36" t="e">
        <f t="shared" si="6"/>
        <v>#REF!</v>
      </c>
    </row>
    <row r="42" spans="2:10" ht="15.6" x14ac:dyDescent="0.25">
      <c r="B42" s="59"/>
      <c r="C42" s="65" t="s">
        <v>325</v>
      </c>
      <c r="D42" s="61" t="s">
        <v>2</v>
      </c>
      <c r="E42" s="62" t="e">
        <f t="shared" si="7"/>
        <v>#REF!</v>
      </c>
      <c r="F42" s="63">
        <f>'Прайс для расчета'!E35</f>
        <v>205.75799999999998</v>
      </c>
      <c r="G42" s="64" t="e">
        <f t="shared" si="5"/>
        <v>#REF!</v>
      </c>
      <c r="I42" s="135">
        <f>'Прайс для расчета (М)'!E35</f>
        <v>102.87899999999999</v>
      </c>
      <c r="J42" s="36" t="e">
        <f t="shared" si="6"/>
        <v>#REF!</v>
      </c>
    </row>
    <row r="43" spans="2:10" ht="15.6" x14ac:dyDescent="0.25">
      <c r="B43" s="59"/>
      <c r="C43" s="65" t="s">
        <v>155</v>
      </c>
      <c r="D43" s="61" t="s">
        <v>2</v>
      </c>
      <c r="E43" s="62" t="e">
        <f t="shared" si="7"/>
        <v>#REF!</v>
      </c>
      <c r="F43" s="63">
        <f>'Прайс для расчета'!E36</f>
        <v>205.75799999999998</v>
      </c>
      <c r="G43" s="64" t="e">
        <f t="shared" si="5"/>
        <v>#REF!</v>
      </c>
      <c r="I43" s="135">
        <f>'Прайс для расчета (М)'!E36</f>
        <v>102.87899999999999</v>
      </c>
      <c r="J43" s="36" t="e">
        <f t="shared" si="6"/>
        <v>#REF!</v>
      </c>
    </row>
    <row r="44" spans="2:10" ht="15.6" x14ac:dyDescent="0.25">
      <c r="B44" s="59"/>
      <c r="C44" s="65" t="s">
        <v>659</v>
      </c>
      <c r="D44" s="61" t="s">
        <v>2</v>
      </c>
      <c r="E44" s="62" t="e">
        <f t="shared" si="7"/>
        <v>#REF!</v>
      </c>
      <c r="F44" s="63">
        <f>'Прайс для расчета'!E37</f>
        <v>204.75</v>
      </c>
      <c r="G44" s="64" t="e">
        <f t="shared" si="5"/>
        <v>#REF!</v>
      </c>
      <c r="I44" s="135">
        <f>'Прайс для расчета (М)'!E37</f>
        <v>102.375</v>
      </c>
      <c r="J44" s="36" t="e">
        <f t="shared" si="6"/>
        <v>#REF!</v>
      </c>
    </row>
    <row r="45" spans="2:10" ht="15.6" x14ac:dyDescent="0.25">
      <c r="B45" s="59"/>
      <c r="C45" s="65" t="s">
        <v>660</v>
      </c>
      <c r="D45" s="61" t="s">
        <v>3</v>
      </c>
      <c r="E45" s="62">
        <v>1</v>
      </c>
      <c r="F45" s="63">
        <f>'Прайс для расчета'!E38</f>
        <v>292.23599999999999</v>
      </c>
      <c r="G45" s="64">
        <f t="shared" si="5"/>
        <v>292.23599999999999</v>
      </c>
      <c r="I45" s="135">
        <f>'Прайс для расчета (М)'!E38</f>
        <v>146.11799999999999</v>
      </c>
      <c r="J45" s="36">
        <f t="shared" si="6"/>
        <v>146.11799999999999</v>
      </c>
    </row>
    <row r="46" spans="2:10" ht="15.6" x14ac:dyDescent="0.25">
      <c r="B46" s="59"/>
      <c r="C46" s="65" t="s">
        <v>326</v>
      </c>
      <c r="D46" s="61" t="s">
        <v>2</v>
      </c>
      <c r="E46" s="62" t="e">
        <f>$A$6</f>
        <v>#REF!</v>
      </c>
      <c r="F46" s="63">
        <f>'Прайс для расчета'!E39</f>
        <v>164.01</v>
      </c>
      <c r="G46" s="64" t="e">
        <f t="shared" si="5"/>
        <v>#REF!</v>
      </c>
      <c r="I46" s="135">
        <f>'Прайс для расчета (М)'!E39</f>
        <v>82.004999999999995</v>
      </c>
      <c r="J46" s="36" t="e">
        <f t="shared" si="6"/>
        <v>#REF!</v>
      </c>
    </row>
    <row r="47" spans="2:10" ht="15.6" x14ac:dyDescent="0.25">
      <c r="B47" s="59"/>
      <c r="C47" s="65" t="s">
        <v>327</v>
      </c>
      <c r="D47" s="61" t="s">
        <v>0</v>
      </c>
      <c r="E47" s="62">
        <v>1</v>
      </c>
      <c r="F47" s="63">
        <f>'Прайс для расчета'!E40</f>
        <v>335.47500000000002</v>
      </c>
      <c r="G47" s="64">
        <f t="shared" si="5"/>
        <v>335.47500000000002</v>
      </c>
      <c r="I47" s="135">
        <f>'Прайс для расчета (М)'!E40</f>
        <v>167.73750000000001</v>
      </c>
      <c r="J47" s="36">
        <f t="shared" si="6"/>
        <v>167.73750000000001</v>
      </c>
    </row>
    <row r="48" spans="2:10" ht="15.6" x14ac:dyDescent="0.25">
      <c r="B48" s="59"/>
      <c r="C48" s="65" t="s">
        <v>328</v>
      </c>
      <c r="D48" s="61" t="s">
        <v>2</v>
      </c>
      <c r="E48" s="62" t="e">
        <f t="shared" ref="E48:E59" si="8">$A$6</f>
        <v>#REF!</v>
      </c>
      <c r="F48" s="63">
        <f>'Прайс для расчета'!E41</f>
        <v>315</v>
      </c>
      <c r="G48" s="64" t="e">
        <f t="shared" si="5"/>
        <v>#REF!</v>
      </c>
      <c r="I48" s="135">
        <f>'Прайс для расчета (М)'!E41</f>
        <v>157.5</v>
      </c>
      <c r="J48" s="36" t="e">
        <f t="shared" si="6"/>
        <v>#REF!</v>
      </c>
    </row>
    <row r="49" spans="2:10" ht="15.6" x14ac:dyDescent="0.25">
      <c r="B49" s="59"/>
      <c r="C49" s="65" t="s">
        <v>329</v>
      </c>
      <c r="D49" s="61" t="s">
        <v>2</v>
      </c>
      <c r="E49" s="62" t="e">
        <f t="shared" si="8"/>
        <v>#REF!</v>
      </c>
      <c r="F49" s="63">
        <f>'Прайс для расчета'!E42</f>
        <v>292.23599999999999</v>
      </c>
      <c r="G49" s="64" t="e">
        <f t="shared" si="5"/>
        <v>#REF!</v>
      </c>
      <c r="I49" s="135">
        <f>'Прайс для расчета (М)'!E42</f>
        <v>146.11799999999999</v>
      </c>
      <c r="J49" s="36" t="e">
        <f t="shared" si="6"/>
        <v>#REF!</v>
      </c>
    </row>
    <row r="50" spans="2:10" ht="15.6" x14ac:dyDescent="0.25">
      <c r="B50" s="59"/>
      <c r="C50" s="65" t="s">
        <v>222</v>
      </c>
      <c r="D50" s="61" t="s">
        <v>3</v>
      </c>
      <c r="E50" s="62" t="e">
        <f t="shared" si="8"/>
        <v>#REF!</v>
      </c>
      <c r="F50" s="63">
        <f>'Прайс для расчета'!E43</f>
        <v>335.47500000000002</v>
      </c>
      <c r="G50" s="64" t="e">
        <f t="shared" si="5"/>
        <v>#REF!</v>
      </c>
      <c r="I50" s="135">
        <f>'Прайс для расчета (М)'!E43</f>
        <v>167.73750000000001</v>
      </c>
      <c r="J50" s="36" t="e">
        <f t="shared" si="6"/>
        <v>#REF!</v>
      </c>
    </row>
    <row r="51" spans="2:10" ht="15.6" x14ac:dyDescent="0.25">
      <c r="B51" s="59"/>
      <c r="C51" s="65" t="s">
        <v>330</v>
      </c>
      <c r="D51" s="61" t="s">
        <v>2</v>
      </c>
      <c r="E51" s="62" t="e">
        <f t="shared" si="8"/>
        <v>#REF!</v>
      </c>
      <c r="F51" s="63">
        <f>'Прайс для расчета'!E44</f>
        <v>335.47500000000002</v>
      </c>
      <c r="G51" s="64" t="e">
        <f t="shared" si="5"/>
        <v>#REF!</v>
      </c>
      <c r="I51" s="135">
        <f>'Прайс для расчета (М)'!E44</f>
        <v>167.73750000000001</v>
      </c>
      <c r="J51" s="36" t="e">
        <f t="shared" si="6"/>
        <v>#REF!</v>
      </c>
    </row>
    <row r="52" spans="2:10" ht="15.6" x14ac:dyDescent="0.25">
      <c r="B52" s="59"/>
      <c r="C52" s="65" t="s">
        <v>475</v>
      </c>
      <c r="D52" s="61" t="s">
        <v>2</v>
      </c>
      <c r="E52" s="62" t="e">
        <f t="shared" si="8"/>
        <v>#REF!</v>
      </c>
      <c r="F52" s="63">
        <f>'Прайс для расчета'!E45</f>
        <v>102.87899999999999</v>
      </c>
      <c r="G52" s="64" t="e">
        <f t="shared" si="5"/>
        <v>#REF!</v>
      </c>
      <c r="I52" s="135">
        <f>'Прайс для расчета (М)'!E45</f>
        <v>51.439499999999995</v>
      </c>
      <c r="J52" s="36" t="e">
        <f t="shared" si="6"/>
        <v>#REF!</v>
      </c>
    </row>
    <row r="53" spans="2:10" ht="15.6" x14ac:dyDescent="0.25">
      <c r="B53" s="59"/>
      <c r="C53" s="65" t="s">
        <v>476</v>
      </c>
      <c r="D53" s="61" t="s">
        <v>2</v>
      </c>
      <c r="E53" s="62" t="e">
        <f t="shared" si="8"/>
        <v>#REF!</v>
      </c>
      <c r="F53" s="63">
        <f>'Прайс для расчета'!E46</f>
        <v>164.01</v>
      </c>
      <c r="G53" s="64" t="e">
        <f t="shared" si="5"/>
        <v>#REF!</v>
      </c>
      <c r="I53" s="135">
        <f>'Прайс для расчета (М)'!E46</f>
        <v>82.004999999999995</v>
      </c>
      <c r="J53" s="36" t="e">
        <f t="shared" si="6"/>
        <v>#REF!</v>
      </c>
    </row>
    <row r="54" spans="2:10" ht="15.6" x14ac:dyDescent="0.25">
      <c r="B54" s="59"/>
      <c r="C54" s="65" t="s">
        <v>477</v>
      </c>
      <c r="D54" s="61" t="s">
        <v>2</v>
      </c>
      <c r="E54" s="62" t="e">
        <f t="shared" si="8"/>
        <v>#REF!</v>
      </c>
      <c r="F54" s="63">
        <f>'Прайс для расчета'!E47</f>
        <v>849.87</v>
      </c>
      <c r="G54" s="64" t="e">
        <f t="shared" si="5"/>
        <v>#REF!</v>
      </c>
      <c r="I54" s="135">
        <f>'Прайс для расчета (М)'!E47</f>
        <v>424.935</v>
      </c>
      <c r="J54" s="36" t="e">
        <f t="shared" si="6"/>
        <v>#REF!</v>
      </c>
    </row>
    <row r="55" spans="2:10" ht="15.6" x14ac:dyDescent="0.25">
      <c r="B55" s="59"/>
      <c r="C55" s="65" t="s">
        <v>478</v>
      </c>
      <c r="D55" s="61" t="s">
        <v>2</v>
      </c>
      <c r="E55" s="62" t="e">
        <f t="shared" si="8"/>
        <v>#REF!</v>
      </c>
      <c r="F55" s="63">
        <f>'Прайс для расчета'!E48</f>
        <v>1021.3349999999999</v>
      </c>
      <c r="G55" s="64" t="e">
        <f t="shared" si="5"/>
        <v>#REF!</v>
      </c>
      <c r="I55" s="135">
        <f>'Прайс для расчета (М)'!E48</f>
        <v>510.66749999999996</v>
      </c>
      <c r="J55" s="36" t="e">
        <f t="shared" si="6"/>
        <v>#REF!</v>
      </c>
    </row>
    <row r="56" spans="2:10" ht="15.6" x14ac:dyDescent="0.25">
      <c r="B56" s="59"/>
      <c r="C56" s="65" t="s">
        <v>479</v>
      </c>
      <c r="D56" s="61" t="s">
        <v>2</v>
      </c>
      <c r="E56" s="62" t="e">
        <f t="shared" si="8"/>
        <v>#REF!</v>
      </c>
      <c r="F56" s="63">
        <f>'Прайс для расчета'!E49</f>
        <v>1192.8</v>
      </c>
      <c r="G56" s="64" t="e">
        <f t="shared" si="5"/>
        <v>#REF!</v>
      </c>
      <c r="I56" s="135">
        <f>'Прайс для расчета (М)'!E49</f>
        <v>596.4</v>
      </c>
      <c r="J56" s="36" t="e">
        <f t="shared" si="6"/>
        <v>#REF!</v>
      </c>
    </row>
    <row r="57" spans="2:10" ht="15.6" x14ac:dyDescent="0.25">
      <c r="B57" s="59"/>
      <c r="C57" s="65" t="s">
        <v>480</v>
      </c>
      <c r="D57" s="61" t="s">
        <v>2</v>
      </c>
      <c r="E57" s="62" t="e">
        <f t="shared" si="8"/>
        <v>#REF!</v>
      </c>
      <c r="F57" s="63">
        <f>'Прайс для расчета'!E50</f>
        <v>1364.2650000000001</v>
      </c>
      <c r="G57" s="64" t="e">
        <f t="shared" si="5"/>
        <v>#REF!</v>
      </c>
      <c r="I57" s="135">
        <f>'Прайс для расчета (М)'!E50</f>
        <v>682.13250000000005</v>
      </c>
      <c r="J57" s="36" t="e">
        <f t="shared" si="6"/>
        <v>#REF!</v>
      </c>
    </row>
    <row r="58" spans="2:10" ht="15.6" x14ac:dyDescent="0.25">
      <c r="B58" s="59"/>
      <c r="C58" s="65" t="s">
        <v>331</v>
      </c>
      <c r="D58" s="61" t="s">
        <v>2</v>
      </c>
      <c r="E58" s="62" t="e">
        <f t="shared" si="8"/>
        <v>#REF!</v>
      </c>
      <c r="F58" s="63">
        <f>'Прайс для расчета'!E51</f>
        <v>849.87</v>
      </c>
      <c r="G58" s="64" t="e">
        <f t="shared" si="5"/>
        <v>#REF!</v>
      </c>
      <c r="I58" s="135">
        <f>'Прайс для расчета (М)'!E51</f>
        <v>424.935</v>
      </c>
      <c r="J58" s="36" t="e">
        <f t="shared" si="6"/>
        <v>#REF!</v>
      </c>
    </row>
    <row r="59" spans="2:10" ht="15.6" x14ac:dyDescent="0.25">
      <c r="B59" s="59"/>
      <c r="C59" s="65" t="s">
        <v>332</v>
      </c>
      <c r="D59" s="61" t="s">
        <v>2</v>
      </c>
      <c r="E59" s="62" t="e">
        <f t="shared" si="8"/>
        <v>#REF!</v>
      </c>
      <c r="F59" s="63">
        <f>'Прайс для расчета'!E52</f>
        <v>506.94</v>
      </c>
      <c r="G59" s="64" t="e">
        <f t="shared" si="5"/>
        <v>#REF!</v>
      </c>
      <c r="I59" s="135">
        <f>'Прайс для расчета (М)'!E52</f>
        <v>253.47</v>
      </c>
      <c r="J59" s="36" t="e">
        <f t="shared" si="6"/>
        <v>#REF!</v>
      </c>
    </row>
    <row r="60" spans="2:10" ht="15.6" x14ac:dyDescent="0.25">
      <c r="B60" s="59"/>
      <c r="C60" s="65" t="s">
        <v>333</v>
      </c>
      <c r="D60" s="61" t="s">
        <v>2</v>
      </c>
      <c r="E60" s="62">
        <v>1</v>
      </c>
      <c r="F60" s="63">
        <f>'Прайс для расчета'!E53</f>
        <v>5093.2559999999994</v>
      </c>
      <c r="G60" s="64">
        <f t="shared" si="5"/>
        <v>5093.2559999999994</v>
      </c>
      <c r="I60" s="135">
        <f>'Прайс для расчета (М)'!E53</f>
        <v>2546.6279999999997</v>
      </c>
      <c r="J60" s="36">
        <f t="shared" si="6"/>
        <v>2546.6279999999997</v>
      </c>
    </row>
    <row r="61" spans="2:10" ht="15.6" x14ac:dyDescent="0.25">
      <c r="B61" s="59"/>
      <c r="C61" s="69" t="s">
        <v>692</v>
      </c>
      <c r="D61" s="61" t="s">
        <v>2</v>
      </c>
      <c r="E61" s="62">
        <v>1</v>
      </c>
      <c r="F61" s="63">
        <f>'Прайс для расчета'!E28</f>
        <v>1186.836</v>
      </c>
      <c r="G61" s="64">
        <f t="shared" ref="G61" si="9">F61*E61</f>
        <v>1186.836</v>
      </c>
      <c r="I61" s="135">
        <f>'Прайс для расчета (М)'!E28</f>
        <v>593.41800000000001</v>
      </c>
      <c r="J61" s="36">
        <f t="shared" si="6"/>
        <v>593.41800000000001</v>
      </c>
    </row>
    <row r="62" spans="2:10" ht="15.6" x14ac:dyDescent="0.25">
      <c r="B62" s="59">
        <f>IF(SUM(B63:B70)&gt;0,1,0)</f>
        <v>0</v>
      </c>
      <c r="C62" s="68" t="s">
        <v>44</v>
      </c>
      <c r="D62" s="61"/>
      <c r="E62" s="62"/>
      <c r="F62" s="63"/>
      <c r="G62" s="64"/>
    </row>
    <row r="63" spans="2:10" ht="15.6" x14ac:dyDescent="0.25">
      <c r="B63" s="59"/>
      <c r="C63" s="65" t="s">
        <v>45</v>
      </c>
      <c r="D63" s="61" t="s">
        <v>3</v>
      </c>
      <c r="E63" s="62">
        <v>1</v>
      </c>
      <c r="F63" s="63">
        <f>'Прайс для расчета'!E54</f>
        <v>335.47500000000002</v>
      </c>
      <c r="G63" s="64">
        <f t="shared" ref="G63:G70" si="10">F63*E63</f>
        <v>335.47500000000002</v>
      </c>
      <c r="I63" s="135">
        <f>'Прайс для расчета (М)'!E54</f>
        <v>167.73750000000001</v>
      </c>
      <c r="J63" s="36">
        <f t="shared" ref="J63:J70" si="11">I63*E63</f>
        <v>167.73750000000001</v>
      </c>
    </row>
    <row r="64" spans="2:10" ht="15.6" x14ac:dyDescent="0.25">
      <c r="B64" s="59"/>
      <c r="C64" s="65" t="s">
        <v>46</v>
      </c>
      <c r="D64" s="61" t="s">
        <v>3</v>
      </c>
      <c r="E64" s="62">
        <v>1</v>
      </c>
      <c r="F64" s="63">
        <f>'Прайс для расчета'!E55</f>
        <v>137.172</v>
      </c>
      <c r="G64" s="64">
        <f t="shared" si="10"/>
        <v>137.172</v>
      </c>
      <c r="I64" s="135">
        <f>'Прайс для расчета (М)'!E55</f>
        <v>68.585999999999999</v>
      </c>
      <c r="J64" s="36">
        <f t="shared" si="11"/>
        <v>68.585999999999999</v>
      </c>
    </row>
    <row r="65" spans="2:10" ht="15.6" x14ac:dyDescent="0.25">
      <c r="B65" s="59"/>
      <c r="C65" s="65" t="s">
        <v>60</v>
      </c>
      <c r="D65" s="61" t="s">
        <v>3</v>
      </c>
      <c r="E65" s="62">
        <v>1</v>
      </c>
      <c r="F65" s="63">
        <f>'Прайс для расчета'!E56</f>
        <v>205.75799999999998</v>
      </c>
      <c r="G65" s="64">
        <f t="shared" si="10"/>
        <v>205.75799999999998</v>
      </c>
      <c r="I65" s="135">
        <f>'Прайс для расчета (М)'!E56</f>
        <v>102.87899999999999</v>
      </c>
      <c r="J65" s="36">
        <f t="shared" si="11"/>
        <v>102.87899999999999</v>
      </c>
    </row>
    <row r="66" spans="2:10" ht="15.6" x14ac:dyDescent="0.25">
      <c r="B66" s="59"/>
      <c r="C66" s="65" t="s">
        <v>47</v>
      </c>
      <c r="D66" s="61" t="s">
        <v>3</v>
      </c>
      <c r="E66" s="62">
        <v>1</v>
      </c>
      <c r="F66" s="63">
        <f>'Прайс для расчета'!E57</f>
        <v>137.172</v>
      </c>
      <c r="G66" s="64">
        <f t="shared" si="10"/>
        <v>137.172</v>
      </c>
      <c r="I66" s="135">
        <f>'Прайс для расчета (М)'!E57</f>
        <v>68.585999999999999</v>
      </c>
      <c r="J66" s="36">
        <f t="shared" si="11"/>
        <v>68.585999999999999</v>
      </c>
    </row>
    <row r="67" spans="2:10" ht="15.6" x14ac:dyDescent="0.25">
      <c r="B67" s="59"/>
      <c r="C67" s="65" t="s">
        <v>48</v>
      </c>
      <c r="D67" s="61" t="s">
        <v>3</v>
      </c>
      <c r="E67" s="62">
        <v>1</v>
      </c>
      <c r="F67" s="63">
        <f>'Прайс для расчета'!E58</f>
        <v>205.75799999999998</v>
      </c>
      <c r="G67" s="64">
        <f t="shared" si="10"/>
        <v>205.75799999999998</v>
      </c>
      <c r="I67" s="135">
        <f>'Прайс для расчета (М)'!E58</f>
        <v>102.87899999999999</v>
      </c>
      <c r="J67" s="36">
        <f t="shared" si="11"/>
        <v>102.87899999999999</v>
      </c>
    </row>
    <row r="68" spans="2:10" ht="15.6" x14ac:dyDescent="0.25">
      <c r="B68" s="59"/>
      <c r="C68" s="65" t="s">
        <v>49</v>
      </c>
      <c r="D68" s="61" t="s">
        <v>3</v>
      </c>
      <c r="E68" s="62">
        <v>1</v>
      </c>
      <c r="F68" s="63">
        <f>'Прайс для расчета'!E59</f>
        <v>43.239000000000004</v>
      </c>
      <c r="G68" s="64">
        <f t="shared" si="10"/>
        <v>43.239000000000004</v>
      </c>
      <c r="I68" s="135">
        <f>'Прайс для расчета (М)'!E59</f>
        <v>21.619500000000002</v>
      </c>
      <c r="J68" s="36">
        <f t="shared" si="11"/>
        <v>21.619500000000002</v>
      </c>
    </row>
    <row r="69" spans="2:10" ht="15.6" x14ac:dyDescent="0.25">
      <c r="B69" s="59"/>
      <c r="C69" s="65" t="s">
        <v>50</v>
      </c>
      <c r="D69" s="61" t="s">
        <v>3</v>
      </c>
      <c r="E69" s="62">
        <v>1</v>
      </c>
      <c r="F69" s="63">
        <f>'Прайс для расчета'!E60</f>
        <v>86.478000000000009</v>
      </c>
      <c r="G69" s="64">
        <f t="shared" si="10"/>
        <v>86.478000000000009</v>
      </c>
      <c r="I69" s="135">
        <f>'Прайс для расчета (М)'!E60</f>
        <v>43.239000000000004</v>
      </c>
      <c r="J69" s="36">
        <f t="shared" si="11"/>
        <v>43.239000000000004</v>
      </c>
    </row>
    <row r="70" spans="2:10" ht="15.6" x14ac:dyDescent="0.25">
      <c r="B70" s="59"/>
      <c r="C70" s="65" t="s">
        <v>51</v>
      </c>
      <c r="D70" s="61" t="s">
        <v>3</v>
      </c>
      <c r="E70" s="62">
        <v>1</v>
      </c>
      <c r="F70" s="63">
        <f>'Прайс для расчета'!E61</f>
        <v>43.239000000000004</v>
      </c>
      <c r="G70" s="64">
        <f t="shared" si="10"/>
        <v>43.239000000000004</v>
      </c>
      <c r="I70" s="135">
        <f>'Прайс для расчета (М)'!E61</f>
        <v>21.619500000000002</v>
      </c>
      <c r="J70" s="36">
        <f t="shared" si="11"/>
        <v>21.619500000000002</v>
      </c>
    </row>
    <row r="71" spans="2:10" ht="15.6" x14ac:dyDescent="0.25">
      <c r="B71" s="59">
        <f>IF(SUM(B72:B88)&gt;0,1,0)</f>
        <v>0</v>
      </c>
      <c r="C71" s="67" t="s">
        <v>879</v>
      </c>
      <c r="D71" s="61"/>
      <c r="E71" s="62"/>
      <c r="F71" s="63"/>
      <c r="G71" s="64"/>
    </row>
    <row r="72" spans="2:10" ht="15.6" x14ac:dyDescent="0.25">
      <c r="B72" s="59"/>
      <c r="C72" s="65" t="s">
        <v>334</v>
      </c>
      <c r="D72" s="61" t="s">
        <v>3</v>
      </c>
      <c r="E72" s="62">
        <f>$A$2</f>
        <v>0</v>
      </c>
      <c r="F72" s="63">
        <f>'Прайс для расчета'!E62</f>
        <v>110.25</v>
      </c>
      <c r="G72" s="64">
        <f t="shared" ref="G72:G88" si="12">F72*E72</f>
        <v>0</v>
      </c>
      <c r="I72" s="135">
        <f>'Прайс для расчета (М)'!E62</f>
        <v>55.125</v>
      </c>
      <c r="J72" s="36">
        <f t="shared" ref="J72:J88" si="13">I72*E72</f>
        <v>0</v>
      </c>
    </row>
    <row r="73" spans="2:10" ht="15.6" x14ac:dyDescent="0.25">
      <c r="B73" s="59"/>
      <c r="C73" s="65" t="s">
        <v>335</v>
      </c>
      <c r="D73" s="61" t="s">
        <v>2</v>
      </c>
      <c r="E73" s="62">
        <f t="shared" ref="E73:E78" si="14">$A$4</f>
        <v>0</v>
      </c>
      <c r="F73" s="63">
        <f>'Прайс для расчета'!E63</f>
        <v>248.99699999999999</v>
      </c>
      <c r="G73" s="64">
        <f t="shared" si="12"/>
        <v>0</v>
      </c>
      <c r="I73" s="135">
        <f>'Прайс для расчета (М)'!E63</f>
        <v>124.49849999999999</v>
      </c>
      <c r="J73" s="36">
        <f t="shared" si="13"/>
        <v>0</v>
      </c>
    </row>
    <row r="74" spans="2:10" ht="15.6" x14ac:dyDescent="0.25">
      <c r="B74" s="59"/>
      <c r="C74" s="65" t="s">
        <v>336</v>
      </c>
      <c r="D74" s="61" t="s">
        <v>2</v>
      </c>
      <c r="E74" s="62">
        <f t="shared" si="14"/>
        <v>0</v>
      </c>
      <c r="F74" s="63">
        <f>'Прайс для расчета'!E64</f>
        <v>205.75799999999998</v>
      </c>
      <c r="G74" s="64">
        <f t="shared" si="12"/>
        <v>0</v>
      </c>
      <c r="I74" s="135">
        <f>'Прайс для расчета (М)'!E64</f>
        <v>102.87899999999999</v>
      </c>
      <c r="J74" s="36">
        <f t="shared" si="13"/>
        <v>0</v>
      </c>
    </row>
    <row r="75" spans="2:10" ht="15.6" x14ac:dyDescent="0.25">
      <c r="B75" s="59"/>
      <c r="C75" s="65" t="s">
        <v>481</v>
      </c>
      <c r="D75" s="61" t="s">
        <v>2</v>
      </c>
      <c r="E75" s="62">
        <f t="shared" si="14"/>
        <v>0</v>
      </c>
      <c r="F75" s="63">
        <f>'Прайс для расчета'!E65</f>
        <v>155.06400000000002</v>
      </c>
      <c r="G75" s="64">
        <f t="shared" si="12"/>
        <v>0</v>
      </c>
      <c r="I75" s="135">
        <f>'Прайс для расчета (М)'!E65</f>
        <v>77.532000000000011</v>
      </c>
      <c r="J75" s="36">
        <f t="shared" si="13"/>
        <v>0</v>
      </c>
    </row>
    <row r="76" spans="2:10" ht="15.6" x14ac:dyDescent="0.25">
      <c r="B76" s="59"/>
      <c r="C76" s="65" t="s">
        <v>482</v>
      </c>
      <c r="D76" s="61" t="s">
        <v>2</v>
      </c>
      <c r="E76" s="62">
        <f t="shared" si="14"/>
        <v>0</v>
      </c>
      <c r="F76" s="63">
        <f>'Прайс для расчета'!E66</f>
        <v>137.172</v>
      </c>
      <c r="G76" s="64">
        <f t="shared" si="12"/>
        <v>0</v>
      </c>
      <c r="I76" s="135">
        <f>'Прайс для расчета (М)'!E66</f>
        <v>68.585999999999999</v>
      </c>
      <c r="J76" s="36">
        <f t="shared" si="13"/>
        <v>0</v>
      </c>
    </row>
    <row r="77" spans="2:10" ht="15.6" x14ac:dyDescent="0.25">
      <c r="B77" s="59"/>
      <c r="C77" s="65" t="s">
        <v>483</v>
      </c>
      <c r="D77" s="61" t="s">
        <v>2</v>
      </c>
      <c r="E77" s="62">
        <f t="shared" si="14"/>
        <v>0</v>
      </c>
      <c r="F77" s="63">
        <f>'Прайс для расчета'!E67</f>
        <v>86.478000000000009</v>
      </c>
      <c r="G77" s="64">
        <f t="shared" si="12"/>
        <v>0</v>
      </c>
      <c r="I77" s="135">
        <f>'Прайс для расчета (М)'!E67</f>
        <v>43.239000000000004</v>
      </c>
      <c r="J77" s="36">
        <f t="shared" si="13"/>
        <v>0</v>
      </c>
    </row>
    <row r="78" spans="2:10" ht="15.6" x14ac:dyDescent="0.25">
      <c r="B78" s="59"/>
      <c r="C78" s="65" t="s">
        <v>484</v>
      </c>
      <c r="D78" s="61" t="s">
        <v>2</v>
      </c>
      <c r="E78" s="62">
        <f t="shared" si="14"/>
        <v>0</v>
      </c>
      <c r="F78" s="63">
        <f>'Прайс для расчета'!E68</f>
        <v>102.87899999999999</v>
      </c>
      <c r="G78" s="64">
        <f t="shared" si="12"/>
        <v>0</v>
      </c>
      <c r="I78" s="135">
        <f>'Прайс для расчета (М)'!E68</f>
        <v>51.439499999999995</v>
      </c>
      <c r="J78" s="36">
        <f t="shared" si="13"/>
        <v>0</v>
      </c>
    </row>
    <row r="79" spans="2:10" ht="15.6" x14ac:dyDescent="0.25">
      <c r="B79" s="59"/>
      <c r="C79" s="65" t="s">
        <v>337</v>
      </c>
      <c r="D79" s="61" t="s">
        <v>0</v>
      </c>
      <c r="E79" s="62">
        <v>1</v>
      </c>
      <c r="F79" s="63">
        <f>'Прайс для расчета'!E69</f>
        <v>164.01</v>
      </c>
      <c r="G79" s="64">
        <f t="shared" si="12"/>
        <v>164.01</v>
      </c>
      <c r="I79" s="135">
        <f>'Прайс для расчета (М)'!E69</f>
        <v>82.004999999999995</v>
      </c>
      <c r="J79" s="36">
        <f t="shared" si="13"/>
        <v>82.004999999999995</v>
      </c>
    </row>
    <row r="80" spans="2:10" ht="15.6" x14ac:dyDescent="0.25">
      <c r="B80" s="59"/>
      <c r="C80" s="65" t="s">
        <v>661</v>
      </c>
      <c r="D80" s="61" t="s">
        <v>2</v>
      </c>
      <c r="E80" s="62">
        <f>$A$4</f>
        <v>0</v>
      </c>
      <c r="F80" s="63">
        <f>'Прайс для расчета'!E70</f>
        <v>377.22300000000001</v>
      </c>
      <c r="G80" s="64">
        <f t="shared" si="12"/>
        <v>0</v>
      </c>
      <c r="I80" s="135">
        <f>'Прайс для расчета (М)'!E70</f>
        <v>188.61150000000001</v>
      </c>
      <c r="J80" s="36">
        <f t="shared" si="13"/>
        <v>0</v>
      </c>
    </row>
    <row r="81" spans="2:10" ht="15.6" x14ac:dyDescent="0.25">
      <c r="B81" s="59"/>
      <c r="C81" s="65" t="s">
        <v>338</v>
      </c>
      <c r="D81" s="61" t="s">
        <v>3</v>
      </c>
      <c r="E81" s="62">
        <v>1</v>
      </c>
      <c r="F81" s="63">
        <f>'Прайс для расчета'!E71</f>
        <v>274.34399999999999</v>
      </c>
      <c r="G81" s="64">
        <f t="shared" si="12"/>
        <v>274.34399999999999</v>
      </c>
      <c r="I81" s="135">
        <f>'Прайс для расчета (М)'!E71</f>
        <v>137.172</v>
      </c>
      <c r="J81" s="36">
        <f t="shared" si="13"/>
        <v>137.172</v>
      </c>
    </row>
    <row r="82" spans="2:10" ht="15.6" x14ac:dyDescent="0.25">
      <c r="B82" s="59"/>
      <c r="C82" s="65" t="s">
        <v>138</v>
      </c>
      <c r="D82" s="61" t="s">
        <v>3</v>
      </c>
      <c r="E82" s="62">
        <f t="shared" ref="E82:E88" si="15">$A$4</f>
        <v>0</v>
      </c>
      <c r="F82" s="63">
        <f>'Прайс для расчета'!E72</f>
        <v>204.75</v>
      </c>
      <c r="G82" s="64">
        <f t="shared" si="12"/>
        <v>0</v>
      </c>
      <c r="I82" s="135">
        <f>'Прайс для расчета (М)'!E72</f>
        <v>102.375</v>
      </c>
      <c r="J82" s="36">
        <f t="shared" si="13"/>
        <v>0</v>
      </c>
    </row>
    <row r="83" spans="2:10" ht="15.6" x14ac:dyDescent="0.25">
      <c r="B83" s="59"/>
      <c r="C83" s="65" t="s">
        <v>339</v>
      </c>
      <c r="D83" s="61" t="s">
        <v>2</v>
      </c>
      <c r="E83" s="62">
        <f t="shared" si="15"/>
        <v>0</v>
      </c>
      <c r="F83" s="63">
        <f>'Прайс для расчета'!E73</f>
        <v>274.34399999999999</v>
      </c>
      <c r="G83" s="64">
        <f t="shared" si="12"/>
        <v>0</v>
      </c>
      <c r="I83" s="135">
        <f>'Прайс для расчета (М)'!E73</f>
        <v>137.172</v>
      </c>
      <c r="J83" s="36">
        <f t="shared" si="13"/>
        <v>0</v>
      </c>
    </row>
    <row r="84" spans="2:10" ht="15.6" x14ac:dyDescent="0.25">
      <c r="B84" s="59"/>
      <c r="C84" s="65" t="s">
        <v>156</v>
      </c>
      <c r="D84" s="61" t="s">
        <v>2</v>
      </c>
      <c r="E84" s="62">
        <f t="shared" si="15"/>
        <v>0</v>
      </c>
      <c r="F84" s="63">
        <f>'Прайс для расчета'!E74</f>
        <v>223.65</v>
      </c>
      <c r="G84" s="64">
        <f t="shared" si="12"/>
        <v>0</v>
      </c>
      <c r="I84" s="135">
        <f>'Прайс для расчета (М)'!E74</f>
        <v>111.825</v>
      </c>
      <c r="J84" s="36">
        <f t="shared" si="13"/>
        <v>0</v>
      </c>
    </row>
    <row r="85" spans="2:10" ht="15.6" x14ac:dyDescent="0.25">
      <c r="B85" s="59"/>
      <c r="C85" s="65" t="s">
        <v>340</v>
      </c>
      <c r="D85" s="61" t="s">
        <v>2</v>
      </c>
      <c r="E85" s="62">
        <f t="shared" si="15"/>
        <v>0</v>
      </c>
      <c r="F85" s="63">
        <f>'Прайс для расчета'!E75</f>
        <v>506.94</v>
      </c>
      <c r="G85" s="64">
        <f t="shared" si="12"/>
        <v>0</v>
      </c>
      <c r="I85" s="135">
        <f>'Прайс для расчета (М)'!E75</f>
        <v>253.47</v>
      </c>
      <c r="J85" s="36">
        <f t="shared" si="13"/>
        <v>0</v>
      </c>
    </row>
    <row r="86" spans="2:10" ht="15.6" x14ac:dyDescent="0.25">
      <c r="B86" s="59"/>
      <c r="C86" s="65" t="s">
        <v>54</v>
      </c>
      <c r="D86" s="61" t="s">
        <v>2</v>
      </c>
      <c r="E86" s="62">
        <f t="shared" si="15"/>
        <v>0</v>
      </c>
      <c r="F86" s="63">
        <f>'Прайс для расчета'!E76</f>
        <v>591.92700000000002</v>
      </c>
      <c r="G86" s="64">
        <f t="shared" si="12"/>
        <v>0</v>
      </c>
      <c r="I86" s="135">
        <f>'Прайс для расчета (М)'!E76</f>
        <v>295.96350000000001</v>
      </c>
      <c r="J86" s="36">
        <f t="shared" si="13"/>
        <v>0</v>
      </c>
    </row>
    <row r="87" spans="2:10" ht="15.6" x14ac:dyDescent="0.25">
      <c r="B87" s="59"/>
      <c r="C87" s="65" t="s">
        <v>221</v>
      </c>
      <c r="D87" s="61" t="s">
        <v>2</v>
      </c>
      <c r="E87" s="62">
        <f t="shared" si="15"/>
        <v>0</v>
      </c>
      <c r="F87" s="63">
        <f>'Прайс для расчета'!E77</f>
        <v>210</v>
      </c>
      <c r="G87" s="64">
        <f t="shared" si="12"/>
        <v>0</v>
      </c>
      <c r="I87" s="135">
        <f>'Прайс для расчета (М)'!E77</f>
        <v>105</v>
      </c>
      <c r="J87" s="36">
        <f t="shared" si="13"/>
        <v>0</v>
      </c>
    </row>
    <row r="88" spans="2:10" ht="15.6" x14ac:dyDescent="0.25">
      <c r="B88" s="59"/>
      <c r="C88" s="65" t="s">
        <v>157</v>
      </c>
      <c r="D88" s="61" t="s">
        <v>2</v>
      </c>
      <c r="E88" s="62">
        <f t="shared" si="15"/>
        <v>0</v>
      </c>
      <c r="F88" s="63">
        <f>'Прайс для расчета'!E78</f>
        <v>240.05099999999999</v>
      </c>
      <c r="G88" s="64">
        <f t="shared" si="12"/>
        <v>0</v>
      </c>
      <c r="I88" s="135">
        <f>'Прайс для расчета (М)'!E78</f>
        <v>120.02549999999999</v>
      </c>
      <c r="J88" s="36">
        <f t="shared" si="13"/>
        <v>0</v>
      </c>
    </row>
    <row r="89" spans="2:10" ht="15.6" x14ac:dyDescent="0.25">
      <c r="B89" s="59">
        <f>IF(SUM(B90:B98)&gt;0,1,0)</f>
        <v>0</v>
      </c>
      <c r="C89" s="67" t="s">
        <v>880</v>
      </c>
      <c r="D89" s="61"/>
      <c r="E89" s="62"/>
      <c r="F89" s="63"/>
      <c r="G89" s="64"/>
    </row>
    <row r="90" spans="2:10" ht="15.6" x14ac:dyDescent="0.25">
      <c r="B90" s="59"/>
      <c r="C90" s="65" t="s">
        <v>662</v>
      </c>
      <c r="D90" s="61" t="s">
        <v>3</v>
      </c>
      <c r="E90" s="62">
        <v>1</v>
      </c>
      <c r="F90" s="63">
        <f>'Прайс для расчета'!E79</f>
        <v>86.478000000000009</v>
      </c>
      <c r="G90" s="64">
        <f t="shared" ref="G90:G98" si="16">F90*E90</f>
        <v>86.478000000000009</v>
      </c>
      <c r="I90" s="135">
        <f>'Прайс для расчета (М)'!E79</f>
        <v>43.239000000000004</v>
      </c>
      <c r="J90" s="36">
        <f t="shared" ref="J90:J98" si="17">I90*E90</f>
        <v>43.239000000000004</v>
      </c>
    </row>
    <row r="91" spans="2:10" ht="15.6" x14ac:dyDescent="0.25">
      <c r="B91" s="59"/>
      <c r="C91" s="65" t="s">
        <v>485</v>
      </c>
      <c r="D91" s="61" t="s">
        <v>2</v>
      </c>
      <c r="E91" s="62">
        <v>1</v>
      </c>
      <c r="F91" s="63">
        <f>'Прайс для расчета'!E80</f>
        <v>420.46199999999999</v>
      </c>
      <c r="G91" s="64">
        <f t="shared" si="16"/>
        <v>420.46199999999999</v>
      </c>
      <c r="I91" s="135">
        <f>'Прайс для расчета (М)'!E80</f>
        <v>210.23099999999999</v>
      </c>
      <c r="J91" s="36">
        <f t="shared" si="17"/>
        <v>210.23099999999999</v>
      </c>
    </row>
    <row r="92" spans="2:10" ht="15.6" x14ac:dyDescent="0.25">
      <c r="B92" s="59"/>
      <c r="C92" s="65" t="s">
        <v>486</v>
      </c>
      <c r="D92" s="61" t="s">
        <v>2</v>
      </c>
      <c r="E92" s="62">
        <v>1</v>
      </c>
      <c r="F92" s="63">
        <f>'Прайс для расчета'!E81</f>
        <v>591.92700000000002</v>
      </c>
      <c r="G92" s="64">
        <f t="shared" si="16"/>
        <v>591.92700000000002</v>
      </c>
      <c r="I92" s="135">
        <f>'Прайс для расчета (М)'!E81</f>
        <v>295.96350000000001</v>
      </c>
      <c r="J92" s="36">
        <f t="shared" si="17"/>
        <v>295.96350000000001</v>
      </c>
    </row>
    <row r="93" spans="2:10" ht="15.6" x14ac:dyDescent="0.25">
      <c r="B93" s="59"/>
      <c r="C93" s="65" t="s">
        <v>341</v>
      </c>
      <c r="D93" s="61" t="s">
        <v>0</v>
      </c>
      <c r="E93" s="62">
        <v>1</v>
      </c>
      <c r="F93" s="63">
        <f>'Прайс для расчета'!E82</f>
        <v>335.47500000000002</v>
      </c>
      <c r="G93" s="64">
        <f t="shared" si="16"/>
        <v>335.47500000000002</v>
      </c>
      <c r="I93" s="135">
        <f>'Прайс для расчета (М)'!E82</f>
        <v>167.73750000000001</v>
      </c>
      <c r="J93" s="36">
        <f t="shared" si="17"/>
        <v>167.73750000000001</v>
      </c>
    </row>
    <row r="94" spans="2:10" ht="15.6" x14ac:dyDescent="0.25">
      <c r="B94" s="59"/>
      <c r="C94" s="65" t="s">
        <v>61</v>
      </c>
      <c r="D94" s="61" t="s">
        <v>3</v>
      </c>
      <c r="E94" s="62">
        <v>1</v>
      </c>
      <c r="F94" s="63">
        <f>'Прайс для расчета'!E83</f>
        <v>102.87899999999999</v>
      </c>
      <c r="G94" s="64">
        <f t="shared" si="16"/>
        <v>102.87899999999999</v>
      </c>
      <c r="I94" s="135">
        <f>'Прайс для расчета (М)'!E83</f>
        <v>51.439499999999995</v>
      </c>
      <c r="J94" s="36">
        <f t="shared" si="17"/>
        <v>51.439499999999995</v>
      </c>
    </row>
    <row r="95" spans="2:10" ht="15.6" x14ac:dyDescent="0.25">
      <c r="B95" s="59"/>
      <c r="C95" s="65" t="s">
        <v>342</v>
      </c>
      <c r="D95" s="61" t="s">
        <v>2</v>
      </c>
      <c r="E95" s="62">
        <v>1</v>
      </c>
      <c r="F95" s="63">
        <f>'Прайс для расчета'!E84</f>
        <v>644.11199999999997</v>
      </c>
      <c r="G95" s="64">
        <f t="shared" si="16"/>
        <v>644.11199999999997</v>
      </c>
      <c r="I95" s="135">
        <f>'Прайс для расчета (М)'!E84</f>
        <v>322.05599999999998</v>
      </c>
      <c r="J95" s="36">
        <f t="shared" si="17"/>
        <v>322.05599999999998</v>
      </c>
    </row>
    <row r="96" spans="2:10" ht="15.6" x14ac:dyDescent="0.25">
      <c r="B96" s="59"/>
      <c r="C96" s="65" t="s">
        <v>343</v>
      </c>
      <c r="D96" s="61" t="s">
        <v>2</v>
      </c>
      <c r="E96" s="62">
        <v>1</v>
      </c>
      <c r="F96" s="63">
        <f>'Прайс для расчета'!E85</f>
        <v>678.40500000000009</v>
      </c>
      <c r="G96" s="64">
        <f t="shared" si="16"/>
        <v>678.40500000000009</v>
      </c>
      <c r="I96" s="135">
        <f>'Прайс для расчета (М)'!E85</f>
        <v>339.20250000000004</v>
      </c>
      <c r="J96" s="36">
        <f t="shared" si="17"/>
        <v>339.20250000000004</v>
      </c>
    </row>
    <row r="97" spans="2:10" ht="15.6" x14ac:dyDescent="0.25">
      <c r="B97" s="59"/>
      <c r="C97" s="65" t="s">
        <v>663</v>
      </c>
      <c r="D97" s="61" t="s">
        <v>3</v>
      </c>
      <c r="E97" s="62">
        <v>1</v>
      </c>
      <c r="F97" s="63">
        <f>'Прайс для расчета'!E86</f>
        <v>395.11499999999995</v>
      </c>
      <c r="G97" s="64">
        <f t="shared" si="16"/>
        <v>395.11499999999995</v>
      </c>
      <c r="I97" s="135">
        <f>'Прайс для расчета (М)'!E86</f>
        <v>197.55749999999998</v>
      </c>
      <c r="J97" s="36">
        <f t="shared" si="17"/>
        <v>197.55749999999998</v>
      </c>
    </row>
    <row r="98" spans="2:10" ht="15.6" x14ac:dyDescent="0.25">
      <c r="B98" s="59"/>
      <c r="C98" s="65" t="s">
        <v>344</v>
      </c>
      <c r="D98" s="61" t="s">
        <v>2</v>
      </c>
      <c r="E98" s="62">
        <v>1</v>
      </c>
      <c r="F98" s="63">
        <f>'Прайс для расчета'!E87</f>
        <v>849.87</v>
      </c>
      <c r="G98" s="64">
        <f t="shared" si="16"/>
        <v>849.87</v>
      </c>
      <c r="I98" s="135">
        <f>'Прайс для расчета (М)'!E87</f>
        <v>424.935</v>
      </c>
      <c r="J98" s="36">
        <f t="shared" si="17"/>
        <v>424.935</v>
      </c>
    </row>
    <row r="99" spans="2:10" ht="15.6" x14ac:dyDescent="0.25">
      <c r="B99" s="59">
        <f>IF(SUM(B100:B106)&gt;0,1,0)</f>
        <v>0</v>
      </c>
      <c r="C99" s="67" t="s">
        <v>881</v>
      </c>
      <c r="D99" s="61"/>
      <c r="E99" s="62"/>
      <c r="F99" s="63"/>
      <c r="G99" s="64"/>
    </row>
    <row r="100" spans="2:10" ht="15.6" x14ac:dyDescent="0.25">
      <c r="B100" s="59"/>
      <c r="C100" s="65" t="s">
        <v>158</v>
      </c>
      <c r="D100" s="61" t="s">
        <v>2</v>
      </c>
      <c r="E100" s="62">
        <v>1</v>
      </c>
      <c r="F100" s="63">
        <f>'Прайс для расчета'!E88</f>
        <v>987.04200000000003</v>
      </c>
      <c r="G100" s="64">
        <f t="shared" ref="G100:G106" si="18">F100*E100</f>
        <v>987.04200000000003</v>
      </c>
      <c r="I100" s="135">
        <f>'Прайс для расчета (М)'!E88</f>
        <v>493.52100000000002</v>
      </c>
      <c r="J100" s="36">
        <f t="shared" ref="J100:J106" si="19">I100*E100</f>
        <v>493.52100000000002</v>
      </c>
    </row>
    <row r="101" spans="2:10" ht="15.6" x14ac:dyDescent="0.25">
      <c r="B101" s="59"/>
      <c r="C101" s="65" t="s">
        <v>345</v>
      </c>
      <c r="D101" s="61" t="s">
        <v>645</v>
      </c>
      <c r="E101" s="62">
        <f>E7</f>
        <v>0</v>
      </c>
      <c r="F101" s="63">
        <f>'Прайс для расчета'!E89</f>
        <v>248.99699999999999</v>
      </c>
      <c r="G101" s="64">
        <f t="shared" si="18"/>
        <v>0</v>
      </c>
      <c r="I101" s="135">
        <f>'Прайс для расчета (М)'!E89</f>
        <v>124.49849999999999</v>
      </c>
      <c r="J101" s="36">
        <f t="shared" si="19"/>
        <v>0</v>
      </c>
    </row>
    <row r="102" spans="2:10" ht="15.6" x14ac:dyDescent="0.25">
      <c r="B102" s="59"/>
      <c r="C102" s="65" t="s">
        <v>62</v>
      </c>
      <c r="D102" s="61" t="s">
        <v>0</v>
      </c>
      <c r="E102" s="62">
        <v>1</v>
      </c>
      <c r="F102" s="63">
        <f>'Прайс для расчета'!E90</f>
        <v>326.529</v>
      </c>
      <c r="G102" s="64">
        <f t="shared" si="18"/>
        <v>326.529</v>
      </c>
      <c r="I102" s="135">
        <f>'Прайс для расчета (М)'!E90</f>
        <v>163.2645</v>
      </c>
      <c r="J102" s="36">
        <f t="shared" si="19"/>
        <v>163.2645</v>
      </c>
    </row>
    <row r="103" spans="2:10" ht="15.6" x14ac:dyDescent="0.25">
      <c r="B103" s="59"/>
      <c r="C103" s="65" t="s">
        <v>487</v>
      </c>
      <c r="D103" s="61" t="s">
        <v>0</v>
      </c>
      <c r="E103" s="62">
        <v>1</v>
      </c>
      <c r="F103" s="63">
        <f>'Прайс для расчета'!E91</f>
        <v>1698.249</v>
      </c>
      <c r="G103" s="64">
        <f t="shared" si="18"/>
        <v>1698.249</v>
      </c>
      <c r="I103" s="135">
        <f>'Прайс для расчета (М)'!E91</f>
        <v>849.12450000000001</v>
      </c>
      <c r="J103" s="36">
        <f t="shared" si="19"/>
        <v>849.12450000000001</v>
      </c>
    </row>
    <row r="104" spans="2:10" ht="15.6" x14ac:dyDescent="0.25">
      <c r="B104" s="59"/>
      <c r="C104" s="65" t="s">
        <v>346</v>
      </c>
      <c r="D104" s="61" t="s">
        <v>0</v>
      </c>
      <c r="E104" s="62">
        <v>1</v>
      </c>
      <c r="F104" s="63">
        <f>'Прайс для расчета'!E92</f>
        <v>335.47500000000002</v>
      </c>
      <c r="G104" s="64">
        <f t="shared" si="18"/>
        <v>335.47500000000002</v>
      </c>
      <c r="I104" s="135">
        <f>'Прайс для расчета (М)'!E92</f>
        <v>167.73750000000001</v>
      </c>
      <c r="J104" s="36">
        <f t="shared" si="19"/>
        <v>167.73750000000001</v>
      </c>
    </row>
    <row r="105" spans="2:10" ht="15.6" x14ac:dyDescent="0.25">
      <c r="B105" s="59"/>
      <c r="C105" s="65" t="s">
        <v>664</v>
      </c>
      <c r="D105" s="61" t="s">
        <v>645</v>
      </c>
      <c r="E105" s="62">
        <v>1</v>
      </c>
      <c r="F105" s="63">
        <f>'Прайс для расчета'!E93</f>
        <v>240.05099999999999</v>
      </c>
      <c r="G105" s="64">
        <f t="shared" si="18"/>
        <v>240.05099999999999</v>
      </c>
      <c r="I105" s="135">
        <f>'Прайс для расчета (М)'!E93</f>
        <v>120.02549999999999</v>
      </c>
      <c r="J105" s="36">
        <f t="shared" si="19"/>
        <v>120.02549999999999</v>
      </c>
    </row>
    <row r="106" spans="2:10" ht="15.6" x14ac:dyDescent="0.25">
      <c r="B106" s="59"/>
      <c r="C106" s="65" t="s">
        <v>665</v>
      </c>
      <c r="D106" s="61" t="s">
        <v>0</v>
      </c>
      <c r="E106" s="62">
        <v>1</v>
      </c>
      <c r="F106" s="63">
        <f>'Прайс для расчета'!E94</f>
        <v>102.87899999999999</v>
      </c>
      <c r="G106" s="64">
        <f t="shared" si="18"/>
        <v>102.87899999999999</v>
      </c>
      <c r="I106" s="135">
        <f>'Прайс для расчета (М)'!E94</f>
        <v>51.439499999999995</v>
      </c>
      <c r="J106" s="36">
        <f t="shared" si="19"/>
        <v>51.439499999999995</v>
      </c>
    </row>
    <row r="107" spans="2:10" ht="15.6" x14ac:dyDescent="0.25">
      <c r="B107" s="59">
        <f>IF(SUM(B108:B127)&gt;0,1,0)</f>
        <v>0</v>
      </c>
      <c r="C107" s="67" t="s">
        <v>882</v>
      </c>
      <c r="D107" s="61"/>
      <c r="E107" s="62"/>
      <c r="F107" s="63"/>
      <c r="G107" s="64"/>
    </row>
    <row r="108" spans="2:10" ht="15.6" x14ac:dyDescent="0.25">
      <c r="B108" s="59"/>
      <c r="C108" s="65" t="s">
        <v>666</v>
      </c>
      <c r="D108" s="61" t="s">
        <v>0</v>
      </c>
      <c r="E108" s="62">
        <v>1</v>
      </c>
      <c r="F108" s="63">
        <f>'Прайс для расчета'!E95</f>
        <v>472.5</v>
      </c>
      <c r="G108" s="64">
        <f t="shared" ref="G108:G127" si="20">F108*E108</f>
        <v>472.5</v>
      </c>
      <c r="I108" s="135">
        <f>'Прайс для расчета (М)'!E95</f>
        <v>236.25</v>
      </c>
      <c r="J108" s="36">
        <f t="shared" ref="J108:J127" si="21">I108*E108</f>
        <v>236.25</v>
      </c>
    </row>
    <row r="109" spans="2:10" ht="15.6" x14ac:dyDescent="0.25">
      <c r="B109" s="59"/>
      <c r="C109" s="65" t="s">
        <v>159</v>
      </c>
      <c r="D109" s="61" t="s">
        <v>0</v>
      </c>
      <c r="E109" s="62">
        <v>1</v>
      </c>
      <c r="F109" s="63">
        <f>'Прайс для расчета'!E96</f>
        <v>840</v>
      </c>
      <c r="G109" s="64">
        <f t="shared" si="20"/>
        <v>840</v>
      </c>
      <c r="I109" s="135">
        <f>'Прайс для расчета (М)'!E96</f>
        <v>420</v>
      </c>
      <c r="J109" s="36">
        <f t="shared" si="21"/>
        <v>420</v>
      </c>
    </row>
    <row r="110" spans="2:10" ht="15.6" x14ac:dyDescent="0.25">
      <c r="B110" s="59"/>
      <c r="C110" s="65" t="s">
        <v>63</v>
      </c>
      <c r="D110" s="61" t="s">
        <v>2</v>
      </c>
      <c r="E110" s="62">
        <v>1</v>
      </c>
      <c r="F110" s="63">
        <f>'Прайс для расчета'!E97</f>
        <v>420.46199999999999</v>
      </c>
      <c r="G110" s="64">
        <f t="shared" si="20"/>
        <v>420.46199999999999</v>
      </c>
      <c r="I110" s="135">
        <f>'Прайс для расчета (М)'!E97</f>
        <v>210.23099999999999</v>
      </c>
      <c r="J110" s="36">
        <f t="shared" si="21"/>
        <v>210.23099999999999</v>
      </c>
    </row>
    <row r="111" spans="2:10" ht="15.6" x14ac:dyDescent="0.25">
      <c r="B111" s="59"/>
      <c r="C111" s="65" t="s">
        <v>488</v>
      </c>
      <c r="D111" s="61" t="s">
        <v>0</v>
      </c>
      <c r="E111" s="62">
        <v>1</v>
      </c>
      <c r="F111" s="63">
        <f>'Прайс для расчета'!E98</f>
        <v>1021.3349999999999</v>
      </c>
      <c r="G111" s="64">
        <f t="shared" si="20"/>
        <v>1021.3349999999999</v>
      </c>
      <c r="I111" s="135">
        <f>'Прайс для расчета (М)'!E98</f>
        <v>510.66749999999996</v>
      </c>
      <c r="J111" s="36">
        <f t="shared" si="21"/>
        <v>510.66749999999996</v>
      </c>
    </row>
    <row r="112" spans="2:10" ht="15.6" x14ac:dyDescent="0.25">
      <c r="B112" s="59"/>
      <c r="C112" s="65" t="s">
        <v>489</v>
      </c>
      <c r="D112" s="61" t="s">
        <v>0</v>
      </c>
      <c r="E112" s="62">
        <v>1</v>
      </c>
      <c r="F112" s="63">
        <f>'Прайс для расчета'!E99</f>
        <v>4179</v>
      </c>
      <c r="G112" s="64">
        <f t="shared" si="20"/>
        <v>4179</v>
      </c>
      <c r="I112" s="135">
        <f>'Прайс для расчета (М)'!E99</f>
        <v>2089.5</v>
      </c>
      <c r="J112" s="36">
        <f t="shared" si="21"/>
        <v>2089.5</v>
      </c>
    </row>
    <row r="113" spans="2:10" ht="15.6" x14ac:dyDescent="0.25">
      <c r="B113" s="59"/>
      <c r="C113" s="65" t="s">
        <v>490</v>
      </c>
      <c r="D113" s="61" t="s">
        <v>0</v>
      </c>
      <c r="E113" s="62">
        <v>1</v>
      </c>
      <c r="F113" s="63">
        <f>'Прайс для расчета'!E100</f>
        <v>1183.854</v>
      </c>
      <c r="G113" s="64">
        <f t="shared" si="20"/>
        <v>1183.854</v>
      </c>
      <c r="I113" s="135">
        <f>'Прайс для расчета (М)'!E100</f>
        <v>591.92700000000002</v>
      </c>
      <c r="J113" s="36">
        <f t="shared" si="21"/>
        <v>591.92700000000002</v>
      </c>
    </row>
    <row r="114" spans="2:10" ht="15.6" x14ac:dyDescent="0.25">
      <c r="B114" s="59"/>
      <c r="C114" s="65" t="s">
        <v>491</v>
      </c>
      <c r="D114" s="61" t="s">
        <v>0</v>
      </c>
      <c r="E114" s="62">
        <v>1</v>
      </c>
      <c r="F114" s="63">
        <f>'Прайс для расчета'!E101</f>
        <v>3129</v>
      </c>
      <c r="G114" s="64">
        <f t="shared" si="20"/>
        <v>3129</v>
      </c>
      <c r="I114" s="135">
        <f>'Прайс для расчета (М)'!E101</f>
        <v>1564.5</v>
      </c>
      <c r="J114" s="36">
        <f t="shared" si="21"/>
        <v>1564.5</v>
      </c>
    </row>
    <row r="115" spans="2:10" ht="15.6" x14ac:dyDescent="0.25">
      <c r="B115" s="59"/>
      <c r="C115" s="65" t="s">
        <v>667</v>
      </c>
      <c r="D115" s="61" t="s">
        <v>0</v>
      </c>
      <c r="E115" s="62">
        <v>1</v>
      </c>
      <c r="F115" s="63">
        <f>'Прайс для расчета'!E102</f>
        <v>591.92700000000002</v>
      </c>
      <c r="G115" s="64">
        <f t="shared" si="20"/>
        <v>591.92700000000002</v>
      </c>
      <c r="I115" s="135">
        <f>'Прайс для расчета (М)'!E102</f>
        <v>295.96350000000001</v>
      </c>
      <c r="J115" s="36">
        <f t="shared" si="21"/>
        <v>295.96350000000001</v>
      </c>
    </row>
    <row r="116" spans="2:10" ht="15.6" x14ac:dyDescent="0.25">
      <c r="B116" s="59"/>
      <c r="C116" s="65" t="s">
        <v>347</v>
      </c>
      <c r="D116" s="61" t="s">
        <v>0</v>
      </c>
      <c r="E116" s="62">
        <v>1</v>
      </c>
      <c r="F116" s="63">
        <f>'Прайс для расчета'!E103</f>
        <v>678.40500000000009</v>
      </c>
      <c r="G116" s="64">
        <f t="shared" si="20"/>
        <v>678.40500000000009</v>
      </c>
      <c r="I116" s="135">
        <f>'Прайс для расчета (М)'!E103</f>
        <v>339.20250000000004</v>
      </c>
      <c r="J116" s="36">
        <f t="shared" si="21"/>
        <v>339.20250000000004</v>
      </c>
    </row>
    <row r="117" spans="2:10" ht="15.6" x14ac:dyDescent="0.25">
      <c r="B117" s="59"/>
      <c r="C117" s="65" t="s">
        <v>348</v>
      </c>
      <c r="D117" s="61" t="s">
        <v>0</v>
      </c>
      <c r="E117" s="62">
        <v>1</v>
      </c>
      <c r="F117" s="63">
        <f>'Прайс для расчета'!E104</f>
        <v>849.87</v>
      </c>
      <c r="G117" s="64">
        <f t="shared" si="20"/>
        <v>849.87</v>
      </c>
      <c r="I117" s="135">
        <f>'Прайс для расчета (М)'!E104</f>
        <v>424.935</v>
      </c>
      <c r="J117" s="36">
        <f t="shared" si="21"/>
        <v>424.935</v>
      </c>
    </row>
    <row r="118" spans="2:10" ht="15.6" x14ac:dyDescent="0.25">
      <c r="B118" s="59"/>
      <c r="C118" s="65" t="s">
        <v>349</v>
      </c>
      <c r="D118" s="61" t="s">
        <v>0</v>
      </c>
      <c r="E118" s="62">
        <v>1</v>
      </c>
      <c r="F118" s="63">
        <f>'Прайс для расчета'!E105</f>
        <v>849.87</v>
      </c>
      <c r="G118" s="64">
        <f t="shared" si="20"/>
        <v>849.87</v>
      </c>
      <c r="I118" s="135">
        <f>'Прайс для расчета (М)'!E105</f>
        <v>424.935</v>
      </c>
      <c r="J118" s="36">
        <f t="shared" si="21"/>
        <v>424.935</v>
      </c>
    </row>
    <row r="119" spans="2:10" ht="15.6" x14ac:dyDescent="0.25">
      <c r="B119" s="59"/>
      <c r="C119" s="65" t="s">
        <v>668</v>
      </c>
      <c r="D119" s="61" t="s">
        <v>0</v>
      </c>
      <c r="E119" s="62">
        <v>1</v>
      </c>
      <c r="F119" s="63">
        <f>'Прайс для расчета'!E106</f>
        <v>678.40500000000009</v>
      </c>
      <c r="G119" s="64">
        <f t="shared" si="20"/>
        <v>678.40500000000009</v>
      </c>
      <c r="I119" s="135">
        <f>'Прайс для расчета (М)'!E106</f>
        <v>339.20250000000004</v>
      </c>
      <c r="J119" s="36">
        <f t="shared" si="21"/>
        <v>339.20250000000004</v>
      </c>
    </row>
    <row r="120" spans="2:10" ht="15.6" x14ac:dyDescent="0.25">
      <c r="B120" s="59"/>
      <c r="C120" s="65" t="s">
        <v>669</v>
      </c>
      <c r="D120" s="61" t="s">
        <v>0</v>
      </c>
      <c r="E120" s="62">
        <v>1</v>
      </c>
      <c r="F120" s="63">
        <f>'Прайс для расчета'!E107</f>
        <v>1106.3219999999999</v>
      </c>
      <c r="G120" s="64">
        <f t="shared" si="20"/>
        <v>1106.3219999999999</v>
      </c>
      <c r="I120" s="135">
        <f>'Прайс для расчета (М)'!E107</f>
        <v>553.16099999999994</v>
      </c>
      <c r="J120" s="36">
        <f t="shared" si="21"/>
        <v>553.16099999999994</v>
      </c>
    </row>
    <row r="121" spans="2:10" ht="15.6" x14ac:dyDescent="0.25">
      <c r="B121" s="59"/>
      <c r="C121" s="65" t="s">
        <v>670</v>
      </c>
      <c r="D121" s="61" t="s">
        <v>0</v>
      </c>
      <c r="E121" s="62">
        <v>1</v>
      </c>
      <c r="F121" s="63">
        <f>'Прайс для расчета'!E108</f>
        <v>892.5</v>
      </c>
      <c r="G121" s="64">
        <f t="shared" si="20"/>
        <v>892.5</v>
      </c>
      <c r="I121" s="135">
        <f>'Прайс для расчета (М)'!E108</f>
        <v>446.25</v>
      </c>
      <c r="J121" s="36">
        <f t="shared" si="21"/>
        <v>446.25</v>
      </c>
    </row>
    <row r="122" spans="2:10" ht="15.6" x14ac:dyDescent="0.25">
      <c r="B122" s="59"/>
      <c r="C122" s="65" t="s">
        <v>350</v>
      </c>
      <c r="D122" s="61" t="s">
        <v>0</v>
      </c>
      <c r="E122" s="62">
        <v>1</v>
      </c>
      <c r="F122" s="63">
        <f>'Прайс для расчета'!E109</f>
        <v>164.01</v>
      </c>
      <c r="G122" s="64">
        <f t="shared" si="20"/>
        <v>164.01</v>
      </c>
      <c r="I122" s="135">
        <f>'Прайс для расчета (М)'!E109</f>
        <v>82.004999999999995</v>
      </c>
      <c r="J122" s="36">
        <f t="shared" si="21"/>
        <v>82.004999999999995</v>
      </c>
    </row>
    <row r="123" spans="2:10" ht="15.6" x14ac:dyDescent="0.25">
      <c r="B123" s="59"/>
      <c r="C123" s="65" t="s">
        <v>351</v>
      </c>
      <c r="D123" s="61" t="s">
        <v>0</v>
      </c>
      <c r="E123" s="62">
        <v>1</v>
      </c>
      <c r="F123" s="63">
        <f>'Прайс для расчета'!E110</f>
        <v>102.87899999999999</v>
      </c>
      <c r="G123" s="64">
        <f t="shared" si="20"/>
        <v>102.87899999999999</v>
      </c>
      <c r="I123" s="135">
        <f>'Прайс для расчета (М)'!E110</f>
        <v>51.439499999999995</v>
      </c>
      <c r="J123" s="36">
        <f t="shared" si="21"/>
        <v>51.439499999999995</v>
      </c>
    </row>
    <row r="124" spans="2:10" ht="15.6" x14ac:dyDescent="0.25">
      <c r="B124" s="59"/>
      <c r="C124" s="65" t="s">
        <v>352</v>
      </c>
      <c r="D124" s="61" t="s">
        <v>3</v>
      </c>
      <c r="E124" s="62">
        <v>1</v>
      </c>
      <c r="F124" s="63">
        <f>'Прайс для расчета'!E111</f>
        <v>248.99699999999999</v>
      </c>
      <c r="G124" s="64">
        <f t="shared" si="20"/>
        <v>248.99699999999999</v>
      </c>
      <c r="I124" s="135">
        <f>'Прайс для расчета (М)'!E111</f>
        <v>124.49849999999999</v>
      </c>
      <c r="J124" s="36">
        <f t="shared" si="21"/>
        <v>124.49849999999999</v>
      </c>
    </row>
    <row r="125" spans="2:10" ht="15.6" x14ac:dyDescent="0.25">
      <c r="B125" s="59"/>
      <c r="C125" s="65" t="s">
        <v>353</v>
      </c>
      <c r="D125" s="61" t="s">
        <v>3</v>
      </c>
      <c r="E125" s="62">
        <v>1</v>
      </c>
      <c r="F125" s="63">
        <f>'Прайс для расчета'!E112</f>
        <v>395.11499999999995</v>
      </c>
      <c r="G125" s="64">
        <f t="shared" si="20"/>
        <v>395.11499999999995</v>
      </c>
      <c r="I125" s="135">
        <f>'Прайс для расчета (М)'!E112</f>
        <v>197.55749999999998</v>
      </c>
      <c r="J125" s="36">
        <f t="shared" si="21"/>
        <v>197.55749999999998</v>
      </c>
    </row>
    <row r="126" spans="2:10" ht="15.6" x14ac:dyDescent="0.25">
      <c r="B126" s="59"/>
      <c r="C126" s="65" t="s">
        <v>492</v>
      </c>
      <c r="D126" s="61" t="s">
        <v>3</v>
      </c>
      <c r="E126" s="62">
        <v>1</v>
      </c>
      <c r="F126" s="63">
        <f>'Прайс для расчета'!E113</f>
        <v>978.096</v>
      </c>
      <c r="G126" s="64">
        <f t="shared" si="20"/>
        <v>978.096</v>
      </c>
      <c r="I126" s="135">
        <f>'Прайс для расчета (М)'!E113</f>
        <v>489.048</v>
      </c>
      <c r="J126" s="36">
        <f t="shared" si="21"/>
        <v>489.048</v>
      </c>
    </row>
    <row r="127" spans="2:10" ht="15.6" x14ac:dyDescent="0.25">
      <c r="B127" s="59"/>
      <c r="C127" s="65" t="s">
        <v>493</v>
      </c>
      <c r="D127" s="61" t="s">
        <v>3</v>
      </c>
      <c r="E127" s="62">
        <v>1</v>
      </c>
      <c r="F127" s="63">
        <f>'Прайс для расчета'!E114</f>
        <v>1183.854</v>
      </c>
      <c r="G127" s="64">
        <f t="shared" si="20"/>
        <v>1183.854</v>
      </c>
      <c r="I127" s="135">
        <f>'Прайс для расчета (М)'!E114</f>
        <v>591.92700000000002</v>
      </c>
      <c r="J127" s="36">
        <f t="shared" si="21"/>
        <v>591.92700000000002</v>
      </c>
    </row>
    <row r="128" spans="2:10" ht="15.6" x14ac:dyDescent="0.25">
      <c r="B128" s="59">
        <f>IF(SUM(B129:B138)&gt;0,1,0)</f>
        <v>0</v>
      </c>
      <c r="C128" s="67" t="s">
        <v>883</v>
      </c>
      <c r="D128" s="61"/>
      <c r="E128" s="62"/>
      <c r="F128" s="63"/>
      <c r="G128" s="64"/>
    </row>
    <row r="129" spans="2:10" ht="15.6" x14ac:dyDescent="0.25">
      <c r="B129" s="59"/>
      <c r="C129" s="65" t="s">
        <v>354</v>
      </c>
      <c r="D129" s="61" t="s">
        <v>0</v>
      </c>
      <c r="E129" s="62">
        <v>1</v>
      </c>
      <c r="F129" s="63">
        <f>'Прайс для расчета'!E115</f>
        <v>146.11799999999999</v>
      </c>
      <c r="G129" s="64">
        <f t="shared" ref="G129:G138" si="22">F129*E129</f>
        <v>146.11799999999999</v>
      </c>
      <c r="I129" s="135">
        <f>'Прайс для расчета (М)'!E115</f>
        <v>73.058999999999997</v>
      </c>
      <c r="J129" s="36">
        <f t="shared" ref="J129:J138" si="23">I129*E129</f>
        <v>73.058999999999997</v>
      </c>
    </row>
    <row r="130" spans="2:10" ht="15.6" x14ac:dyDescent="0.25">
      <c r="B130" s="59"/>
      <c r="C130" s="65" t="s">
        <v>671</v>
      </c>
      <c r="D130" s="61" t="s">
        <v>0</v>
      </c>
      <c r="E130" s="62">
        <v>1</v>
      </c>
      <c r="F130" s="63">
        <f>'Прайс для расчета'!E116</f>
        <v>164.01</v>
      </c>
      <c r="G130" s="64">
        <f t="shared" si="22"/>
        <v>164.01</v>
      </c>
      <c r="I130" s="135">
        <f>'Прайс для расчета (М)'!E116</f>
        <v>82.004999999999995</v>
      </c>
      <c r="J130" s="36">
        <f t="shared" si="23"/>
        <v>82.004999999999995</v>
      </c>
    </row>
    <row r="131" spans="2:10" ht="15.6" x14ac:dyDescent="0.25">
      <c r="B131" s="59"/>
      <c r="C131" s="65" t="s">
        <v>146</v>
      </c>
      <c r="D131" s="61" t="s">
        <v>0</v>
      </c>
      <c r="E131" s="62">
        <v>1</v>
      </c>
      <c r="F131" s="63">
        <f>'Прайс для расчета'!E117</f>
        <v>335.47500000000002</v>
      </c>
      <c r="G131" s="64">
        <f t="shared" si="22"/>
        <v>335.47500000000002</v>
      </c>
      <c r="I131" s="135">
        <f>'Прайс для расчета (М)'!E117</f>
        <v>167.73750000000001</v>
      </c>
      <c r="J131" s="36">
        <f t="shared" si="23"/>
        <v>167.73750000000001</v>
      </c>
    </row>
    <row r="132" spans="2:10" ht="15.6" x14ac:dyDescent="0.25">
      <c r="B132" s="59"/>
      <c r="C132" s="65" t="s">
        <v>64</v>
      </c>
      <c r="D132" s="61" t="s">
        <v>0</v>
      </c>
      <c r="E132" s="62">
        <v>1</v>
      </c>
      <c r="F132" s="63">
        <f>'Прайс для расчета'!E118</f>
        <v>1021.3349999999999</v>
      </c>
      <c r="G132" s="64">
        <f t="shared" si="22"/>
        <v>1021.3349999999999</v>
      </c>
      <c r="I132" s="135">
        <f>'Прайс для расчета (М)'!E118</f>
        <v>510.66749999999996</v>
      </c>
      <c r="J132" s="36">
        <f t="shared" si="23"/>
        <v>510.66749999999996</v>
      </c>
    </row>
    <row r="133" spans="2:10" ht="15.6" x14ac:dyDescent="0.25">
      <c r="B133" s="59"/>
      <c r="C133" s="65" t="s">
        <v>672</v>
      </c>
      <c r="D133" s="61" t="s">
        <v>645</v>
      </c>
      <c r="E133" s="62">
        <v>1</v>
      </c>
      <c r="F133" s="63">
        <f>'Прайс для расчета'!E119</f>
        <v>34.292999999999999</v>
      </c>
      <c r="G133" s="64">
        <f t="shared" si="22"/>
        <v>34.292999999999999</v>
      </c>
      <c r="I133" s="135">
        <f>'Прайс для расчета (М)'!E119</f>
        <v>17.1465</v>
      </c>
      <c r="J133" s="36">
        <f t="shared" si="23"/>
        <v>17.1465</v>
      </c>
    </row>
    <row r="134" spans="2:10" ht="15.6" x14ac:dyDescent="0.25">
      <c r="B134" s="59"/>
      <c r="C134" s="65" t="s">
        <v>177</v>
      </c>
      <c r="D134" s="61" t="s">
        <v>0</v>
      </c>
      <c r="E134" s="62">
        <v>1</v>
      </c>
      <c r="F134" s="63">
        <f>'Прайс для расчета'!E120</f>
        <v>164.01</v>
      </c>
      <c r="G134" s="64">
        <f t="shared" si="22"/>
        <v>164.01</v>
      </c>
      <c r="I134" s="135">
        <f>'Прайс для расчета (М)'!E120</f>
        <v>82.004999999999995</v>
      </c>
      <c r="J134" s="36">
        <f t="shared" si="23"/>
        <v>82.004999999999995</v>
      </c>
    </row>
    <row r="135" spans="2:10" ht="15.6" x14ac:dyDescent="0.25">
      <c r="B135" s="59"/>
      <c r="C135" s="65" t="s">
        <v>355</v>
      </c>
      <c r="D135" s="61" t="s">
        <v>0</v>
      </c>
      <c r="E135" s="62">
        <v>1</v>
      </c>
      <c r="F135" s="63">
        <f>'Прайс для расчета'!E121</f>
        <v>600.87300000000005</v>
      </c>
      <c r="G135" s="64">
        <f t="shared" si="22"/>
        <v>600.87300000000005</v>
      </c>
      <c r="I135" s="135">
        <f>'Прайс для расчета (М)'!E121</f>
        <v>300.43650000000002</v>
      </c>
      <c r="J135" s="36">
        <f t="shared" si="23"/>
        <v>300.43650000000002</v>
      </c>
    </row>
    <row r="136" spans="2:10" ht="15.6" x14ac:dyDescent="0.25">
      <c r="B136" s="59"/>
      <c r="C136" s="65" t="s">
        <v>494</v>
      </c>
      <c r="D136" s="61" t="s">
        <v>0</v>
      </c>
      <c r="E136" s="62">
        <v>1</v>
      </c>
      <c r="F136" s="63">
        <f>'Прайс для расчета'!E122</f>
        <v>3936.24</v>
      </c>
      <c r="G136" s="64">
        <f t="shared" si="22"/>
        <v>3936.24</v>
      </c>
      <c r="I136" s="135">
        <f>'Прайс для расчета (М)'!E122</f>
        <v>1968.12</v>
      </c>
      <c r="J136" s="36">
        <f t="shared" si="23"/>
        <v>1968.12</v>
      </c>
    </row>
    <row r="137" spans="2:10" ht="15.6" x14ac:dyDescent="0.25">
      <c r="B137" s="59"/>
      <c r="C137" s="65" t="s">
        <v>495</v>
      </c>
      <c r="D137" s="61" t="s">
        <v>0</v>
      </c>
      <c r="E137" s="62">
        <v>1</v>
      </c>
      <c r="F137" s="63">
        <f>'Прайс для расчета'!E123</f>
        <v>5093.2559999999994</v>
      </c>
      <c r="G137" s="64">
        <f t="shared" si="22"/>
        <v>5093.2559999999994</v>
      </c>
      <c r="I137" s="135">
        <f>'Прайс для расчета (М)'!E123</f>
        <v>2546.6279999999997</v>
      </c>
      <c r="J137" s="36">
        <f t="shared" si="23"/>
        <v>2546.6279999999997</v>
      </c>
    </row>
    <row r="138" spans="2:10" ht="15.6" x14ac:dyDescent="0.25">
      <c r="B138" s="59"/>
      <c r="C138" s="65" t="s">
        <v>496</v>
      </c>
      <c r="D138" s="61" t="s">
        <v>0</v>
      </c>
      <c r="E138" s="62">
        <v>1</v>
      </c>
      <c r="F138" s="63">
        <f>'Прайс для расчета'!E124</f>
        <v>4244.8769999999995</v>
      </c>
      <c r="G138" s="64">
        <f t="shared" si="22"/>
        <v>4244.8769999999995</v>
      </c>
      <c r="I138" s="135">
        <f>'Прайс для расчета (М)'!E124</f>
        <v>2122.4384999999997</v>
      </c>
      <c r="J138" s="36">
        <f t="shared" si="23"/>
        <v>2122.4384999999997</v>
      </c>
    </row>
    <row r="139" spans="2:10" ht="15.6" x14ac:dyDescent="0.25">
      <c r="B139" s="110">
        <f>IF(SUM(B10:B138)&gt;0,1,0)</f>
        <v>0</v>
      </c>
      <c r="C139" s="266" t="s">
        <v>497</v>
      </c>
      <c r="D139" s="266"/>
      <c r="E139" s="266"/>
      <c r="F139" s="266"/>
      <c r="G139" s="157">
        <f>SUMIF(B12:B138,1,G12:G138)</f>
        <v>0</v>
      </c>
      <c r="J139" s="36">
        <f>SUMIF(B12:B138,1,J12:J138)</f>
        <v>0</v>
      </c>
    </row>
    <row r="140" spans="2:10" ht="15.6" x14ac:dyDescent="0.25">
      <c r="B140" s="153">
        <f>IF(SUM(B141:B249)&gt;0,1,0)</f>
        <v>0</v>
      </c>
      <c r="C140" s="164" t="s">
        <v>979</v>
      </c>
      <c r="D140" s="154" t="s">
        <v>179</v>
      </c>
      <c r="E140" s="154" t="s">
        <v>180</v>
      </c>
      <c r="F140" s="154" t="s">
        <v>1</v>
      </c>
      <c r="G140" s="154" t="s">
        <v>181</v>
      </c>
      <c r="I140" s="36" t="s">
        <v>1</v>
      </c>
      <c r="J140" s="36" t="s">
        <v>181</v>
      </c>
    </row>
    <row r="141" spans="2:10" ht="15.6" x14ac:dyDescent="0.25">
      <c r="B141" s="59">
        <f>IF(SUM(B142:B166)&gt;0,1,0)</f>
        <v>0</v>
      </c>
      <c r="C141" s="67" t="s">
        <v>877</v>
      </c>
      <c r="D141" s="61"/>
      <c r="E141" s="62"/>
      <c r="F141" s="63"/>
      <c r="G141" s="64"/>
    </row>
    <row r="142" spans="2:10" ht="15.6" x14ac:dyDescent="0.3">
      <c r="B142" s="59"/>
      <c r="C142" s="78" t="s">
        <v>1018</v>
      </c>
      <c r="D142" s="74" t="s">
        <v>2</v>
      </c>
      <c r="E142" s="75">
        <f t="shared" ref="E142:E166" si="24">$A$4</f>
        <v>0</v>
      </c>
      <c r="F142" s="76">
        <f>'Прайс для расчета'!E125</f>
        <v>94.5</v>
      </c>
      <c r="G142" s="64">
        <f t="shared" ref="G142:G166" si="25">F142*E142</f>
        <v>0</v>
      </c>
      <c r="I142" s="135">
        <f>'Прайс для расчета (М)'!E125</f>
        <v>47.25</v>
      </c>
      <c r="J142" s="36">
        <f t="shared" ref="J142:J166" si="26">I142*E142</f>
        <v>0</v>
      </c>
    </row>
    <row r="143" spans="2:10" ht="15.6" x14ac:dyDescent="0.3">
      <c r="B143" s="59"/>
      <c r="C143" s="69" t="s">
        <v>1128</v>
      </c>
      <c r="D143" s="74" t="s">
        <v>2</v>
      </c>
      <c r="E143" s="75">
        <f t="shared" si="24"/>
        <v>0</v>
      </c>
      <c r="F143" s="76">
        <f>'Прайс для расчета'!E126</f>
        <v>157.5</v>
      </c>
      <c r="G143" s="64">
        <f t="shared" si="25"/>
        <v>0</v>
      </c>
      <c r="I143" s="135">
        <f>'Прайс для расчета (М)'!E126</f>
        <v>78.75</v>
      </c>
      <c r="J143" s="36">
        <f t="shared" si="26"/>
        <v>0</v>
      </c>
    </row>
    <row r="144" spans="2:10" ht="15.6" x14ac:dyDescent="0.3">
      <c r="B144" s="59"/>
      <c r="C144" s="78" t="s">
        <v>1019</v>
      </c>
      <c r="D144" s="74" t="s">
        <v>2</v>
      </c>
      <c r="E144" s="75">
        <f t="shared" si="24"/>
        <v>0</v>
      </c>
      <c r="F144" s="76">
        <f>'Прайс для расчета'!E127</f>
        <v>114.45</v>
      </c>
      <c r="G144" s="64">
        <f t="shared" si="25"/>
        <v>0</v>
      </c>
      <c r="I144" s="135">
        <f>'Прайс для расчета (М)'!E127</f>
        <v>57.225000000000001</v>
      </c>
      <c r="J144" s="36">
        <f t="shared" si="26"/>
        <v>0</v>
      </c>
    </row>
    <row r="145" spans="2:10" ht="15.6" x14ac:dyDescent="0.3">
      <c r="B145" s="59"/>
      <c r="C145" s="78" t="s">
        <v>1034</v>
      </c>
      <c r="D145" s="74" t="s">
        <v>2</v>
      </c>
      <c r="E145" s="75">
        <f t="shared" si="24"/>
        <v>0</v>
      </c>
      <c r="F145" s="76">
        <f>'Прайс для расчета'!E128</f>
        <v>0</v>
      </c>
      <c r="G145" s="64">
        <f t="shared" ref="G145" si="27">F145*E145</f>
        <v>0</v>
      </c>
      <c r="I145" s="135">
        <f>'Прайс для расчета (М)'!E128</f>
        <v>0</v>
      </c>
      <c r="J145" s="36">
        <f t="shared" si="26"/>
        <v>0</v>
      </c>
    </row>
    <row r="146" spans="2:10" ht="15.6" x14ac:dyDescent="0.3">
      <c r="B146" s="59"/>
      <c r="C146" s="69" t="s">
        <v>930</v>
      </c>
      <c r="D146" s="74" t="s">
        <v>2</v>
      </c>
      <c r="E146" s="75">
        <f t="shared" si="24"/>
        <v>0</v>
      </c>
      <c r="F146" s="76">
        <f>'Прайс для расчета'!E129</f>
        <v>576.45000000000005</v>
      </c>
      <c r="G146" s="64">
        <f t="shared" si="25"/>
        <v>0</v>
      </c>
      <c r="I146" s="135">
        <f>'Прайс для расчета (М)'!E129</f>
        <v>288.22500000000002</v>
      </c>
      <c r="J146" s="36">
        <f t="shared" si="26"/>
        <v>0</v>
      </c>
    </row>
    <row r="147" spans="2:10" ht="15.6" x14ac:dyDescent="0.3">
      <c r="B147" s="59"/>
      <c r="C147" s="69" t="s">
        <v>931</v>
      </c>
      <c r="D147" s="74" t="s">
        <v>2</v>
      </c>
      <c r="E147" s="75">
        <f t="shared" si="24"/>
        <v>0</v>
      </c>
      <c r="F147" s="76">
        <f>'Прайс для расчета'!E130</f>
        <v>681.45</v>
      </c>
      <c r="G147" s="64">
        <f t="shared" si="25"/>
        <v>0</v>
      </c>
      <c r="I147" s="135">
        <f>'Прайс для расчета (М)'!E130</f>
        <v>340.72500000000002</v>
      </c>
      <c r="J147" s="36">
        <f t="shared" si="26"/>
        <v>0</v>
      </c>
    </row>
    <row r="148" spans="2:10" ht="15.6" x14ac:dyDescent="0.3">
      <c r="B148" s="59"/>
      <c r="C148" s="69" t="s">
        <v>932</v>
      </c>
      <c r="D148" s="74" t="s">
        <v>2</v>
      </c>
      <c r="E148" s="75">
        <f t="shared" si="24"/>
        <v>0</v>
      </c>
      <c r="F148" s="76">
        <f>'Прайс для расчета'!E131</f>
        <v>891.45</v>
      </c>
      <c r="G148" s="64">
        <f t="shared" si="25"/>
        <v>0</v>
      </c>
      <c r="I148" s="135">
        <f>'Прайс для расчета (М)'!E131</f>
        <v>445.72500000000002</v>
      </c>
      <c r="J148" s="36">
        <f t="shared" si="26"/>
        <v>0</v>
      </c>
    </row>
    <row r="149" spans="2:10" ht="15.6" x14ac:dyDescent="0.3">
      <c r="B149" s="59"/>
      <c r="C149" s="69" t="s">
        <v>357</v>
      </c>
      <c r="D149" s="74" t="s">
        <v>2</v>
      </c>
      <c r="E149" s="75">
        <f t="shared" si="24"/>
        <v>0</v>
      </c>
      <c r="F149" s="76">
        <f>'Прайс для расчета'!E132</f>
        <v>996.45</v>
      </c>
      <c r="G149" s="64">
        <f t="shared" si="25"/>
        <v>0</v>
      </c>
      <c r="I149" s="135">
        <f>'Прайс для расчета (М)'!E132</f>
        <v>498.22500000000002</v>
      </c>
      <c r="J149" s="36">
        <f t="shared" si="26"/>
        <v>0</v>
      </c>
    </row>
    <row r="150" spans="2:10" ht="15.6" x14ac:dyDescent="0.3">
      <c r="B150" s="59"/>
      <c r="C150" s="69" t="s">
        <v>1127</v>
      </c>
      <c r="D150" s="74" t="s">
        <v>2</v>
      </c>
      <c r="E150" s="75">
        <f t="shared" si="24"/>
        <v>0</v>
      </c>
      <c r="F150" s="76">
        <f>'Прайс для расчета'!E133</f>
        <v>1101.45</v>
      </c>
      <c r="G150" s="64">
        <f t="shared" si="25"/>
        <v>0</v>
      </c>
      <c r="I150" s="135">
        <f>'Прайс для расчета (М)'!E133</f>
        <v>550.72500000000002</v>
      </c>
      <c r="J150" s="36">
        <f t="shared" si="26"/>
        <v>0</v>
      </c>
    </row>
    <row r="151" spans="2:10" ht="15.6" x14ac:dyDescent="0.3">
      <c r="B151" s="59"/>
      <c r="C151" s="78" t="s">
        <v>151</v>
      </c>
      <c r="D151" s="74" t="s">
        <v>2</v>
      </c>
      <c r="E151" s="75">
        <f t="shared" si="24"/>
        <v>0</v>
      </c>
      <c r="F151" s="76">
        <f>'Прайс для расчета'!E134</f>
        <v>271.95</v>
      </c>
      <c r="G151" s="64">
        <f t="shared" si="25"/>
        <v>0</v>
      </c>
      <c r="I151" s="135">
        <f>'Прайс для расчета (М)'!E134</f>
        <v>135.97499999999999</v>
      </c>
      <c r="J151" s="36">
        <f t="shared" si="26"/>
        <v>0</v>
      </c>
    </row>
    <row r="152" spans="2:10" ht="15.6" x14ac:dyDescent="0.3">
      <c r="B152" s="59"/>
      <c r="C152" s="78" t="s">
        <v>499</v>
      </c>
      <c r="D152" s="74" t="s">
        <v>2</v>
      </c>
      <c r="E152" s="75">
        <f t="shared" si="24"/>
        <v>0</v>
      </c>
      <c r="F152" s="76">
        <f>'Прайс для расчета'!E135</f>
        <v>262.5</v>
      </c>
      <c r="G152" s="64">
        <f t="shared" si="25"/>
        <v>0</v>
      </c>
      <c r="I152" s="135">
        <f>'Прайс для расчета (М)'!E135</f>
        <v>131.25</v>
      </c>
      <c r="J152" s="36">
        <f t="shared" si="26"/>
        <v>0</v>
      </c>
    </row>
    <row r="153" spans="2:10" ht="15.6" x14ac:dyDescent="0.3">
      <c r="B153" s="59"/>
      <c r="C153" s="78" t="s">
        <v>500</v>
      </c>
      <c r="D153" s="74" t="s">
        <v>3</v>
      </c>
      <c r="E153" s="62">
        <f>$A$2</f>
        <v>0</v>
      </c>
      <c r="F153" s="76">
        <f>'Прайс для расчета'!E136</f>
        <v>250.95000000000002</v>
      </c>
      <c r="G153" s="64">
        <f t="shared" si="25"/>
        <v>0</v>
      </c>
      <c r="I153" s="135">
        <f>'Прайс для расчета (М)'!E136</f>
        <v>125.47500000000001</v>
      </c>
      <c r="J153" s="36">
        <f t="shared" si="26"/>
        <v>0</v>
      </c>
    </row>
    <row r="154" spans="2:10" ht="15.6" x14ac:dyDescent="0.3">
      <c r="B154" s="59"/>
      <c r="C154" s="78" t="s">
        <v>1024</v>
      </c>
      <c r="D154" s="74" t="s">
        <v>2</v>
      </c>
      <c r="E154" s="75">
        <f t="shared" si="24"/>
        <v>0</v>
      </c>
      <c r="F154" s="76">
        <f>'Прайс для расчета'!E137</f>
        <v>204.75</v>
      </c>
      <c r="G154" s="64">
        <f t="shared" si="25"/>
        <v>0</v>
      </c>
      <c r="I154" s="135">
        <f>'Прайс для расчета (М)'!E137</f>
        <v>102.375</v>
      </c>
      <c r="J154" s="36">
        <f t="shared" si="26"/>
        <v>0</v>
      </c>
    </row>
    <row r="155" spans="2:10" ht="15.6" x14ac:dyDescent="0.3">
      <c r="B155" s="59"/>
      <c r="C155" s="78" t="s">
        <v>359</v>
      </c>
      <c r="D155" s="74" t="s">
        <v>2</v>
      </c>
      <c r="E155" s="75">
        <f t="shared" si="24"/>
        <v>0</v>
      </c>
      <c r="F155" s="76">
        <f>'Прайс для расчета'!E138</f>
        <v>299.25</v>
      </c>
      <c r="G155" s="64">
        <f t="shared" si="25"/>
        <v>0</v>
      </c>
      <c r="I155" s="135">
        <f>'Прайс для расчета (М)'!E138</f>
        <v>149.625</v>
      </c>
      <c r="J155" s="36">
        <f t="shared" si="26"/>
        <v>0</v>
      </c>
    </row>
    <row r="156" spans="2:10" ht="15.6" x14ac:dyDescent="0.3">
      <c r="B156" s="59"/>
      <c r="C156" s="78" t="s">
        <v>360</v>
      </c>
      <c r="D156" s="74" t="s">
        <v>2</v>
      </c>
      <c r="E156" s="75">
        <f t="shared" si="24"/>
        <v>0</v>
      </c>
      <c r="F156" s="76">
        <f>'Прайс для расчета'!E139</f>
        <v>104.36999999999999</v>
      </c>
      <c r="G156" s="64">
        <f t="shared" si="25"/>
        <v>0</v>
      </c>
      <c r="I156" s="135">
        <f>'Прайс для расчета (М)'!E139</f>
        <v>52.184999999999995</v>
      </c>
      <c r="J156" s="36">
        <f t="shared" si="26"/>
        <v>0</v>
      </c>
    </row>
    <row r="157" spans="2:10" ht="15.6" x14ac:dyDescent="0.3">
      <c r="B157" s="59"/>
      <c r="C157" s="78" t="s">
        <v>361</v>
      </c>
      <c r="D157" s="74" t="s">
        <v>2</v>
      </c>
      <c r="E157" s="75">
        <f t="shared" si="24"/>
        <v>0</v>
      </c>
      <c r="F157" s="76">
        <f>'Прайс для расчета'!E140</f>
        <v>498.75</v>
      </c>
      <c r="G157" s="64">
        <f t="shared" si="25"/>
        <v>0</v>
      </c>
      <c r="I157" s="135">
        <f>'Прайс для расчета (М)'!E140</f>
        <v>249.375</v>
      </c>
      <c r="J157" s="36">
        <f t="shared" si="26"/>
        <v>0</v>
      </c>
    </row>
    <row r="158" spans="2:10" ht="15.6" x14ac:dyDescent="0.3">
      <c r="B158" s="59"/>
      <c r="C158" s="78" t="s">
        <v>501</v>
      </c>
      <c r="D158" s="74" t="s">
        <v>2</v>
      </c>
      <c r="E158" s="75">
        <f t="shared" si="24"/>
        <v>0</v>
      </c>
      <c r="F158" s="76">
        <f>'Прайс для расчета'!E141</f>
        <v>460.95000000000005</v>
      </c>
      <c r="G158" s="64">
        <f t="shared" si="25"/>
        <v>0</v>
      </c>
      <c r="I158" s="135">
        <f>'Прайс для расчета (М)'!E141</f>
        <v>230.47500000000002</v>
      </c>
      <c r="J158" s="36">
        <f t="shared" si="26"/>
        <v>0</v>
      </c>
    </row>
    <row r="159" spans="2:10" ht="15.6" x14ac:dyDescent="0.3">
      <c r="B159" s="59"/>
      <c r="C159" s="78" t="s">
        <v>362</v>
      </c>
      <c r="D159" s="74" t="s">
        <v>2</v>
      </c>
      <c r="E159" s="75">
        <f t="shared" si="24"/>
        <v>0</v>
      </c>
      <c r="F159" s="76">
        <f>'Прайс для расчета'!E142</f>
        <v>1942.5</v>
      </c>
      <c r="G159" s="64">
        <f t="shared" si="25"/>
        <v>0</v>
      </c>
      <c r="I159" s="135">
        <f>'Прайс для расчета (М)'!E142</f>
        <v>971.25</v>
      </c>
      <c r="J159" s="36">
        <f t="shared" si="26"/>
        <v>0</v>
      </c>
    </row>
    <row r="160" spans="2:10" ht="15.6" x14ac:dyDescent="0.3">
      <c r="B160" s="59"/>
      <c r="C160" s="78" t="s">
        <v>227</v>
      </c>
      <c r="D160" s="74" t="s">
        <v>2</v>
      </c>
      <c r="E160" s="75">
        <f t="shared" si="24"/>
        <v>0</v>
      </c>
      <c r="F160" s="76">
        <f>'Прайс для расчета'!E143</f>
        <v>362.25</v>
      </c>
      <c r="G160" s="64">
        <f t="shared" si="25"/>
        <v>0</v>
      </c>
      <c r="I160" s="135">
        <f>'Прайс для расчета (М)'!E143</f>
        <v>181.125</v>
      </c>
      <c r="J160" s="36">
        <f t="shared" si="26"/>
        <v>0</v>
      </c>
    </row>
    <row r="161" spans="2:10" ht="15.6" x14ac:dyDescent="0.3">
      <c r="B161" s="59"/>
      <c r="C161" s="78" t="s">
        <v>224</v>
      </c>
      <c r="D161" s="74" t="s">
        <v>2</v>
      </c>
      <c r="E161" s="75">
        <f t="shared" si="24"/>
        <v>0</v>
      </c>
      <c r="F161" s="76">
        <f>'Прайс для расчета'!E144</f>
        <v>271.95</v>
      </c>
      <c r="G161" s="64">
        <f t="shared" si="25"/>
        <v>0</v>
      </c>
      <c r="I161" s="135">
        <f>'Прайс для расчета (М)'!E144</f>
        <v>135.97499999999999</v>
      </c>
      <c r="J161" s="36">
        <f t="shared" si="26"/>
        <v>0</v>
      </c>
    </row>
    <row r="162" spans="2:10" ht="15.6" x14ac:dyDescent="0.3">
      <c r="B162" s="59"/>
      <c r="C162" s="78" t="s">
        <v>1025</v>
      </c>
      <c r="D162" s="74" t="s">
        <v>2</v>
      </c>
      <c r="E162" s="75">
        <f t="shared" si="24"/>
        <v>0</v>
      </c>
      <c r="F162" s="76">
        <f>'Прайс для расчета'!E145</f>
        <v>509.25</v>
      </c>
      <c r="G162" s="64">
        <f t="shared" si="25"/>
        <v>0</v>
      </c>
      <c r="I162" s="135">
        <f>'Прайс для расчета (М)'!E145</f>
        <v>254.625</v>
      </c>
      <c r="J162" s="36">
        <f t="shared" si="26"/>
        <v>0</v>
      </c>
    </row>
    <row r="163" spans="2:10" ht="15.6" x14ac:dyDescent="0.3">
      <c r="B163" s="59"/>
      <c r="C163" s="78" t="s">
        <v>363</v>
      </c>
      <c r="D163" s="74" t="s">
        <v>3</v>
      </c>
      <c r="E163" s="75">
        <f t="shared" si="24"/>
        <v>0</v>
      </c>
      <c r="F163" s="76">
        <f>'Прайс для расчета'!E146</f>
        <v>472.5</v>
      </c>
      <c r="G163" s="64">
        <f t="shared" si="25"/>
        <v>0</v>
      </c>
      <c r="I163" s="135">
        <f>'Прайс для расчета (М)'!E146</f>
        <v>236.25</v>
      </c>
      <c r="J163" s="36">
        <f t="shared" si="26"/>
        <v>0</v>
      </c>
    </row>
    <row r="164" spans="2:10" ht="15.6" x14ac:dyDescent="0.3">
      <c r="B164" s="59"/>
      <c r="C164" s="78" t="s">
        <v>364</v>
      </c>
      <c r="D164" s="74" t="s">
        <v>2</v>
      </c>
      <c r="E164" s="75">
        <f t="shared" si="24"/>
        <v>0</v>
      </c>
      <c r="F164" s="76">
        <f>'Прайс для расчета'!E147</f>
        <v>404.06100000000004</v>
      </c>
      <c r="G164" s="64">
        <f t="shared" si="25"/>
        <v>0</v>
      </c>
      <c r="I164" s="135">
        <f>'Прайс для расчета (М)'!E147</f>
        <v>202.03050000000002</v>
      </c>
      <c r="J164" s="36">
        <f t="shared" si="26"/>
        <v>0</v>
      </c>
    </row>
    <row r="165" spans="2:10" ht="15.6" x14ac:dyDescent="0.3">
      <c r="B165" s="59"/>
      <c r="C165" s="78" t="s">
        <v>365</v>
      </c>
      <c r="D165" s="74" t="s">
        <v>2</v>
      </c>
      <c r="E165" s="75">
        <f t="shared" si="24"/>
        <v>0</v>
      </c>
      <c r="F165" s="76">
        <f>'Прайс для расчета'!E148</f>
        <v>304.5</v>
      </c>
      <c r="G165" s="64">
        <f t="shared" si="25"/>
        <v>0</v>
      </c>
      <c r="I165" s="135">
        <f>'Прайс для расчета (М)'!E148</f>
        <v>152.25</v>
      </c>
      <c r="J165" s="36">
        <f t="shared" si="26"/>
        <v>0</v>
      </c>
    </row>
    <row r="166" spans="2:10" ht="15.6" x14ac:dyDescent="0.3">
      <c r="B166" s="59"/>
      <c r="C166" s="78" t="s">
        <v>366</v>
      </c>
      <c r="D166" s="74" t="s">
        <v>2</v>
      </c>
      <c r="E166" s="75">
        <f t="shared" si="24"/>
        <v>0</v>
      </c>
      <c r="F166" s="76">
        <f>'Прайс для расчета'!E149</f>
        <v>472.5</v>
      </c>
      <c r="G166" s="64">
        <f t="shared" si="25"/>
        <v>0</v>
      </c>
      <c r="I166" s="135">
        <f>'Прайс для расчета (М)'!E149</f>
        <v>236.25</v>
      </c>
      <c r="J166" s="36">
        <f t="shared" si="26"/>
        <v>0</v>
      </c>
    </row>
    <row r="167" spans="2:10" ht="15.6" x14ac:dyDescent="0.25">
      <c r="B167" s="59">
        <f>IF(SUM(B168:B210)&gt;0,1,0)</f>
        <v>0</v>
      </c>
      <c r="C167" s="67" t="s">
        <v>878</v>
      </c>
      <c r="D167" s="61"/>
      <c r="E167" s="62"/>
      <c r="F167" s="63"/>
      <c r="G167" s="64"/>
    </row>
    <row r="168" spans="2:10" ht="15.6" x14ac:dyDescent="0.3">
      <c r="B168" s="59"/>
      <c r="C168" s="78" t="s">
        <v>1020</v>
      </c>
      <c r="D168" s="74" t="s">
        <v>2</v>
      </c>
      <c r="E168" s="75" t="e">
        <f t="shared" ref="E168:E184" si="28">$A$6</f>
        <v>#REF!</v>
      </c>
      <c r="F168" s="76">
        <f>'Прайс для расчета'!E150</f>
        <v>124.95</v>
      </c>
      <c r="G168" s="64" t="e">
        <f t="shared" ref="G168:G210" si="29">F168*E168</f>
        <v>#REF!</v>
      </c>
      <c r="I168" s="135">
        <f>'Прайс для расчета (М)'!E150</f>
        <v>62.475000000000001</v>
      </c>
      <c r="J168" s="36" t="e">
        <f t="shared" ref="J168:J210" si="30">I168*E168</f>
        <v>#REF!</v>
      </c>
    </row>
    <row r="169" spans="2:10" ht="15.6" x14ac:dyDescent="0.3">
      <c r="B169" s="59"/>
      <c r="C169" s="69" t="s">
        <v>1107</v>
      </c>
      <c r="D169" s="74" t="s">
        <v>2</v>
      </c>
      <c r="E169" s="75" t="e">
        <f t="shared" si="28"/>
        <v>#REF!</v>
      </c>
      <c r="F169" s="76">
        <f>'Прайс для расчета'!E151</f>
        <v>892.5</v>
      </c>
      <c r="G169" s="64" t="e">
        <f t="shared" ref="G169" si="31">F169*E169</f>
        <v>#REF!</v>
      </c>
      <c r="I169" s="135">
        <f>'Прайс для расчета (М)'!E151</f>
        <v>446.25</v>
      </c>
      <c r="J169" s="36" t="e">
        <f t="shared" si="30"/>
        <v>#REF!</v>
      </c>
    </row>
    <row r="170" spans="2:10" ht="15.6" x14ac:dyDescent="0.3">
      <c r="B170" s="59"/>
      <c r="C170" s="69" t="s">
        <v>1108</v>
      </c>
      <c r="D170" s="74" t="s">
        <v>2</v>
      </c>
      <c r="E170" s="75" t="e">
        <f t="shared" si="28"/>
        <v>#REF!</v>
      </c>
      <c r="F170" s="76">
        <f>'Прайс для расчета'!E152</f>
        <v>1207.5</v>
      </c>
      <c r="G170" s="64" t="e">
        <f t="shared" si="29"/>
        <v>#REF!</v>
      </c>
      <c r="I170" s="135">
        <f>'Прайс для расчета (М)'!E152</f>
        <v>603.75</v>
      </c>
      <c r="J170" s="36" t="e">
        <f t="shared" si="30"/>
        <v>#REF!</v>
      </c>
    </row>
    <row r="171" spans="2:10" ht="15.6" x14ac:dyDescent="0.3">
      <c r="B171" s="59"/>
      <c r="C171" s="69" t="s">
        <v>1109</v>
      </c>
      <c r="D171" s="74" t="s">
        <v>2</v>
      </c>
      <c r="E171" s="75" t="e">
        <f t="shared" si="28"/>
        <v>#REF!</v>
      </c>
      <c r="F171" s="76">
        <f>'Прайс для расчета'!E153</f>
        <v>624.75</v>
      </c>
      <c r="G171" s="64" t="e">
        <f t="shared" si="29"/>
        <v>#REF!</v>
      </c>
      <c r="I171" s="135">
        <f>'Прайс для расчета (М)'!E153</f>
        <v>312.375</v>
      </c>
      <c r="J171" s="36" t="e">
        <f t="shared" si="30"/>
        <v>#REF!</v>
      </c>
    </row>
    <row r="172" spans="2:10" ht="15.6" x14ac:dyDescent="0.3">
      <c r="B172" s="59"/>
      <c r="C172" s="69" t="s">
        <v>1110</v>
      </c>
      <c r="D172" s="74" t="s">
        <v>2</v>
      </c>
      <c r="E172" s="75" t="e">
        <f t="shared" si="28"/>
        <v>#REF!</v>
      </c>
      <c r="F172" s="76">
        <f>'Прайс для расчета'!E154</f>
        <v>729.75</v>
      </c>
      <c r="G172" s="64" t="e">
        <f t="shared" si="29"/>
        <v>#REF!</v>
      </c>
      <c r="I172" s="135">
        <f>'Прайс для расчета (М)'!E154</f>
        <v>364.875</v>
      </c>
      <c r="J172" s="36" t="e">
        <f t="shared" si="30"/>
        <v>#REF!</v>
      </c>
    </row>
    <row r="173" spans="2:10" ht="15.6" x14ac:dyDescent="0.3">
      <c r="B173" s="59"/>
      <c r="C173" s="69" t="s">
        <v>1115</v>
      </c>
      <c r="D173" s="74" t="s">
        <v>2</v>
      </c>
      <c r="E173" s="75" t="e">
        <f t="shared" si="28"/>
        <v>#REF!</v>
      </c>
      <c r="F173" s="76">
        <f>'Прайс для расчета'!E155</f>
        <v>943.95</v>
      </c>
      <c r="G173" s="64" t="e">
        <f t="shared" si="29"/>
        <v>#REF!</v>
      </c>
      <c r="I173" s="135">
        <f>'Прайс для расчета (М)'!E155</f>
        <v>471.97500000000002</v>
      </c>
      <c r="J173" s="36" t="e">
        <f t="shared" si="30"/>
        <v>#REF!</v>
      </c>
    </row>
    <row r="174" spans="2:10" ht="15.6" x14ac:dyDescent="0.3">
      <c r="B174" s="59"/>
      <c r="C174" s="78" t="s">
        <v>1028</v>
      </c>
      <c r="D174" s="74" t="s">
        <v>2</v>
      </c>
      <c r="E174" s="75" t="e">
        <f t="shared" si="28"/>
        <v>#REF!</v>
      </c>
      <c r="F174" s="76">
        <f>'Прайс для расчета'!E156</f>
        <v>787.5</v>
      </c>
      <c r="G174" s="64" t="e">
        <f t="shared" si="29"/>
        <v>#REF!</v>
      </c>
      <c r="I174" s="135">
        <f>'Прайс для расчета (М)'!E156</f>
        <v>393.75</v>
      </c>
      <c r="J174" s="36" t="e">
        <f t="shared" si="30"/>
        <v>#REF!</v>
      </c>
    </row>
    <row r="175" spans="2:10" ht="15.6" x14ac:dyDescent="0.3">
      <c r="B175" s="59"/>
      <c r="C175" s="78" t="s">
        <v>1029</v>
      </c>
      <c r="D175" s="74" t="s">
        <v>3</v>
      </c>
      <c r="E175" s="75" t="e">
        <f t="shared" si="28"/>
        <v>#REF!</v>
      </c>
      <c r="F175" s="76">
        <f>'Прайс для расчета'!E157</f>
        <v>651</v>
      </c>
      <c r="G175" s="64" t="e">
        <f t="shared" si="29"/>
        <v>#REF!</v>
      </c>
      <c r="I175" s="135">
        <f>'Прайс для расчета (М)'!E157</f>
        <v>325.5</v>
      </c>
      <c r="J175" s="36" t="e">
        <f t="shared" si="30"/>
        <v>#REF!</v>
      </c>
    </row>
    <row r="176" spans="2:10" ht="15.6" x14ac:dyDescent="0.3">
      <c r="B176" s="59"/>
      <c r="C176" s="78" t="s">
        <v>674</v>
      </c>
      <c r="D176" s="74" t="s">
        <v>2</v>
      </c>
      <c r="E176" s="75" t="e">
        <f t="shared" si="28"/>
        <v>#REF!</v>
      </c>
      <c r="F176" s="76">
        <f>'Прайс для расчета'!E158</f>
        <v>267.75</v>
      </c>
      <c r="G176" s="64" t="e">
        <f t="shared" si="29"/>
        <v>#REF!</v>
      </c>
      <c r="I176" s="135">
        <f>'Прайс для расчета (М)'!E158</f>
        <v>133.875</v>
      </c>
      <c r="J176" s="36" t="e">
        <f t="shared" si="30"/>
        <v>#REF!</v>
      </c>
    </row>
    <row r="177" spans="2:10" ht="15.6" x14ac:dyDescent="0.3">
      <c r="B177" s="59"/>
      <c r="C177" s="200" t="s">
        <v>997</v>
      </c>
      <c r="D177" s="74" t="s">
        <v>2</v>
      </c>
      <c r="E177" s="75" t="e">
        <f t="shared" si="28"/>
        <v>#REF!</v>
      </c>
      <c r="F177" s="76">
        <f>'Прайс для расчета'!E159</f>
        <v>2992.5</v>
      </c>
      <c r="G177" s="64" t="e">
        <f t="shared" si="29"/>
        <v>#REF!</v>
      </c>
      <c r="I177" s="135">
        <f>'Прайс для расчета (М)'!E159</f>
        <v>1496.25</v>
      </c>
      <c r="J177" s="36" t="e">
        <f t="shared" si="30"/>
        <v>#REF!</v>
      </c>
    </row>
    <row r="178" spans="2:10" ht="15.6" x14ac:dyDescent="0.3">
      <c r="B178" s="59"/>
      <c r="C178" s="69" t="s">
        <v>1021</v>
      </c>
      <c r="D178" s="74" t="s">
        <v>2</v>
      </c>
      <c r="E178" s="75" t="e">
        <f t="shared" si="28"/>
        <v>#REF!</v>
      </c>
      <c r="F178" s="76">
        <f>'Прайс для расчета'!E160</f>
        <v>94.5</v>
      </c>
      <c r="G178" s="64" t="e">
        <f t="shared" si="29"/>
        <v>#REF!</v>
      </c>
      <c r="I178" s="135">
        <f>'Прайс для расчета (М)'!E160</f>
        <v>47.25</v>
      </c>
      <c r="J178" s="36" t="e">
        <f t="shared" si="30"/>
        <v>#REF!</v>
      </c>
    </row>
    <row r="179" spans="2:10" ht="15.6" x14ac:dyDescent="0.3">
      <c r="B179" s="59"/>
      <c r="C179" s="69" t="s">
        <v>1125</v>
      </c>
      <c r="D179" s="74" t="s">
        <v>2</v>
      </c>
      <c r="E179" s="75" t="e">
        <f t="shared" si="28"/>
        <v>#REF!</v>
      </c>
      <c r="F179" s="76">
        <f>'Прайс для расчета'!E161</f>
        <v>157.5</v>
      </c>
      <c r="G179" s="64" t="e">
        <f t="shared" ref="G179" si="32">F179*E179</f>
        <v>#REF!</v>
      </c>
      <c r="I179" s="135">
        <f>'Прайс для расчета (М)'!E161</f>
        <v>78.75</v>
      </c>
      <c r="J179" s="36" t="e">
        <f t="shared" si="30"/>
        <v>#REF!</v>
      </c>
    </row>
    <row r="180" spans="2:10" ht="15.6" x14ac:dyDescent="0.3">
      <c r="B180" s="59"/>
      <c r="C180" s="69" t="s">
        <v>1126</v>
      </c>
      <c r="D180" s="74" t="s">
        <v>2</v>
      </c>
      <c r="E180" s="75" t="e">
        <f t="shared" si="28"/>
        <v>#REF!</v>
      </c>
      <c r="F180" s="76">
        <f>'Прайс для расчета'!E162</f>
        <v>519.75</v>
      </c>
      <c r="G180" s="64" t="e">
        <f t="shared" si="29"/>
        <v>#REF!</v>
      </c>
      <c r="I180" s="135">
        <f>'Прайс для расчета (М)'!E162</f>
        <v>259.875</v>
      </c>
      <c r="J180" s="36" t="e">
        <f t="shared" si="30"/>
        <v>#REF!</v>
      </c>
    </row>
    <row r="181" spans="2:10" ht="15.6" x14ac:dyDescent="0.3">
      <c r="B181" s="59"/>
      <c r="C181" s="69" t="s">
        <v>1119</v>
      </c>
      <c r="D181" s="74" t="s">
        <v>2</v>
      </c>
      <c r="E181" s="75" t="e">
        <f t="shared" si="28"/>
        <v>#REF!</v>
      </c>
      <c r="F181" s="76">
        <f>'Прайс для расчета'!E163</f>
        <v>687.75</v>
      </c>
      <c r="G181" s="64" t="e">
        <f t="shared" si="29"/>
        <v>#REF!</v>
      </c>
      <c r="I181" s="135">
        <f>'Прайс для расчета (М)'!E163</f>
        <v>343.875</v>
      </c>
      <c r="J181" s="36" t="e">
        <f t="shared" si="30"/>
        <v>#REF!</v>
      </c>
    </row>
    <row r="182" spans="2:10" ht="15.6" x14ac:dyDescent="0.3">
      <c r="B182" s="59"/>
      <c r="C182" s="69" t="s">
        <v>1121</v>
      </c>
      <c r="D182" s="74" t="s">
        <v>2</v>
      </c>
      <c r="E182" s="75" t="e">
        <f t="shared" si="28"/>
        <v>#REF!</v>
      </c>
      <c r="F182" s="76">
        <f>'Прайс для расчета'!E164</f>
        <v>420</v>
      </c>
      <c r="G182" s="64" t="e">
        <f t="shared" si="29"/>
        <v>#REF!</v>
      </c>
      <c r="I182" s="135">
        <f>'Прайс для расчета (М)'!E164</f>
        <v>210</v>
      </c>
      <c r="J182" s="36" t="e">
        <f t="shared" si="30"/>
        <v>#REF!</v>
      </c>
    </row>
    <row r="183" spans="2:10" ht="15.6" x14ac:dyDescent="0.3">
      <c r="B183" s="59"/>
      <c r="C183" s="69" t="s">
        <v>1122</v>
      </c>
      <c r="D183" s="74" t="s">
        <v>2</v>
      </c>
      <c r="E183" s="75" t="e">
        <f t="shared" si="28"/>
        <v>#REF!</v>
      </c>
      <c r="F183" s="76">
        <f>'Прайс для расчета'!E165</f>
        <v>829.5</v>
      </c>
      <c r="G183" s="64" t="e">
        <f t="shared" si="29"/>
        <v>#REF!</v>
      </c>
      <c r="I183" s="135">
        <f>'Прайс для расчета (М)'!E165</f>
        <v>414.75</v>
      </c>
      <c r="J183" s="36" t="e">
        <f t="shared" si="30"/>
        <v>#REF!</v>
      </c>
    </row>
    <row r="184" spans="2:10" ht="15.6" x14ac:dyDescent="0.3">
      <c r="B184" s="59"/>
      <c r="C184" s="69" t="s">
        <v>1120</v>
      </c>
      <c r="D184" s="74" t="s">
        <v>2</v>
      </c>
      <c r="E184" s="75" t="e">
        <f t="shared" si="28"/>
        <v>#REF!</v>
      </c>
      <c r="F184" s="76">
        <f>'Прайс для расчета'!E166</f>
        <v>204.75</v>
      </c>
      <c r="G184" s="64" t="e">
        <f t="shared" si="29"/>
        <v>#REF!</v>
      </c>
      <c r="I184" s="135">
        <f>'Прайс для расчета (М)'!E166</f>
        <v>102.375</v>
      </c>
      <c r="J184" s="36" t="e">
        <f t="shared" si="30"/>
        <v>#REF!</v>
      </c>
    </row>
    <row r="185" spans="2:10" ht="15.6" x14ac:dyDescent="0.3">
      <c r="B185" s="59"/>
      <c r="C185" s="69" t="s">
        <v>1105</v>
      </c>
      <c r="D185" s="74" t="s">
        <v>3</v>
      </c>
      <c r="E185" s="75">
        <v>1</v>
      </c>
      <c r="F185" s="76">
        <f>'Прайс для расчета'!E167</f>
        <v>157.5</v>
      </c>
      <c r="G185" s="64">
        <f t="shared" si="29"/>
        <v>157.5</v>
      </c>
      <c r="I185" s="135">
        <f>'Прайс для расчета (М)'!E167</f>
        <v>78.75</v>
      </c>
      <c r="J185" s="36">
        <f t="shared" si="30"/>
        <v>78.75</v>
      </c>
    </row>
    <row r="186" spans="2:10" ht="15.6" x14ac:dyDescent="0.3">
      <c r="B186" s="59"/>
      <c r="C186" s="69" t="s">
        <v>1106</v>
      </c>
      <c r="D186" s="74" t="s">
        <v>3</v>
      </c>
      <c r="E186" s="75">
        <v>1</v>
      </c>
      <c r="F186" s="76">
        <f>'Прайс для расчета'!E168</f>
        <v>157.5</v>
      </c>
      <c r="G186" s="64">
        <f t="shared" si="29"/>
        <v>157.5</v>
      </c>
      <c r="I186" s="135">
        <f>'Прайс для расчета (М)'!E168</f>
        <v>78.75</v>
      </c>
      <c r="J186" s="36">
        <f t="shared" si="30"/>
        <v>78.75</v>
      </c>
    </row>
    <row r="187" spans="2:10" ht="15.6" x14ac:dyDescent="0.3">
      <c r="B187" s="59"/>
      <c r="C187" s="69" t="s">
        <v>1117</v>
      </c>
      <c r="D187" s="74" t="s">
        <v>2</v>
      </c>
      <c r="E187" s="75" t="e">
        <f t="shared" ref="E187:E193" si="33">$A$6</f>
        <v>#REF!</v>
      </c>
      <c r="F187" s="76">
        <f>'Прайс для расчета'!E169</f>
        <v>204.75</v>
      </c>
      <c r="G187" s="64" t="e">
        <f t="shared" si="29"/>
        <v>#REF!</v>
      </c>
      <c r="I187" s="135">
        <f>'Прайс для расчета (М)'!E169</f>
        <v>102.375</v>
      </c>
      <c r="J187" s="36" t="e">
        <f t="shared" si="30"/>
        <v>#REF!</v>
      </c>
    </row>
    <row r="188" spans="2:10" ht="15.6" x14ac:dyDescent="0.3">
      <c r="B188" s="59"/>
      <c r="C188" s="69" t="s">
        <v>1116</v>
      </c>
      <c r="D188" s="74" t="s">
        <v>2</v>
      </c>
      <c r="E188" s="75" t="e">
        <f t="shared" si="33"/>
        <v>#REF!</v>
      </c>
      <c r="F188" s="76">
        <f>'Прайс для расчета'!E170</f>
        <v>204.75</v>
      </c>
      <c r="G188" s="64" t="e">
        <f t="shared" si="29"/>
        <v>#REF!</v>
      </c>
      <c r="I188" s="135">
        <f>'Прайс для расчета (М)'!E170</f>
        <v>102.375</v>
      </c>
      <c r="J188" s="36" t="e">
        <f t="shared" si="30"/>
        <v>#REF!</v>
      </c>
    </row>
    <row r="189" spans="2:10" ht="15.6" x14ac:dyDescent="0.3">
      <c r="B189" s="59"/>
      <c r="C189" s="78" t="s">
        <v>376</v>
      </c>
      <c r="D189" s="74" t="s">
        <v>2</v>
      </c>
      <c r="E189" s="75" t="e">
        <f t="shared" si="33"/>
        <v>#REF!</v>
      </c>
      <c r="F189" s="76">
        <f>'Прайс для расчета'!E171</f>
        <v>1559.586</v>
      </c>
      <c r="G189" s="64" t="e">
        <f t="shared" si="29"/>
        <v>#REF!</v>
      </c>
      <c r="I189" s="135">
        <f>'Прайс для расчета (М)'!E171</f>
        <v>779.79300000000001</v>
      </c>
      <c r="J189" s="36" t="e">
        <f t="shared" si="30"/>
        <v>#REF!</v>
      </c>
    </row>
    <row r="190" spans="2:10" ht="15.6" x14ac:dyDescent="0.3">
      <c r="B190" s="59"/>
      <c r="C190" s="78" t="s">
        <v>377</v>
      </c>
      <c r="D190" s="74" t="s">
        <v>2</v>
      </c>
      <c r="E190" s="75" t="e">
        <f t="shared" si="33"/>
        <v>#REF!</v>
      </c>
      <c r="F190" s="76">
        <f>'Прайс для расчета'!E172</f>
        <v>1616.2440000000001</v>
      </c>
      <c r="G190" s="64" t="e">
        <f t="shared" si="29"/>
        <v>#REF!</v>
      </c>
      <c r="I190" s="135">
        <f>'Прайс для расчета (М)'!E172</f>
        <v>808.12200000000007</v>
      </c>
      <c r="J190" s="36" t="e">
        <f t="shared" si="30"/>
        <v>#REF!</v>
      </c>
    </row>
    <row r="191" spans="2:10" ht="15.6" x14ac:dyDescent="0.3">
      <c r="B191" s="59"/>
      <c r="C191" s="78" t="s">
        <v>378</v>
      </c>
      <c r="D191" s="74" t="s">
        <v>2</v>
      </c>
      <c r="E191" s="75" t="e">
        <f t="shared" si="33"/>
        <v>#REF!</v>
      </c>
      <c r="F191" s="76">
        <f>'Прайс для расчета'!E173</f>
        <v>1131.6690000000001</v>
      </c>
      <c r="G191" s="64" t="e">
        <f t="shared" si="29"/>
        <v>#REF!</v>
      </c>
      <c r="I191" s="135">
        <f>'Прайс для расчета (М)'!E173</f>
        <v>565.83450000000005</v>
      </c>
      <c r="J191" s="36" t="e">
        <f t="shared" si="30"/>
        <v>#REF!</v>
      </c>
    </row>
    <row r="192" spans="2:10" ht="15.6" x14ac:dyDescent="0.3">
      <c r="B192" s="59"/>
      <c r="C192" s="78" t="s">
        <v>379</v>
      </c>
      <c r="D192" s="74" t="s">
        <v>2</v>
      </c>
      <c r="E192" s="75" t="e">
        <f t="shared" si="33"/>
        <v>#REF!</v>
      </c>
      <c r="F192" s="76">
        <f>'Прайс для расчета'!E174</f>
        <v>1191.309</v>
      </c>
      <c r="G192" s="64" t="e">
        <f t="shared" si="29"/>
        <v>#REF!</v>
      </c>
      <c r="I192" s="135">
        <f>'Прайс для расчета (М)'!E174</f>
        <v>595.65449999999998</v>
      </c>
      <c r="J192" s="36" t="e">
        <f t="shared" si="30"/>
        <v>#REF!</v>
      </c>
    </row>
    <row r="193" spans="2:10" ht="15.6" x14ac:dyDescent="0.3">
      <c r="B193" s="59"/>
      <c r="C193" s="78" t="s">
        <v>380</v>
      </c>
      <c r="D193" s="74" t="s">
        <v>2</v>
      </c>
      <c r="E193" s="75" t="e">
        <f t="shared" si="33"/>
        <v>#REF!</v>
      </c>
      <c r="F193" s="76">
        <f>'Прайс для расчета'!E175</f>
        <v>1265.8589999999999</v>
      </c>
      <c r="G193" s="64" t="e">
        <f t="shared" si="29"/>
        <v>#REF!</v>
      </c>
      <c r="I193" s="135">
        <f>'Прайс для расчета (М)'!E175</f>
        <v>632.92949999999996</v>
      </c>
      <c r="J193" s="36" t="e">
        <f t="shared" si="30"/>
        <v>#REF!</v>
      </c>
    </row>
    <row r="194" spans="2:10" ht="15.6" x14ac:dyDescent="0.3">
      <c r="B194" s="59"/>
      <c r="C194" s="78" t="s">
        <v>1045</v>
      </c>
      <c r="D194" s="74" t="s">
        <v>0</v>
      </c>
      <c r="E194" s="75">
        <v>1</v>
      </c>
      <c r="F194" s="76">
        <f>'Прайс для расчета'!E176</f>
        <v>1417.5</v>
      </c>
      <c r="G194" s="64">
        <f t="shared" si="29"/>
        <v>1417.5</v>
      </c>
      <c r="I194" s="135">
        <f>'Прайс для расчета (М)'!E176</f>
        <v>708.75</v>
      </c>
      <c r="J194" s="36">
        <f t="shared" si="30"/>
        <v>708.75</v>
      </c>
    </row>
    <row r="195" spans="2:10" ht="15.6" x14ac:dyDescent="0.3">
      <c r="B195" s="59"/>
      <c r="C195" s="78" t="s">
        <v>1047</v>
      </c>
      <c r="D195" s="74" t="s">
        <v>0</v>
      </c>
      <c r="E195" s="75">
        <v>1</v>
      </c>
      <c r="F195" s="76">
        <f>'Прайс для расчета'!E177</f>
        <v>1837.5</v>
      </c>
      <c r="G195" s="64">
        <f t="shared" si="29"/>
        <v>1837.5</v>
      </c>
      <c r="I195" s="135">
        <f>'Прайс для расчета (М)'!E177</f>
        <v>918.75</v>
      </c>
      <c r="J195" s="36">
        <f t="shared" si="30"/>
        <v>918.75</v>
      </c>
    </row>
    <row r="196" spans="2:10" ht="15.6" x14ac:dyDescent="0.3">
      <c r="B196" s="59"/>
      <c r="C196" s="78" t="s">
        <v>381</v>
      </c>
      <c r="D196" s="74" t="s">
        <v>3</v>
      </c>
      <c r="E196" s="75">
        <v>1</v>
      </c>
      <c r="F196" s="76">
        <f>'Прайс для расчета'!E178</f>
        <v>183.75</v>
      </c>
      <c r="G196" s="64">
        <f t="shared" si="29"/>
        <v>183.75</v>
      </c>
      <c r="I196" s="135">
        <f>'Прайс для расчета (М)'!E178</f>
        <v>91.875</v>
      </c>
      <c r="J196" s="36">
        <f t="shared" si="30"/>
        <v>91.875</v>
      </c>
    </row>
    <row r="197" spans="2:10" ht="15.6" x14ac:dyDescent="0.3">
      <c r="B197" s="59"/>
      <c r="C197" s="78" t="s">
        <v>382</v>
      </c>
      <c r="D197" s="74" t="s">
        <v>3</v>
      </c>
      <c r="E197" s="75">
        <v>1</v>
      </c>
      <c r="F197" s="76">
        <f>'Прайс для расчета'!E179</f>
        <v>367.5</v>
      </c>
      <c r="G197" s="64">
        <f t="shared" si="29"/>
        <v>367.5</v>
      </c>
      <c r="I197" s="135">
        <f>'Прайс для расчета (М)'!E179</f>
        <v>183.75</v>
      </c>
      <c r="J197" s="36">
        <f t="shared" si="30"/>
        <v>183.75</v>
      </c>
    </row>
    <row r="198" spans="2:10" ht="15.6" x14ac:dyDescent="0.3">
      <c r="B198" s="59"/>
      <c r="C198" s="78" t="s">
        <v>508</v>
      </c>
      <c r="D198" s="74" t="s">
        <v>2</v>
      </c>
      <c r="E198" s="75" t="e">
        <f t="shared" ref="E198:E203" si="34">$A$6</f>
        <v>#REF!</v>
      </c>
      <c r="F198" s="76">
        <f>'Прайс для расчета'!E180</f>
        <v>481.95000000000005</v>
      </c>
      <c r="G198" s="64" t="e">
        <f t="shared" si="29"/>
        <v>#REF!</v>
      </c>
      <c r="I198" s="135">
        <f>'Прайс для расчета (М)'!E180</f>
        <v>240.97500000000002</v>
      </c>
      <c r="J198" s="36" t="e">
        <f t="shared" si="30"/>
        <v>#REF!</v>
      </c>
    </row>
    <row r="199" spans="2:10" ht="15.6" x14ac:dyDescent="0.3">
      <c r="B199" s="59"/>
      <c r="C199" s="78" t="s">
        <v>383</v>
      </c>
      <c r="D199" s="74" t="s">
        <v>2</v>
      </c>
      <c r="E199" s="75" t="e">
        <f t="shared" si="34"/>
        <v>#REF!</v>
      </c>
      <c r="F199" s="76">
        <f>'Прайс для расчета'!E181</f>
        <v>1506.75</v>
      </c>
      <c r="G199" s="64" t="e">
        <f t="shared" si="29"/>
        <v>#REF!</v>
      </c>
      <c r="I199" s="135">
        <f>'Прайс для расчета (М)'!E181</f>
        <v>753.375</v>
      </c>
      <c r="J199" s="36" t="e">
        <f t="shared" si="30"/>
        <v>#REF!</v>
      </c>
    </row>
    <row r="200" spans="2:10" ht="15.6" x14ac:dyDescent="0.3">
      <c r="B200" s="59"/>
      <c r="C200" s="78" t="s">
        <v>384</v>
      </c>
      <c r="D200" s="74" t="s">
        <v>2</v>
      </c>
      <c r="E200" s="75" t="e">
        <f t="shared" si="34"/>
        <v>#REF!</v>
      </c>
      <c r="F200" s="76">
        <f>'Прайс для расчета'!E182</f>
        <v>1821.75</v>
      </c>
      <c r="G200" s="64" t="e">
        <f t="shared" si="29"/>
        <v>#REF!</v>
      </c>
      <c r="I200" s="135">
        <f>'Прайс для расчета (М)'!E182</f>
        <v>910.875</v>
      </c>
      <c r="J200" s="36" t="e">
        <f t="shared" si="30"/>
        <v>#REF!</v>
      </c>
    </row>
    <row r="201" spans="2:10" ht="15.6" x14ac:dyDescent="0.3">
      <c r="B201" s="59"/>
      <c r="C201" s="78" t="s">
        <v>385</v>
      </c>
      <c r="D201" s="74" t="s">
        <v>2</v>
      </c>
      <c r="E201" s="75" t="e">
        <f t="shared" si="34"/>
        <v>#REF!</v>
      </c>
      <c r="F201" s="76">
        <f>'Прайс для расчета'!E183</f>
        <v>1149.75</v>
      </c>
      <c r="G201" s="64" t="e">
        <f t="shared" si="29"/>
        <v>#REF!</v>
      </c>
      <c r="I201" s="135">
        <f>'Прайс для расчета (М)'!E183</f>
        <v>574.875</v>
      </c>
      <c r="J201" s="36" t="e">
        <f t="shared" si="30"/>
        <v>#REF!</v>
      </c>
    </row>
    <row r="202" spans="2:10" ht="15.6" x14ac:dyDescent="0.3">
      <c r="B202" s="59"/>
      <c r="C202" s="78" t="s">
        <v>509</v>
      </c>
      <c r="D202" s="74" t="s">
        <v>2</v>
      </c>
      <c r="E202" s="75" t="e">
        <f t="shared" si="34"/>
        <v>#REF!</v>
      </c>
      <c r="F202" s="76">
        <f>'Прайс для расчета'!E184</f>
        <v>1527.75</v>
      </c>
      <c r="G202" s="64" t="e">
        <f t="shared" si="29"/>
        <v>#REF!</v>
      </c>
      <c r="I202" s="135">
        <f>'Прайс для расчета (М)'!E184</f>
        <v>763.875</v>
      </c>
      <c r="J202" s="36" t="e">
        <f t="shared" si="30"/>
        <v>#REF!</v>
      </c>
    </row>
    <row r="203" spans="2:10" ht="15.6" x14ac:dyDescent="0.3">
      <c r="B203" s="59"/>
      <c r="C203" s="78" t="s">
        <v>510</v>
      </c>
      <c r="D203" s="74" t="s">
        <v>2</v>
      </c>
      <c r="E203" s="75" t="e">
        <f t="shared" si="34"/>
        <v>#REF!</v>
      </c>
      <c r="F203" s="76">
        <f>'Прайс для расчета'!E185</f>
        <v>1737.75</v>
      </c>
      <c r="G203" s="64" t="e">
        <f t="shared" si="29"/>
        <v>#REF!</v>
      </c>
      <c r="I203" s="135">
        <f>'Прайс для расчета (М)'!E185</f>
        <v>868.875</v>
      </c>
      <c r="J203" s="36" t="e">
        <f t="shared" si="30"/>
        <v>#REF!</v>
      </c>
    </row>
    <row r="204" spans="2:10" ht="15.6" x14ac:dyDescent="0.3">
      <c r="B204" s="59"/>
      <c r="C204" s="78" t="s">
        <v>43</v>
      </c>
      <c r="D204" s="74" t="s">
        <v>3</v>
      </c>
      <c r="E204" s="75" t="e">
        <f>ROUND($A$6*1.25,0)</f>
        <v>#REF!</v>
      </c>
      <c r="F204" s="76">
        <f>'Прайс для расчета'!E186</f>
        <v>194.25</v>
      </c>
      <c r="G204" s="64" t="e">
        <f t="shared" si="29"/>
        <v>#REF!</v>
      </c>
      <c r="I204" s="135">
        <f>'Прайс для расчета (М)'!E186</f>
        <v>97.125</v>
      </c>
      <c r="J204" s="36" t="e">
        <f t="shared" si="30"/>
        <v>#REF!</v>
      </c>
    </row>
    <row r="205" spans="2:10" ht="15.6" x14ac:dyDescent="0.3">
      <c r="B205" s="59"/>
      <c r="C205" s="78" t="s">
        <v>386</v>
      </c>
      <c r="D205" s="74" t="s">
        <v>646</v>
      </c>
      <c r="E205" s="75">
        <v>1</v>
      </c>
      <c r="F205" s="76">
        <f>'Прайс для расчета'!E187</f>
        <v>2089.5</v>
      </c>
      <c r="G205" s="64">
        <f t="shared" si="29"/>
        <v>2089.5</v>
      </c>
      <c r="I205" s="135">
        <f>'Прайс для расчета (М)'!E187</f>
        <v>1044.75</v>
      </c>
      <c r="J205" s="36">
        <f t="shared" si="30"/>
        <v>1044.75</v>
      </c>
    </row>
    <row r="206" spans="2:10" ht="15.6" x14ac:dyDescent="0.3">
      <c r="B206" s="59"/>
      <c r="C206" s="78" t="s">
        <v>387</v>
      </c>
      <c r="D206" s="74" t="s">
        <v>2</v>
      </c>
      <c r="E206" s="75">
        <v>1</v>
      </c>
      <c r="F206" s="76">
        <f>'Прайс для расчета'!E188</f>
        <v>3097.5</v>
      </c>
      <c r="G206" s="64">
        <f t="shared" si="29"/>
        <v>3097.5</v>
      </c>
      <c r="I206" s="135">
        <f>'Прайс для расчета (М)'!E188</f>
        <v>1548.75</v>
      </c>
      <c r="J206" s="36">
        <f t="shared" si="30"/>
        <v>1548.75</v>
      </c>
    </row>
    <row r="207" spans="2:10" ht="15.6" x14ac:dyDescent="0.3">
      <c r="B207" s="59"/>
      <c r="C207" s="78" t="s">
        <v>388</v>
      </c>
      <c r="D207" s="74" t="s">
        <v>0</v>
      </c>
      <c r="E207" s="75">
        <v>1</v>
      </c>
      <c r="F207" s="76">
        <f>'Прайс для расчета'!E189</f>
        <v>2992.5</v>
      </c>
      <c r="G207" s="64">
        <f t="shared" si="29"/>
        <v>2992.5</v>
      </c>
      <c r="I207" s="135">
        <f>'Прайс для расчета (М)'!E189</f>
        <v>1496.25</v>
      </c>
      <c r="J207" s="36">
        <f t="shared" si="30"/>
        <v>1496.25</v>
      </c>
    </row>
    <row r="208" spans="2:10" ht="15.6" x14ac:dyDescent="0.3">
      <c r="B208" s="59"/>
      <c r="C208" s="78" t="s">
        <v>230</v>
      </c>
      <c r="D208" s="74" t="s">
        <v>2</v>
      </c>
      <c r="E208" s="75" t="e">
        <f>$A$6</f>
        <v>#REF!</v>
      </c>
      <c r="F208" s="76">
        <f>'Прайс для расчета'!E190</f>
        <v>404.06100000000004</v>
      </c>
      <c r="G208" s="64" t="e">
        <f t="shared" si="29"/>
        <v>#REF!</v>
      </c>
      <c r="I208" s="135">
        <f>'Прайс для расчета (М)'!E190</f>
        <v>202.03050000000002</v>
      </c>
      <c r="J208" s="36" t="e">
        <f t="shared" si="30"/>
        <v>#REF!</v>
      </c>
    </row>
    <row r="209" spans="2:10" ht="15.6" x14ac:dyDescent="0.3">
      <c r="B209" s="59"/>
      <c r="C209" s="78" t="s">
        <v>225</v>
      </c>
      <c r="D209" s="74" t="s">
        <v>2</v>
      </c>
      <c r="E209" s="75" t="e">
        <f>$A$6</f>
        <v>#REF!</v>
      </c>
      <c r="F209" s="76">
        <f>'Прайс для расчета'!E191</f>
        <v>282.45</v>
      </c>
      <c r="G209" s="64" t="e">
        <f t="shared" si="29"/>
        <v>#REF!</v>
      </c>
      <c r="I209" s="135">
        <f>'Прайс для расчета (М)'!E191</f>
        <v>141.22499999999999</v>
      </c>
      <c r="J209" s="36" t="e">
        <f t="shared" si="30"/>
        <v>#REF!</v>
      </c>
    </row>
    <row r="210" spans="2:10" ht="15.6" x14ac:dyDescent="0.3">
      <c r="B210" s="59"/>
      <c r="C210" s="78" t="s">
        <v>1026</v>
      </c>
      <c r="D210" s="74" t="s">
        <v>2</v>
      </c>
      <c r="E210" s="75" t="e">
        <f>$A$6</f>
        <v>#REF!</v>
      </c>
      <c r="F210" s="76">
        <f>'Прайс для расчета'!E192</f>
        <v>614.25</v>
      </c>
      <c r="G210" s="64" t="e">
        <f t="shared" si="29"/>
        <v>#REF!</v>
      </c>
      <c r="I210" s="135">
        <f>'Прайс для расчета (М)'!E192</f>
        <v>307.125</v>
      </c>
      <c r="J210" s="36" t="e">
        <f t="shared" si="30"/>
        <v>#REF!</v>
      </c>
    </row>
    <row r="211" spans="2:10" ht="15.6" x14ac:dyDescent="0.25">
      <c r="B211" s="59">
        <f>IF(SUM(B212:B220)&gt;0,1,0)</f>
        <v>0</v>
      </c>
      <c r="C211" s="67" t="s">
        <v>884</v>
      </c>
      <c r="D211" s="61"/>
      <c r="E211" s="62"/>
      <c r="F211" s="63"/>
      <c r="G211" s="64"/>
    </row>
    <row r="212" spans="2:10" ht="15.6" x14ac:dyDescent="0.25">
      <c r="B212" s="59"/>
      <c r="C212" s="65" t="s">
        <v>389</v>
      </c>
      <c r="D212" s="61" t="s">
        <v>3</v>
      </c>
      <c r="E212" s="62">
        <v>1</v>
      </c>
      <c r="F212" s="63">
        <f>'Прайс для расчета'!E193</f>
        <v>84</v>
      </c>
      <c r="G212" s="64">
        <f t="shared" ref="G212:G220" si="35">F212*E212</f>
        <v>84</v>
      </c>
      <c r="I212" s="135">
        <f>'Прайс для расчета (М)'!E193</f>
        <v>42</v>
      </c>
      <c r="J212" s="36">
        <f t="shared" ref="J212:J220" si="36">I212*E212</f>
        <v>42</v>
      </c>
    </row>
    <row r="213" spans="2:10" ht="15.6" x14ac:dyDescent="0.25">
      <c r="B213" s="59"/>
      <c r="C213" s="65" t="s">
        <v>390</v>
      </c>
      <c r="D213" s="61" t="s">
        <v>3</v>
      </c>
      <c r="E213" s="62">
        <f>E212</f>
        <v>1</v>
      </c>
      <c r="F213" s="63">
        <f>'Прайс для расчета'!E194</f>
        <v>787.5</v>
      </c>
      <c r="G213" s="64">
        <f t="shared" si="35"/>
        <v>787.5</v>
      </c>
      <c r="I213" s="135">
        <f>'Прайс для расчета (М)'!E194</f>
        <v>393.75</v>
      </c>
      <c r="J213" s="36">
        <f t="shared" si="36"/>
        <v>393.75</v>
      </c>
    </row>
    <row r="214" spans="2:10" ht="15.6" x14ac:dyDescent="0.25">
      <c r="B214" s="59"/>
      <c r="C214" s="65" t="s">
        <v>391</v>
      </c>
      <c r="D214" s="61" t="s">
        <v>3</v>
      </c>
      <c r="E214" s="62">
        <f>E212</f>
        <v>1</v>
      </c>
      <c r="F214" s="63">
        <f>'Прайс для расчета'!E195</f>
        <v>892.5</v>
      </c>
      <c r="G214" s="64">
        <f t="shared" si="35"/>
        <v>892.5</v>
      </c>
      <c r="I214" s="135">
        <f>'Прайс для расчета (М)'!E195</f>
        <v>446.25</v>
      </c>
      <c r="J214" s="36">
        <f t="shared" si="36"/>
        <v>446.25</v>
      </c>
    </row>
    <row r="215" spans="2:10" ht="15.6" x14ac:dyDescent="0.25">
      <c r="B215" s="59"/>
      <c r="C215" s="65" t="s">
        <v>392</v>
      </c>
      <c r="D215" s="61" t="s">
        <v>3</v>
      </c>
      <c r="E215" s="62">
        <f>E212</f>
        <v>1</v>
      </c>
      <c r="F215" s="63">
        <f>'Прайс для расчета'!E196</f>
        <v>997.5</v>
      </c>
      <c r="G215" s="64">
        <f t="shared" si="35"/>
        <v>997.5</v>
      </c>
      <c r="I215" s="135">
        <f>'Прайс для расчета (М)'!E196</f>
        <v>498.75</v>
      </c>
      <c r="J215" s="36">
        <f t="shared" si="36"/>
        <v>498.75</v>
      </c>
    </row>
    <row r="216" spans="2:10" ht="15.6" x14ac:dyDescent="0.25">
      <c r="B216" s="59"/>
      <c r="C216" s="65" t="s">
        <v>393</v>
      </c>
      <c r="D216" s="61" t="s">
        <v>3</v>
      </c>
      <c r="E216" s="62">
        <f>E212</f>
        <v>1</v>
      </c>
      <c r="F216" s="63">
        <f>'Прайс для расчета'!E197</f>
        <v>787.5</v>
      </c>
      <c r="G216" s="64">
        <f t="shared" si="35"/>
        <v>787.5</v>
      </c>
      <c r="I216" s="135">
        <f>'Прайс для расчета (М)'!E197</f>
        <v>393.75</v>
      </c>
      <c r="J216" s="36">
        <f t="shared" si="36"/>
        <v>393.75</v>
      </c>
    </row>
    <row r="217" spans="2:10" ht="15.6" x14ac:dyDescent="0.25">
      <c r="B217" s="59"/>
      <c r="C217" s="65" t="s">
        <v>52</v>
      </c>
      <c r="D217" s="61" t="s">
        <v>3</v>
      </c>
      <c r="E217" s="62">
        <f>E212</f>
        <v>1</v>
      </c>
      <c r="F217" s="63">
        <f>'Прайс для расчета'!E198</f>
        <v>204.75</v>
      </c>
      <c r="G217" s="64">
        <f t="shared" si="35"/>
        <v>204.75</v>
      </c>
      <c r="I217" s="135">
        <f>'Прайс для расчета (М)'!E198</f>
        <v>102.375</v>
      </c>
      <c r="J217" s="36">
        <f t="shared" si="36"/>
        <v>102.375</v>
      </c>
    </row>
    <row r="218" spans="2:10" ht="15.6" x14ac:dyDescent="0.25">
      <c r="B218" s="59"/>
      <c r="C218" s="65" t="s">
        <v>53</v>
      </c>
      <c r="D218" s="61" t="s">
        <v>3</v>
      </c>
      <c r="E218" s="62">
        <f>E212</f>
        <v>1</v>
      </c>
      <c r="F218" s="63">
        <f>'Прайс для расчета'!E199</f>
        <v>194.25</v>
      </c>
      <c r="G218" s="64">
        <f t="shared" si="35"/>
        <v>194.25</v>
      </c>
      <c r="I218" s="135">
        <f>'Прайс для расчета (М)'!E199</f>
        <v>97.125</v>
      </c>
      <c r="J218" s="36">
        <f t="shared" si="36"/>
        <v>97.125</v>
      </c>
    </row>
    <row r="219" spans="2:10" ht="15.6" x14ac:dyDescent="0.25">
      <c r="B219" s="59"/>
      <c r="C219" s="65" t="s">
        <v>394</v>
      </c>
      <c r="D219" s="61" t="s">
        <v>3</v>
      </c>
      <c r="E219" s="62">
        <f>E212</f>
        <v>1</v>
      </c>
      <c r="F219" s="63">
        <f>'Прайс для расчета'!E200</f>
        <v>866.25</v>
      </c>
      <c r="G219" s="64">
        <f t="shared" si="35"/>
        <v>866.25</v>
      </c>
      <c r="I219" s="135">
        <f>'Прайс для расчета (М)'!E200</f>
        <v>433.125</v>
      </c>
      <c r="J219" s="36">
        <f t="shared" si="36"/>
        <v>433.125</v>
      </c>
    </row>
    <row r="220" spans="2:10" ht="15.6" x14ac:dyDescent="0.25">
      <c r="B220" s="59"/>
      <c r="C220" s="65" t="s">
        <v>395</v>
      </c>
      <c r="D220" s="61" t="s">
        <v>3</v>
      </c>
      <c r="E220" s="62">
        <f>E212</f>
        <v>1</v>
      </c>
      <c r="F220" s="63">
        <f>'Прайс для расчета'!E201</f>
        <v>262.5</v>
      </c>
      <c r="G220" s="64">
        <f t="shared" si="35"/>
        <v>262.5</v>
      </c>
      <c r="I220" s="135">
        <f>'Прайс для расчета (М)'!E201</f>
        <v>131.25</v>
      </c>
      <c r="J220" s="36">
        <f t="shared" si="36"/>
        <v>131.25</v>
      </c>
    </row>
    <row r="221" spans="2:10" ht="15.6" x14ac:dyDescent="0.25">
      <c r="B221" s="59">
        <f>IF(SUM(B222:B249)&gt;0,1,0)</f>
        <v>0</v>
      </c>
      <c r="C221" s="67" t="s">
        <v>879</v>
      </c>
      <c r="D221" s="61"/>
      <c r="E221" s="62"/>
      <c r="F221" s="63"/>
      <c r="G221" s="64"/>
    </row>
    <row r="222" spans="2:10" ht="15.6" x14ac:dyDescent="0.25">
      <c r="B222" s="59"/>
      <c r="C222" s="65" t="s">
        <v>1022</v>
      </c>
      <c r="D222" s="61" t="s">
        <v>2</v>
      </c>
      <c r="E222" s="62">
        <f t="shared" ref="E222:E228" si="37">$A$4</f>
        <v>0</v>
      </c>
      <c r="F222" s="63">
        <f>'Прайс для расчета'!E202</f>
        <v>135.45000000000002</v>
      </c>
      <c r="G222" s="64">
        <f t="shared" ref="G222:G249" si="38">F222*E222</f>
        <v>0</v>
      </c>
      <c r="I222" s="135">
        <f>'Прайс для расчета (М)'!E202</f>
        <v>67.725000000000009</v>
      </c>
      <c r="J222" s="36">
        <f t="shared" ref="J222:J249" si="39">I222*E222</f>
        <v>0</v>
      </c>
    </row>
    <row r="223" spans="2:10" ht="15.6" x14ac:dyDescent="0.25">
      <c r="B223" s="59"/>
      <c r="C223" s="65" t="s">
        <v>1105</v>
      </c>
      <c r="D223" s="61" t="s">
        <v>3</v>
      </c>
      <c r="E223" s="62">
        <f t="shared" si="37"/>
        <v>0</v>
      </c>
      <c r="F223" s="63">
        <f>'Прайс для расчета'!E203</f>
        <v>210</v>
      </c>
      <c r="G223" s="64">
        <f t="shared" ref="G223" si="40">F223*E223</f>
        <v>0</v>
      </c>
      <c r="I223" s="135">
        <f>'Прайс для расчета (М)'!E203</f>
        <v>105</v>
      </c>
      <c r="J223" s="36">
        <f t="shared" si="39"/>
        <v>0</v>
      </c>
    </row>
    <row r="224" spans="2:10" ht="15.6" x14ac:dyDescent="0.25">
      <c r="B224" s="59"/>
      <c r="C224" s="65" t="s">
        <v>1032</v>
      </c>
      <c r="D224" s="61" t="s">
        <v>2</v>
      </c>
      <c r="E224" s="62">
        <f t="shared" si="37"/>
        <v>0</v>
      </c>
      <c r="F224" s="63">
        <f>'Прайс для расчета'!E204</f>
        <v>892.5</v>
      </c>
      <c r="G224" s="64">
        <f t="shared" si="38"/>
        <v>0</v>
      </c>
      <c r="I224" s="135">
        <f>'Прайс для расчета (М)'!E204</f>
        <v>446.25</v>
      </c>
      <c r="J224" s="36">
        <f t="shared" si="39"/>
        <v>0</v>
      </c>
    </row>
    <row r="225" spans="2:10" ht="15.6" x14ac:dyDescent="0.25">
      <c r="B225" s="59"/>
      <c r="C225" s="65" t="s">
        <v>1030</v>
      </c>
      <c r="D225" s="61" t="s">
        <v>2</v>
      </c>
      <c r="E225" s="62">
        <f t="shared" si="37"/>
        <v>0</v>
      </c>
      <c r="F225" s="63">
        <f>'Прайс для расчета'!E205</f>
        <v>1102.5</v>
      </c>
      <c r="G225" s="64">
        <f t="shared" si="38"/>
        <v>0</v>
      </c>
      <c r="I225" s="135">
        <f>'Прайс для расчета (М)'!E205</f>
        <v>551.25</v>
      </c>
      <c r="J225" s="36">
        <f t="shared" si="39"/>
        <v>0</v>
      </c>
    </row>
    <row r="226" spans="2:10" ht="15.6" x14ac:dyDescent="0.25">
      <c r="B226" s="59"/>
      <c r="C226" s="65" t="s">
        <v>1031</v>
      </c>
      <c r="D226" s="61" t="s">
        <v>2</v>
      </c>
      <c r="E226" s="62">
        <f t="shared" si="37"/>
        <v>0</v>
      </c>
      <c r="F226" s="63">
        <f>'Прайс для расчета'!E206</f>
        <v>892.5</v>
      </c>
      <c r="G226" s="64">
        <f t="shared" si="38"/>
        <v>0</v>
      </c>
      <c r="I226" s="135">
        <f>'Прайс для расчета (М)'!E206</f>
        <v>446.25</v>
      </c>
      <c r="J226" s="36">
        <f t="shared" si="39"/>
        <v>0</v>
      </c>
    </row>
    <row r="227" spans="2:10" ht="15.6" x14ac:dyDescent="0.25">
      <c r="B227" s="59"/>
      <c r="C227" s="65" t="s">
        <v>1106</v>
      </c>
      <c r="D227" s="61" t="s">
        <v>3</v>
      </c>
      <c r="E227" s="62">
        <f t="shared" si="37"/>
        <v>0</v>
      </c>
      <c r="F227" s="63">
        <f>'Прайс для расчета'!E207</f>
        <v>210</v>
      </c>
      <c r="G227" s="64">
        <f t="shared" si="38"/>
        <v>0</v>
      </c>
      <c r="I227" s="135">
        <f>'Прайс для расчета (М)'!E207</f>
        <v>105</v>
      </c>
      <c r="J227" s="36">
        <f t="shared" si="39"/>
        <v>0</v>
      </c>
    </row>
    <row r="228" spans="2:10" ht="15.6" x14ac:dyDescent="0.25">
      <c r="B228" s="59"/>
      <c r="C228" s="202" t="s">
        <v>998</v>
      </c>
      <c r="D228" s="61" t="s">
        <v>2</v>
      </c>
      <c r="E228" s="62">
        <f t="shared" si="37"/>
        <v>0</v>
      </c>
      <c r="F228" s="63">
        <f>'Прайс для расчета'!E208</f>
        <v>3097.5</v>
      </c>
      <c r="G228" s="64">
        <f t="shared" si="38"/>
        <v>0</v>
      </c>
      <c r="I228" s="135">
        <f>'Прайс для расчета (М)'!E208</f>
        <v>1548.75</v>
      </c>
      <c r="J228" s="36">
        <f t="shared" si="39"/>
        <v>0</v>
      </c>
    </row>
    <row r="229" spans="2:10" ht="15.6" x14ac:dyDescent="0.25">
      <c r="B229" s="59"/>
      <c r="C229" s="65" t="s">
        <v>400</v>
      </c>
      <c r="D229" s="61" t="s">
        <v>3</v>
      </c>
      <c r="E229" s="62">
        <f>E81</f>
        <v>1</v>
      </c>
      <c r="F229" s="63">
        <f>'Прайс для расчета'!E209</f>
        <v>240.05099999999999</v>
      </c>
      <c r="G229" s="64">
        <f t="shared" si="38"/>
        <v>240.05099999999999</v>
      </c>
      <c r="I229" s="135">
        <f>'Прайс для расчета (М)'!E209</f>
        <v>120.02549999999999</v>
      </c>
      <c r="J229" s="36">
        <f t="shared" si="39"/>
        <v>120.02549999999999</v>
      </c>
    </row>
    <row r="230" spans="2:10" ht="15.6" x14ac:dyDescent="0.25">
      <c r="B230" s="59"/>
      <c r="C230" s="65" t="s">
        <v>401</v>
      </c>
      <c r="D230" s="61" t="s">
        <v>3</v>
      </c>
      <c r="E230" s="62">
        <f>ROUND($A$4*1.25,0)</f>
        <v>0</v>
      </c>
      <c r="F230" s="63">
        <f>'Прайс для расчета'!E210</f>
        <v>164.01</v>
      </c>
      <c r="G230" s="64">
        <f t="shared" si="38"/>
        <v>0</v>
      </c>
      <c r="I230" s="135">
        <f>'Прайс для расчета (М)'!E210</f>
        <v>82.004999999999995</v>
      </c>
      <c r="J230" s="36">
        <f t="shared" si="39"/>
        <v>0</v>
      </c>
    </row>
    <row r="231" spans="2:10" ht="15.6" x14ac:dyDescent="0.25">
      <c r="B231" s="59"/>
      <c r="C231" s="65" t="s">
        <v>675</v>
      </c>
      <c r="D231" s="61" t="s">
        <v>2</v>
      </c>
      <c r="E231" s="62">
        <f t="shared" ref="E231:E240" si="41">$A$4</f>
        <v>0</v>
      </c>
      <c r="F231" s="63">
        <f>'Прайс для расчета'!E211</f>
        <v>477.12</v>
      </c>
      <c r="G231" s="64">
        <f t="shared" si="38"/>
        <v>0</v>
      </c>
      <c r="I231" s="135">
        <f>'Прайс для расчета (М)'!E211</f>
        <v>238.56</v>
      </c>
      <c r="J231" s="36">
        <f t="shared" si="39"/>
        <v>0</v>
      </c>
    </row>
    <row r="232" spans="2:10" ht="15.6" x14ac:dyDescent="0.25">
      <c r="B232" s="59"/>
      <c r="C232" s="65" t="s">
        <v>1023</v>
      </c>
      <c r="D232" s="61" t="s">
        <v>2</v>
      </c>
      <c r="E232" s="62">
        <f t="shared" si="41"/>
        <v>0</v>
      </c>
      <c r="F232" s="63">
        <f>'Прайс для расчета'!E212</f>
        <v>124.95</v>
      </c>
      <c r="G232" s="64">
        <f t="shared" si="38"/>
        <v>0</v>
      </c>
      <c r="I232" s="135">
        <f>'Прайс для расчета (М)'!E212</f>
        <v>62.475000000000001</v>
      </c>
      <c r="J232" s="36">
        <f t="shared" si="39"/>
        <v>0</v>
      </c>
    </row>
    <row r="233" spans="2:10" ht="15.6" x14ac:dyDescent="0.25">
      <c r="B233" s="59"/>
      <c r="C233" s="65" t="s">
        <v>1132</v>
      </c>
      <c r="D233" s="61" t="s">
        <v>2</v>
      </c>
      <c r="E233" s="62">
        <f t="shared" si="41"/>
        <v>0</v>
      </c>
      <c r="F233" s="63">
        <f>'Прайс для расчета'!E213</f>
        <v>199.5</v>
      </c>
      <c r="G233" s="64">
        <f t="shared" ref="G233" si="42">F233*E233</f>
        <v>0</v>
      </c>
      <c r="I233" s="135">
        <f>'Прайс для расчета (М)'!E213</f>
        <v>99.75</v>
      </c>
      <c r="J233" s="36">
        <f t="shared" si="39"/>
        <v>0</v>
      </c>
    </row>
    <row r="234" spans="2:10" ht="15.6" x14ac:dyDescent="0.25">
      <c r="B234" s="59"/>
      <c r="C234" s="65" t="s">
        <v>676</v>
      </c>
      <c r="D234" s="61" t="s">
        <v>2</v>
      </c>
      <c r="E234" s="62">
        <f t="shared" si="41"/>
        <v>0</v>
      </c>
      <c r="F234" s="63">
        <f>'Прайс для расчета'!E214</f>
        <v>299.25</v>
      </c>
      <c r="G234" s="64">
        <f t="shared" si="38"/>
        <v>0</v>
      </c>
      <c r="I234" s="135">
        <f>'Прайс для расчета (М)'!E214</f>
        <v>149.625</v>
      </c>
      <c r="J234" s="36">
        <f t="shared" si="39"/>
        <v>0</v>
      </c>
    </row>
    <row r="235" spans="2:10" ht="15.6" x14ac:dyDescent="0.25">
      <c r="B235" s="59"/>
      <c r="C235" s="65" t="s">
        <v>403</v>
      </c>
      <c r="D235" s="61" t="s">
        <v>647</v>
      </c>
      <c r="E235" s="62">
        <f t="shared" si="41"/>
        <v>0</v>
      </c>
      <c r="F235" s="63">
        <f>'Прайс для расчета'!E215</f>
        <v>236.25</v>
      </c>
      <c r="G235" s="64">
        <f t="shared" si="38"/>
        <v>0</v>
      </c>
      <c r="I235" s="135">
        <f>'Прайс для расчета (М)'!E215</f>
        <v>118.125</v>
      </c>
      <c r="J235" s="36">
        <f t="shared" si="39"/>
        <v>0</v>
      </c>
    </row>
    <row r="236" spans="2:10" ht="15.6" x14ac:dyDescent="0.25">
      <c r="B236" s="59"/>
      <c r="C236" s="65" t="s">
        <v>1035</v>
      </c>
      <c r="D236" s="61" t="s">
        <v>2</v>
      </c>
      <c r="E236" s="62">
        <f t="shared" si="41"/>
        <v>0</v>
      </c>
      <c r="F236" s="63">
        <f>'Прайс для расчета'!E216</f>
        <v>624.75</v>
      </c>
      <c r="G236" s="64">
        <f t="shared" si="38"/>
        <v>0</v>
      </c>
      <c r="I236" s="135">
        <f>'Прайс для расчета (М)'!E216</f>
        <v>312.375</v>
      </c>
      <c r="J236" s="36">
        <f t="shared" si="39"/>
        <v>0</v>
      </c>
    </row>
    <row r="237" spans="2:10" ht="15.6" x14ac:dyDescent="0.25">
      <c r="B237" s="59"/>
      <c r="C237" s="65" t="s">
        <v>1042</v>
      </c>
      <c r="D237" s="61" t="s">
        <v>2</v>
      </c>
      <c r="E237" s="62">
        <f t="shared" si="41"/>
        <v>0</v>
      </c>
      <c r="F237" s="63">
        <f>'Прайс для расчета'!E217</f>
        <v>787.5</v>
      </c>
      <c r="G237" s="64">
        <f t="shared" si="38"/>
        <v>0</v>
      </c>
      <c r="I237" s="135">
        <f>'Прайс для расчета (М)'!E217</f>
        <v>393.75</v>
      </c>
      <c r="J237" s="36">
        <f t="shared" si="39"/>
        <v>0</v>
      </c>
    </row>
    <row r="238" spans="2:10" ht="15.6" x14ac:dyDescent="0.25">
      <c r="B238" s="59"/>
      <c r="C238" s="69" t="s">
        <v>1137</v>
      </c>
      <c r="D238" s="61" t="s">
        <v>2</v>
      </c>
      <c r="E238" s="62">
        <f t="shared" si="41"/>
        <v>0</v>
      </c>
      <c r="F238" s="63">
        <f>'Прайс для расчета'!E218</f>
        <v>1207.5</v>
      </c>
      <c r="G238" s="64">
        <f t="shared" si="38"/>
        <v>0</v>
      </c>
      <c r="I238" s="135">
        <f>'Прайс для расчета (М)'!E218</f>
        <v>603.75</v>
      </c>
      <c r="J238" s="36">
        <f t="shared" si="39"/>
        <v>0</v>
      </c>
    </row>
    <row r="239" spans="2:10" ht="15.6" x14ac:dyDescent="0.25">
      <c r="B239" s="59"/>
      <c r="C239" s="69" t="s">
        <v>1139</v>
      </c>
      <c r="D239" s="61" t="s">
        <v>2</v>
      </c>
      <c r="E239" s="62">
        <f t="shared" si="41"/>
        <v>0</v>
      </c>
      <c r="F239" s="63">
        <f>'Прайс для расчета'!E219</f>
        <v>262.5</v>
      </c>
      <c r="G239" s="64">
        <f t="shared" si="38"/>
        <v>0</v>
      </c>
      <c r="I239" s="135">
        <f>'Прайс для расчета (М)'!E219</f>
        <v>131.25</v>
      </c>
      <c r="J239" s="36">
        <f t="shared" si="39"/>
        <v>0</v>
      </c>
    </row>
    <row r="240" spans="2:10" ht="15.6" x14ac:dyDescent="0.25">
      <c r="B240" s="59"/>
      <c r="C240" s="69" t="s">
        <v>1142</v>
      </c>
      <c r="D240" s="61" t="s">
        <v>2</v>
      </c>
      <c r="E240" s="62">
        <f t="shared" si="41"/>
        <v>0</v>
      </c>
      <c r="F240" s="63">
        <f>'Прайс для расчета'!E220</f>
        <v>997.5</v>
      </c>
      <c r="G240" s="64">
        <f t="shared" si="38"/>
        <v>0</v>
      </c>
      <c r="I240" s="135">
        <f>'Прайс для расчета (М)'!E220</f>
        <v>498.75</v>
      </c>
      <c r="J240" s="36">
        <f t="shared" si="39"/>
        <v>0</v>
      </c>
    </row>
    <row r="241" spans="2:10" ht="15.6" x14ac:dyDescent="0.25">
      <c r="B241" s="59"/>
      <c r="C241" s="65" t="s">
        <v>4</v>
      </c>
      <c r="D241" s="61" t="s">
        <v>3</v>
      </c>
      <c r="E241" s="62">
        <v>1</v>
      </c>
      <c r="F241" s="63">
        <f>'Прайс для расчета'!E221</f>
        <v>735</v>
      </c>
      <c r="G241" s="64">
        <f t="shared" si="38"/>
        <v>735</v>
      </c>
      <c r="I241" s="135">
        <f>'Прайс для расчета (М)'!E221</f>
        <v>367.5</v>
      </c>
      <c r="J241" s="36">
        <f t="shared" si="39"/>
        <v>367.5</v>
      </c>
    </row>
    <row r="242" spans="2:10" ht="15.6" x14ac:dyDescent="0.25">
      <c r="B242" s="59"/>
      <c r="C242" s="65" t="s">
        <v>152</v>
      </c>
      <c r="D242" s="61" t="s">
        <v>2</v>
      </c>
      <c r="E242" s="62">
        <f>$A$4</f>
        <v>0</v>
      </c>
      <c r="F242" s="63">
        <f>'Прайс для расчета'!E222</f>
        <v>105</v>
      </c>
      <c r="G242" s="64">
        <f t="shared" si="38"/>
        <v>0</v>
      </c>
      <c r="I242" s="135">
        <f>'Прайс для расчета (М)'!E222</f>
        <v>52.5</v>
      </c>
      <c r="J242" s="36">
        <f t="shared" si="39"/>
        <v>0</v>
      </c>
    </row>
    <row r="243" spans="2:10" ht="15.6" x14ac:dyDescent="0.25">
      <c r="B243" s="59"/>
      <c r="C243" s="65" t="s">
        <v>153</v>
      </c>
      <c r="D243" s="61" t="s">
        <v>2</v>
      </c>
      <c r="E243" s="62">
        <f>$A$4</f>
        <v>0</v>
      </c>
      <c r="F243" s="63">
        <f>'Прайс для расчета'!E223</f>
        <v>292.95</v>
      </c>
      <c r="G243" s="64">
        <f t="shared" si="38"/>
        <v>0</v>
      </c>
      <c r="I243" s="135">
        <f>'Прайс для расчета (М)'!E223</f>
        <v>146.47499999999999</v>
      </c>
      <c r="J243" s="36">
        <f t="shared" si="39"/>
        <v>0</v>
      </c>
    </row>
    <row r="244" spans="2:10" ht="15.6" x14ac:dyDescent="0.25">
      <c r="B244" s="59"/>
      <c r="C244" s="65" t="s">
        <v>1027</v>
      </c>
      <c r="D244" s="61" t="s">
        <v>2</v>
      </c>
      <c r="E244" s="62">
        <f>$A$4</f>
        <v>0</v>
      </c>
      <c r="F244" s="63">
        <f>'Прайс для расчета'!E224</f>
        <v>719.25</v>
      </c>
      <c r="G244" s="64">
        <f t="shared" si="38"/>
        <v>0</v>
      </c>
      <c r="I244" s="135">
        <f>'Прайс для расчета (М)'!E224</f>
        <v>359.625</v>
      </c>
      <c r="J244" s="36">
        <f t="shared" si="39"/>
        <v>0</v>
      </c>
    </row>
    <row r="245" spans="2:10" ht="15.6" x14ac:dyDescent="0.25">
      <c r="B245" s="59"/>
      <c r="C245" s="65" t="s">
        <v>982</v>
      </c>
      <c r="D245" s="61" t="s">
        <v>3</v>
      </c>
      <c r="E245" s="62">
        <v>1</v>
      </c>
      <c r="F245" s="63">
        <f>'Прайс для расчета'!E225</f>
        <v>2299.5</v>
      </c>
      <c r="G245" s="64">
        <f t="shared" si="38"/>
        <v>2299.5</v>
      </c>
      <c r="I245" s="135">
        <f>'Прайс для расчета (М)'!E225</f>
        <v>1149.75</v>
      </c>
      <c r="J245" s="36">
        <f t="shared" si="39"/>
        <v>1149.75</v>
      </c>
    </row>
    <row r="246" spans="2:10" ht="15.6" x14ac:dyDescent="0.25">
      <c r="B246" s="59"/>
      <c r="C246" s="65" t="s">
        <v>1050</v>
      </c>
      <c r="D246" s="61" t="s">
        <v>2</v>
      </c>
      <c r="E246" s="62">
        <f>$A$4</f>
        <v>0</v>
      </c>
      <c r="F246" s="63">
        <f>'Прайс для расчета'!E226</f>
        <v>1942.5</v>
      </c>
      <c r="G246" s="64">
        <f t="shared" si="38"/>
        <v>0</v>
      </c>
      <c r="I246" s="135">
        <f>'Прайс для расчета (М)'!E226</f>
        <v>971.25</v>
      </c>
      <c r="J246" s="36">
        <f t="shared" si="39"/>
        <v>0</v>
      </c>
    </row>
    <row r="247" spans="2:10" ht="15.6" x14ac:dyDescent="0.25">
      <c r="B247" s="59"/>
      <c r="C247" s="65" t="s">
        <v>1049</v>
      </c>
      <c r="D247" s="61" t="s">
        <v>2</v>
      </c>
      <c r="E247" s="62">
        <f>$A$4</f>
        <v>0</v>
      </c>
      <c r="F247" s="63">
        <f>'Прайс для расчета'!E227</f>
        <v>2047.5</v>
      </c>
      <c r="G247" s="64">
        <f t="shared" si="38"/>
        <v>0</v>
      </c>
      <c r="I247" s="135">
        <f>'Прайс для расчета (М)'!E227</f>
        <v>1023.75</v>
      </c>
      <c r="J247" s="36">
        <f t="shared" si="39"/>
        <v>0</v>
      </c>
    </row>
    <row r="248" spans="2:10" ht="15.6" x14ac:dyDescent="0.25">
      <c r="B248" s="59"/>
      <c r="C248" s="65" t="s">
        <v>1051</v>
      </c>
      <c r="D248" s="61" t="s">
        <v>3</v>
      </c>
      <c r="E248" s="62">
        <v>1</v>
      </c>
      <c r="F248" s="63">
        <f>'Прайс для расчета'!E228</f>
        <v>2467.5</v>
      </c>
      <c r="G248" s="64">
        <f t="shared" si="38"/>
        <v>2467.5</v>
      </c>
      <c r="I248" s="135">
        <f>'Прайс для расчета (М)'!E228</f>
        <v>1233.75</v>
      </c>
      <c r="J248" s="36">
        <f t="shared" si="39"/>
        <v>1233.75</v>
      </c>
    </row>
    <row r="249" spans="2:10" ht="15.6" x14ac:dyDescent="0.25">
      <c r="B249" s="59"/>
      <c r="C249" s="69" t="s">
        <v>888</v>
      </c>
      <c r="D249" s="61" t="s">
        <v>3</v>
      </c>
      <c r="E249" s="62">
        <v>1</v>
      </c>
      <c r="F249" s="63">
        <f>'Прайс для расчета'!E229</f>
        <v>2677.5</v>
      </c>
      <c r="G249" s="64">
        <f t="shared" si="38"/>
        <v>2677.5</v>
      </c>
      <c r="I249" s="135">
        <f>'Прайс для расчета (М)'!E229</f>
        <v>1338.75</v>
      </c>
      <c r="J249" s="36">
        <f t="shared" si="39"/>
        <v>1338.75</v>
      </c>
    </row>
    <row r="250" spans="2:10" ht="15.6" x14ac:dyDescent="0.25">
      <c r="B250" s="110">
        <f>IF(SUM(B141:B249)&gt;0,1,0)</f>
        <v>0</v>
      </c>
      <c r="C250" s="266" t="s">
        <v>514</v>
      </c>
      <c r="D250" s="266"/>
      <c r="E250" s="266"/>
      <c r="F250" s="266"/>
      <c r="G250" s="157">
        <f>SUMIF(B142:B249,1,G142:G249)</f>
        <v>0</v>
      </c>
      <c r="J250" s="36">
        <f>SUMIF(B142:B249,1,J142:J249)</f>
        <v>0</v>
      </c>
    </row>
    <row r="251" spans="2:10" ht="15.6" x14ac:dyDescent="0.25">
      <c r="B251" s="153">
        <f>IF(SUM(B252:B363)&gt;0,1,0)</f>
        <v>0</v>
      </c>
      <c r="C251" s="164" t="s">
        <v>980</v>
      </c>
      <c r="D251" s="154" t="s">
        <v>179</v>
      </c>
      <c r="E251" s="154" t="s">
        <v>180</v>
      </c>
      <c r="F251" s="154" t="s">
        <v>1</v>
      </c>
      <c r="G251" s="154" t="s">
        <v>181</v>
      </c>
      <c r="I251" s="36" t="s">
        <v>1</v>
      </c>
      <c r="J251" s="36" t="s">
        <v>181</v>
      </c>
    </row>
    <row r="252" spans="2:10" ht="15.6" x14ac:dyDescent="0.25">
      <c r="B252" s="59">
        <f>IF(SUM(B253:B288)&gt;0,1,0)</f>
        <v>0</v>
      </c>
      <c r="C252" s="67" t="s">
        <v>877</v>
      </c>
      <c r="D252" s="61"/>
      <c r="E252" s="62"/>
      <c r="F252" s="63"/>
      <c r="G252" s="64"/>
    </row>
    <row r="253" spans="2:10" ht="15.6" x14ac:dyDescent="0.3">
      <c r="B253" s="59"/>
      <c r="C253" s="78" t="s">
        <v>933</v>
      </c>
      <c r="D253" s="74" t="s">
        <v>2</v>
      </c>
      <c r="E253" s="62">
        <f>$A$4</f>
        <v>0</v>
      </c>
      <c r="F253" s="63">
        <f>'Прайс для расчета'!E230</f>
        <v>2518.9500000000003</v>
      </c>
      <c r="G253" s="64">
        <f t="shared" ref="G253:G288" si="43">F253*E253</f>
        <v>0</v>
      </c>
      <c r="I253" s="135">
        <f>'Прайс для расчета (М)'!E230</f>
        <v>1259.4750000000001</v>
      </c>
      <c r="J253" s="36">
        <f t="shared" ref="J253:J288" si="44">I253*E253</f>
        <v>0</v>
      </c>
    </row>
    <row r="254" spans="2:10" ht="15.6" x14ac:dyDescent="0.3">
      <c r="B254" s="59"/>
      <c r="C254" s="78" t="s">
        <v>233</v>
      </c>
      <c r="D254" s="74" t="s">
        <v>3</v>
      </c>
      <c r="E254" s="62">
        <f t="shared" ref="E254:E269" si="45">$A$4</f>
        <v>0</v>
      </c>
      <c r="F254" s="63">
        <f>'Прайс для расчета'!E231</f>
        <v>509.25</v>
      </c>
      <c r="G254" s="64">
        <f t="shared" si="43"/>
        <v>0</v>
      </c>
      <c r="I254" s="135">
        <f>'Прайс для расчета (М)'!E231</f>
        <v>254.625</v>
      </c>
      <c r="J254" s="36">
        <f t="shared" si="44"/>
        <v>0</v>
      </c>
    </row>
    <row r="255" spans="2:10" ht="15.6" x14ac:dyDescent="0.3">
      <c r="B255" s="59"/>
      <c r="C255" s="78" t="s">
        <v>409</v>
      </c>
      <c r="D255" s="74" t="s">
        <v>2</v>
      </c>
      <c r="E255" s="62">
        <f t="shared" si="45"/>
        <v>0</v>
      </c>
      <c r="F255" s="63">
        <f>'Прайс для расчета'!E232</f>
        <v>2718.4500000000003</v>
      </c>
      <c r="G255" s="64">
        <f t="shared" si="43"/>
        <v>0</v>
      </c>
      <c r="I255" s="135">
        <f>'Прайс для расчета (М)'!E232</f>
        <v>1359.2250000000001</v>
      </c>
      <c r="J255" s="36">
        <f t="shared" si="44"/>
        <v>0</v>
      </c>
    </row>
    <row r="256" spans="2:10" ht="15.6" x14ac:dyDescent="0.3">
      <c r="B256" s="59"/>
      <c r="C256" s="78" t="s">
        <v>1059</v>
      </c>
      <c r="D256" s="74" t="s">
        <v>2</v>
      </c>
      <c r="E256" s="62">
        <f t="shared" si="45"/>
        <v>0</v>
      </c>
      <c r="F256" s="63">
        <f>'Прайс для расчета'!E233</f>
        <v>1260</v>
      </c>
      <c r="G256" s="64">
        <f t="shared" si="43"/>
        <v>0</v>
      </c>
      <c r="I256" s="135">
        <f>'Прайс для расчета (М)'!E233</f>
        <v>630</v>
      </c>
      <c r="J256" s="36">
        <f t="shared" si="44"/>
        <v>0</v>
      </c>
    </row>
    <row r="257" spans="2:10" ht="15.6" x14ac:dyDescent="0.3">
      <c r="B257" s="59"/>
      <c r="C257" s="78" t="s">
        <v>411</v>
      </c>
      <c r="D257" s="74" t="s">
        <v>2</v>
      </c>
      <c r="E257" s="62">
        <f t="shared" si="45"/>
        <v>0</v>
      </c>
      <c r="F257" s="63">
        <f>'Прайс для расчета'!E234</f>
        <v>3033.4500000000003</v>
      </c>
      <c r="G257" s="64">
        <f t="shared" si="43"/>
        <v>0</v>
      </c>
      <c r="I257" s="135">
        <f>'Прайс для расчета (М)'!E234</f>
        <v>1516.7250000000001</v>
      </c>
      <c r="J257" s="36">
        <f t="shared" si="44"/>
        <v>0</v>
      </c>
    </row>
    <row r="258" spans="2:10" ht="15.6" x14ac:dyDescent="0.3">
      <c r="B258" s="59"/>
      <c r="C258" s="78" t="s">
        <v>515</v>
      </c>
      <c r="D258" s="74" t="s">
        <v>3</v>
      </c>
      <c r="E258" s="62">
        <f t="shared" si="45"/>
        <v>0</v>
      </c>
      <c r="F258" s="63">
        <f>'Прайс для расчета'!E235</f>
        <v>971.25</v>
      </c>
      <c r="G258" s="64">
        <f t="shared" si="43"/>
        <v>0</v>
      </c>
      <c r="I258" s="135">
        <f>'Прайс для расчета (М)'!E235</f>
        <v>485.625</v>
      </c>
      <c r="J258" s="36">
        <f t="shared" si="44"/>
        <v>0</v>
      </c>
    </row>
    <row r="259" spans="2:10" ht="15.6" x14ac:dyDescent="0.3">
      <c r="B259" s="59"/>
      <c r="C259" s="78" t="s">
        <v>923</v>
      </c>
      <c r="D259" s="74" t="s">
        <v>2</v>
      </c>
      <c r="E259" s="62">
        <f t="shared" si="45"/>
        <v>0</v>
      </c>
      <c r="F259" s="63">
        <f>'Прайс для расчета'!E236</f>
        <v>3412.5</v>
      </c>
      <c r="G259" s="64">
        <f t="shared" si="43"/>
        <v>0</v>
      </c>
      <c r="I259" s="135">
        <f>'Прайс для расчета (М)'!E236</f>
        <v>1706.25</v>
      </c>
      <c r="J259" s="36">
        <f t="shared" si="44"/>
        <v>0</v>
      </c>
    </row>
    <row r="260" spans="2:10" ht="15.6" x14ac:dyDescent="0.3">
      <c r="B260" s="59"/>
      <c r="C260" s="78" t="s">
        <v>988</v>
      </c>
      <c r="D260" s="74" t="s">
        <v>2</v>
      </c>
      <c r="E260" s="62">
        <f t="shared" si="45"/>
        <v>0</v>
      </c>
      <c r="F260" s="63">
        <f>'Прайс для расчета'!E237</f>
        <v>2938.9500000000003</v>
      </c>
      <c r="G260" s="64">
        <f t="shared" si="43"/>
        <v>0</v>
      </c>
      <c r="I260" s="135">
        <f>'Прайс для расчета (М)'!E237</f>
        <v>1469.4750000000001</v>
      </c>
      <c r="J260" s="36">
        <f t="shared" si="44"/>
        <v>0</v>
      </c>
    </row>
    <row r="261" spans="2:10" ht="15.6" x14ac:dyDescent="0.3">
      <c r="B261" s="59"/>
      <c r="C261" s="78" t="s">
        <v>922</v>
      </c>
      <c r="D261" s="74" t="s">
        <v>2</v>
      </c>
      <c r="E261" s="62">
        <f t="shared" si="45"/>
        <v>0</v>
      </c>
      <c r="F261" s="63">
        <f>'Прайс для расчета'!E238</f>
        <v>3097.5</v>
      </c>
      <c r="G261" s="64">
        <f t="shared" si="43"/>
        <v>0</v>
      </c>
      <c r="I261" s="135">
        <f>'Прайс для расчета (М)'!E238</f>
        <v>1548.75</v>
      </c>
      <c r="J261" s="36">
        <f t="shared" si="44"/>
        <v>0</v>
      </c>
    </row>
    <row r="262" spans="2:10" ht="15.6" x14ac:dyDescent="0.3">
      <c r="B262" s="59"/>
      <c r="C262" s="78" t="s">
        <v>990</v>
      </c>
      <c r="D262" s="74" t="s">
        <v>2</v>
      </c>
      <c r="E262" s="62">
        <f t="shared" si="45"/>
        <v>0</v>
      </c>
      <c r="F262" s="63">
        <f>'Прайс для расчета'!E239</f>
        <v>3717</v>
      </c>
      <c r="G262" s="64">
        <f t="shared" si="43"/>
        <v>0</v>
      </c>
      <c r="I262" s="135">
        <f>'Прайс для расчета (М)'!E239</f>
        <v>1858.5</v>
      </c>
      <c r="J262" s="36">
        <f t="shared" si="44"/>
        <v>0</v>
      </c>
    </row>
    <row r="263" spans="2:10" ht="15.6" x14ac:dyDescent="0.3">
      <c r="B263" s="59"/>
      <c r="C263" s="78" t="s">
        <v>936</v>
      </c>
      <c r="D263" s="74" t="s">
        <v>2</v>
      </c>
      <c r="E263" s="62">
        <f t="shared" si="45"/>
        <v>0</v>
      </c>
      <c r="F263" s="63">
        <f>'Прайс для расчета'!E240</f>
        <v>6237</v>
      </c>
      <c r="G263" s="64">
        <f t="shared" si="43"/>
        <v>0</v>
      </c>
      <c r="I263" s="135">
        <f>'Прайс для расчета (М)'!E240</f>
        <v>3118.5</v>
      </c>
      <c r="J263" s="36">
        <f t="shared" si="44"/>
        <v>0</v>
      </c>
    </row>
    <row r="264" spans="2:10" ht="15.6" x14ac:dyDescent="0.3">
      <c r="B264" s="59"/>
      <c r="C264" s="78" t="s">
        <v>1065</v>
      </c>
      <c r="D264" s="74" t="s">
        <v>2</v>
      </c>
      <c r="E264" s="62">
        <f t="shared" si="45"/>
        <v>0</v>
      </c>
      <c r="F264" s="63">
        <f>'Прайс для расчета'!E241</f>
        <v>3622.5</v>
      </c>
      <c r="G264" s="64">
        <f t="shared" si="43"/>
        <v>0</v>
      </c>
      <c r="I264" s="135">
        <f>'Прайс для расчета (М)'!E241</f>
        <v>1811.25</v>
      </c>
      <c r="J264" s="36">
        <f t="shared" si="44"/>
        <v>0</v>
      </c>
    </row>
    <row r="265" spans="2:10" ht="15.6" x14ac:dyDescent="0.3">
      <c r="B265" s="59"/>
      <c r="C265" s="78" t="s">
        <v>1066</v>
      </c>
      <c r="D265" s="74" t="s">
        <v>2</v>
      </c>
      <c r="E265" s="62">
        <f t="shared" si="45"/>
        <v>0</v>
      </c>
      <c r="F265" s="63">
        <f>'Прайс для расчета'!E242</f>
        <v>5197.5</v>
      </c>
      <c r="G265" s="64">
        <f t="shared" si="43"/>
        <v>0</v>
      </c>
      <c r="I265" s="135">
        <f>'Прайс для расчета (М)'!E242</f>
        <v>2598.75</v>
      </c>
      <c r="J265" s="36">
        <f t="shared" si="44"/>
        <v>0</v>
      </c>
    </row>
    <row r="266" spans="2:10" ht="15.6" x14ac:dyDescent="0.3">
      <c r="B266" s="59"/>
      <c r="C266" s="78" t="s">
        <v>1067</v>
      </c>
      <c r="D266" s="74" t="s">
        <v>2</v>
      </c>
      <c r="E266" s="62">
        <f t="shared" si="45"/>
        <v>0</v>
      </c>
      <c r="F266" s="63">
        <f>'Прайс для расчета'!E243</f>
        <v>3097.5</v>
      </c>
      <c r="G266" s="64">
        <f t="shared" si="43"/>
        <v>0</v>
      </c>
      <c r="I266" s="135">
        <f>'Прайс для расчета (М)'!E243</f>
        <v>1548.75</v>
      </c>
      <c r="J266" s="36">
        <f t="shared" si="44"/>
        <v>0</v>
      </c>
    </row>
    <row r="267" spans="2:10" ht="15.6" x14ac:dyDescent="0.3">
      <c r="B267" s="59"/>
      <c r="C267" s="78" t="s">
        <v>412</v>
      </c>
      <c r="D267" s="74" t="s">
        <v>2</v>
      </c>
      <c r="E267" s="62">
        <f t="shared" si="45"/>
        <v>0</v>
      </c>
      <c r="F267" s="63">
        <f>'Прайс для расчета'!E244</f>
        <v>404.25</v>
      </c>
      <c r="G267" s="64">
        <f t="shared" si="43"/>
        <v>0</v>
      </c>
      <c r="I267" s="135">
        <f>'Прайс для расчета (М)'!E244</f>
        <v>202.125</v>
      </c>
      <c r="J267" s="36">
        <f t="shared" si="44"/>
        <v>0</v>
      </c>
    </row>
    <row r="268" spans="2:10" ht="15.6" x14ac:dyDescent="0.3">
      <c r="B268" s="59"/>
      <c r="C268" s="78" t="s">
        <v>937</v>
      </c>
      <c r="D268" s="74" t="s">
        <v>2</v>
      </c>
      <c r="E268" s="62">
        <f t="shared" si="45"/>
        <v>0</v>
      </c>
      <c r="F268" s="63">
        <f>'Прайс для расчета'!E245</f>
        <v>1244.25</v>
      </c>
      <c r="G268" s="64">
        <f t="shared" si="43"/>
        <v>0</v>
      </c>
      <c r="I268" s="135">
        <f>'Прайс для расчета (М)'!E245</f>
        <v>622.125</v>
      </c>
      <c r="J268" s="36">
        <f t="shared" si="44"/>
        <v>0</v>
      </c>
    </row>
    <row r="269" spans="2:10" ht="15.6" x14ac:dyDescent="0.3">
      <c r="B269" s="59"/>
      <c r="C269" s="78" t="s">
        <v>938</v>
      </c>
      <c r="D269" s="74" t="s">
        <v>2</v>
      </c>
      <c r="E269" s="62">
        <f t="shared" si="45"/>
        <v>0</v>
      </c>
      <c r="F269" s="63">
        <f>'Прайс для расчета'!E246</f>
        <v>929.25</v>
      </c>
      <c r="G269" s="64">
        <f t="shared" si="43"/>
        <v>0</v>
      </c>
      <c r="I269" s="135">
        <f>'Прайс для расчета (М)'!E246</f>
        <v>464.625</v>
      </c>
      <c r="J269" s="36">
        <f t="shared" si="44"/>
        <v>0</v>
      </c>
    </row>
    <row r="270" spans="2:10" ht="15.6" x14ac:dyDescent="0.3">
      <c r="B270" s="59"/>
      <c r="C270" s="78" t="s">
        <v>677</v>
      </c>
      <c r="D270" s="74" t="s">
        <v>646</v>
      </c>
      <c r="E270" s="62">
        <f>ROUND(E264/2,0)</f>
        <v>0</v>
      </c>
      <c r="F270" s="63">
        <f>'Прайс для расчета'!E247</f>
        <v>572.25</v>
      </c>
      <c r="G270" s="64">
        <f t="shared" si="43"/>
        <v>0</v>
      </c>
      <c r="I270" s="135">
        <f>'Прайс для расчета (М)'!E247</f>
        <v>286.125</v>
      </c>
      <c r="J270" s="36">
        <f t="shared" si="44"/>
        <v>0</v>
      </c>
    </row>
    <row r="271" spans="2:10" ht="15.6" x14ac:dyDescent="0.3">
      <c r="B271" s="59"/>
      <c r="C271" s="78" t="s">
        <v>413</v>
      </c>
      <c r="D271" s="74" t="s">
        <v>646</v>
      </c>
      <c r="E271" s="62">
        <f>$A$2</f>
        <v>0</v>
      </c>
      <c r="F271" s="63">
        <f>'Прайс для расчета'!E248</f>
        <v>1023.75</v>
      </c>
      <c r="G271" s="64">
        <f t="shared" si="43"/>
        <v>0</v>
      </c>
      <c r="I271" s="135">
        <f>'Прайс для расчета (М)'!E248</f>
        <v>511.875</v>
      </c>
      <c r="J271" s="36">
        <f t="shared" si="44"/>
        <v>0</v>
      </c>
    </row>
    <row r="272" spans="2:10" ht="15.6" x14ac:dyDescent="0.25">
      <c r="B272" s="59"/>
      <c r="C272" s="69" t="s">
        <v>414</v>
      </c>
      <c r="D272" s="61" t="s">
        <v>2</v>
      </c>
      <c r="E272" s="62">
        <f t="shared" ref="E272:E282" si="46">$A$4</f>
        <v>0</v>
      </c>
      <c r="F272" s="63">
        <f>'Прайс для расчета'!E249</f>
        <v>715.68</v>
      </c>
      <c r="G272" s="64">
        <f t="shared" si="43"/>
        <v>0</v>
      </c>
      <c r="I272" s="135">
        <f>'Прайс для расчета (М)'!E249</f>
        <v>357.84</v>
      </c>
      <c r="J272" s="36">
        <f t="shared" si="44"/>
        <v>0</v>
      </c>
    </row>
    <row r="273" spans="2:10" ht="15.6" x14ac:dyDescent="0.25">
      <c r="B273" s="59"/>
      <c r="C273" s="69" t="s">
        <v>145</v>
      </c>
      <c r="D273" s="61" t="s">
        <v>2</v>
      </c>
      <c r="E273" s="62">
        <f t="shared" si="46"/>
        <v>0</v>
      </c>
      <c r="F273" s="63">
        <f>'Прайс для расчета'!E250</f>
        <v>819</v>
      </c>
      <c r="G273" s="64">
        <f t="shared" si="43"/>
        <v>0</v>
      </c>
      <c r="I273" s="135">
        <f>'Прайс для расчета (М)'!E250</f>
        <v>409.5</v>
      </c>
      <c r="J273" s="36">
        <f t="shared" si="44"/>
        <v>0</v>
      </c>
    </row>
    <row r="274" spans="2:10" ht="15.6" x14ac:dyDescent="0.25">
      <c r="B274" s="59"/>
      <c r="C274" s="69" t="s">
        <v>904</v>
      </c>
      <c r="D274" s="61" t="s">
        <v>2</v>
      </c>
      <c r="E274" s="62">
        <f t="shared" si="46"/>
        <v>0</v>
      </c>
      <c r="F274" s="63">
        <f>'Прайс для расчета'!E251</f>
        <v>876.75</v>
      </c>
      <c r="G274" s="64">
        <f t="shared" si="43"/>
        <v>0</v>
      </c>
      <c r="I274" s="135">
        <f>'Прайс для расчета (М)'!E251</f>
        <v>438.375</v>
      </c>
      <c r="J274" s="36">
        <f t="shared" si="44"/>
        <v>0</v>
      </c>
    </row>
    <row r="275" spans="2:10" ht="15.6" x14ac:dyDescent="0.25">
      <c r="B275" s="59"/>
      <c r="C275" s="69" t="s">
        <v>925</v>
      </c>
      <c r="D275" s="61" t="s">
        <v>2</v>
      </c>
      <c r="E275" s="62">
        <f t="shared" si="46"/>
        <v>0</v>
      </c>
      <c r="F275" s="63">
        <f>'Прайс для расчета'!E252</f>
        <v>1097.25</v>
      </c>
      <c r="G275" s="64">
        <f t="shared" si="43"/>
        <v>0</v>
      </c>
      <c r="I275" s="135">
        <f>'Прайс для расчета (М)'!E252</f>
        <v>548.625</v>
      </c>
      <c r="J275" s="36">
        <f t="shared" si="44"/>
        <v>0</v>
      </c>
    </row>
    <row r="276" spans="2:10" ht="15.6" x14ac:dyDescent="0.25">
      <c r="B276" s="59"/>
      <c r="C276" s="69" t="s">
        <v>893</v>
      </c>
      <c r="D276" s="61" t="s">
        <v>2</v>
      </c>
      <c r="E276" s="62">
        <f t="shared" si="46"/>
        <v>0</v>
      </c>
      <c r="F276" s="63">
        <f>'Прайс для расчета'!E253</f>
        <v>299.25</v>
      </c>
      <c r="G276" s="64">
        <f t="shared" si="43"/>
        <v>0</v>
      </c>
      <c r="I276" s="135">
        <f>'Прайс для расчета (М)'!E253</f>
        <v>149.625</v>
      </c>
      <c r="J276" s="36">
        <f t="shared" si="44"/>
        <v>0</v>
      </c>
    </row>
    <row r="277" spans="2:10" ht="15.6" x14ac:dyDescent="0.25">
      <c r="B277" s="59"/>
      <c r="C277" s="69" t="s">
        <v>415</v>
      </c>
      <c r="D277" s="61" t="s">
        <v>2</v>
      </c>
      <c r="E277" s="62">
        <f t="shared" si="46"/>
        <v>0</v>
      </c>
      <c r="F277" s="63">
        <f>'Прайс для расчета'!E254</f>
        <v>1044.75</v>
      </c>
      <c r="G277" s="64">
        <f t="shared" si="43"/>
        <v>0</v>
      </c>
      <c r="I277" s="135">
        <f>'Прайс для расчета (М)'!E254</f>
        <v>522.375</v>
      </c>
      <c r="J277" s="36">
        <f t="shared" si="44"/>
        <v>0</v>
      </c>
    </row>
    <row r="278" spans="2:10" ht="15.6" x14ac:dyDescent="0.25">
      <c r="B278" s="59"/>
      <c r="C278" s="69" t="s">
        <v>519</v>
      </c>
      <c r="D278" s="61" t="s">
        <v>2</v>
      </c>
      <c r="E278" s="62">
        <f t="shared" si="46"/>
        <v>0</v>
      </c>
      <c r="F278" s="63">
        <f>'Прайс для расчета'!E255</f>
        <v>1401.75</v>
      </c>
      <c r="G278" s="64">
        <f t="shared" si="43"/>
        <v>0</v>
      </c>
      <c r="I278" s="135">
        <f>'Прайс для расчета (М)'!E255</f>
        <v>700.875</v>
      </c>
      <c r="J278" s="36">
        <f t="shared" si="44"/>
        <v>0</v>
      </c>
    </row>
    <row r="279" spans="2:10" ht="15.6" x14ac:dyDescent="0.25">
      <c r="B279" s="59"/>
      <c r="C279" s="69" t="s">
        <v>891</v>
      </c>
      <c r="D279" s="61" t="s">
        <v>2</v>
      </c>
      <c r="E279" s="62">
        <f t="shared" si="46"/>
        <v>0</v>
      </c>
      <c r="F279" s="63">
        <f>'Прайс для расчета'!E256</f>
        <v>2982</v>
      </c>
      <c r="G279" s="64">
        <f t="shared" si="43"/>
        <v>0</v>
      </c>
      <c r="I279" s="135">
        <f>'Прайс для расчета (М)'!E256</f>
        <v>1491</v>
      </c>
      <c r="J279" s="36">
        <f t="shared" si="44"/>
        <v>0</v>
      </c>
    </row>
    <row r="280" spans="2:10" ht="15.6" x14ac:dyDescent="0.25">
      <c r="B280" s="59"/>
      <c r="C280" s="69" t="s">
        <v>416</v>
      </c>
      <c r="D280" s="61" t="s">
        <v>2</v>
      </c>
      <c r="E280" s="62">
        <f t="shared" si="46"/>
        <v>0</v>
      </c>
      <c r="F280" s="63">
        <f>'Прайс для расчета'!E257</f>
        <v>1155</v>
      </c>
      <c r="G280" s="64">
        <f t="shared" si="43"/>
        <v>0</v>
      </c>
      <c r="I280" s="135">
        <f>'Прайс для расчета (М)'!E257</f>
        <v>577.5</v>
      </c>
      <c r="J280" s="36">
        <f t="shared" si="44"/>
        <v>0</v>
      </c>
    </row>
    <row r="281" spans="2:10" ht="15.6" x14ac:dyDescent="0.25">
      <c r="B281" s="59"/>
      <c r="C281" s="69" t="s">
        <v>149</v>
      </c>
      <c r="D281" s="61" t="s">
        <v>2</v>
      </c>
      <c r="E281" s="62">
        <f t="shared" si="46"/>
        <v>0</v>
      </c>
      <c r="F281" s="63">
        <f>'Прайс для расчета'!E258</f>
        <v>441</v>
      </c>
      <c r="G281" s="64">
        <f t="shared" si="43"/>
        <v>0</v>
      </c>
      <c r="I281" s="135">
        <f>'Прайс для расчета (М)'!E258</f>
        <v>220.5</v>
      </c>
      <c r="J281" s="36">
        <f t="shared" si="44"/>
        <v>0</v>
      </c>
    </row>
    <row r="282" spans="2:10" ht="15.6" x14ac:dyDescent="0.25">
      <c r="B282" s="59"/>
      <c r="C282" s="69" t="s">
        <v>150</v>
      </c>
      <c r="D282" s="61" t="s">
        <v>2</v>
      </c>
      <c r="E282" s="62">
        <f t="shared" si="46"/>
        <v>0</v>
      </c>
      <c r="F282" s="63">
        <f>'Прайс для расчета'!E259</f>
        <v>514.5</v>
      </c>
      <c r="G282" s="64">
        <f t="shared" si="43"/>
        <v>0</v>
      </c>
      <c r="I282" s="135">
        <f>'Прайс для расчета (М)'!E259</f>
        <v>257.25</v>
      </c>
      <c r="J282" s="36">
        <f t="shared" si="44"/>
        <v>0</v>
      </c>
    </row>
    <row r="283" spans="2:10" ht="15.6" x14ac:dyDescent="0.25">
      <c r="B283" s="59"/>
      <c r="C283" s="69" t="s">
        <v>417</v>
      </c>
      <c r="D283" s="61" t="s">
        <v>3</v>
      </c>
      <c r="E283" s="62">
        <f>$A$2</f>
        <v>0</v>
      </c>
      <c r="F283" s="63">
        <f>'Прайс для расчета'!E260</f>
        <v>224.70000000000002</v>
      </c>
      <c r="G283" s="64">
        <f t="shared" si="43"/>
        <v>0</v>
      </c>
      <c r="I283" s="135">
        <f>'Прайс для расчета (М)'!E260</f>
        <v>112.35000000000001</v>
      </c>
      <c r="J283" s="36">
        <f t="shared" si="44"/>
        <v>0</v>
      </c>
    </row>
    <row r="284" spans="2:10" ht="15.6" x14ac:dyDescent="0.25">
      <c r="B284" s="59"/>
      <c r="C284" s="69" t="s">
        <v>250</v>
      </c>
      <c r="D284" s="61" t="s">
        <v>3</v>
      </c>
      <c r="E284" s="62">
        <f>$A$2</f>
        <v>0</v>
      </c>
      <c r="F284" s="63">
        <f>'Прайс для расчета'!E261</f>
        <v>651</v>
      </c>
      <c r="G284" s="64">
        <f t="shared" si="43"/>
        <v>0</v>
      </c>
      <c r="I284" s="135">
        <f>'Прайс для расчета (М)'!E261</f>
        <v>325.5</v>
      </c>
      <c r="J284" s="36">
        <f t="shared" si="44"/>
        <v>0</v>
      </c>
    </row>
    <row r="285" spans="2:10" ht="15.6" x14ac:dyDescent="0.25">
      <c r="B285" s="59"/>
      <c r="C285" s="69" t="s">
        <v>890</v>
      </c>
      <c r="D285" s="61" t="s">
        <v>3</v>
      </c>
      <c r="E285" s="62">
        <f t="shared" ref="E285:E287" si="47">$A$2</f>
        <v>0</v>
      </c>
      <c r="F285" s="63">
        <f>'Прайс для расчета'!E262</f>
        <v>834.75</v>
      </c>
      <c r="G285" s="64">
        <f t="shared" si="43"/>
        <v>0</v>
      </c>
      <c r="I285" s="135">
        <f>'Прайс для расчета (М)'!E262</f>
        <v>417.375</v>
      </c>
      <c r="J285" s="36">
        <f t="shared" si="44"/>
        <v>0</v>
      </c>
    </row>
    <row r="286" spans="2:10" ht="15.6" x14ac:dyDescent="0.25">
      <c r="B286" s="59"/>
      <c r="C286" s="69" t="s">
        <v>418</v>
      </c>
      <c r="D286" s="61" t="s">
        <v>0</v>
      </c>
      <c r="E286" s="62">
        <f t="shared" si="47"/>
        <v>0</v>
      </c>
      <c r="F286" s="63">
        <f>'Прайс для расчета'!E263</f>
        <v>787.5</v>
      </c>
      <c r="G286" s="64">
        <f t="shared" si="43"/>
        <v>0</v>
      </c>
      <c r="I286" s="135">
        <f>'Прайс для расчета (М)'!E263</f>
        <v>393.75</v>
      </c>
      <c r="J286" s="36">
        <f t="shared" si="44"/>
        <v>0</v>
      </c>
    </row>
    <row r="287" spans="2:10" ht="15.6" x14ac:dyDescent="0.25">
      <c r="B287" s="59"/>
      <c r="C287" s="69" t="s">
        <v>137</v>
      </c>
      <c r="D287" s="61" t="s">
        <v>0</v>
      </c>
      <c r="E287" s="62">
        <f t="shared" si="47"/>
        <v>0</v>
      </c>
      <c r="F287" s="63">
        <f>'Прайс для расчета'!E264</f>
        <v>2551.5</v>
      </c>
      <c r="G287" s="64">
        <f t="shared" si="43"/>
        <v>0</v>
      </c>
      <c r="I287" s="135">
        <f>'Прайс для расчета (М)'!E264</f>
        <v>1275.75</v>
      </c>
      <c r="J287" s="36">
        <f t="shared" si="44"/>
        <v>0</v>
      </c>
    </row>
    <row r="288" spans="2:10" ht="15.6" x14ac:dyDescent="0.25">
      <c r="B288" s="59"/>
      <c r="C288" s="69" t="s">
        <v>520</v>
      </c>
      <c r="D288" s="61" t="s">
        <v>3</v>
      </c>
      <c r="E288" s="62">
        <f>$A$2</f>
        <v>0</v>
      </c>
      <c r="F288" s="63">
        <f>'Прайс для расчета'!E265</f>
        <v>152.25</v>
      </c>
      <c r="G288" s="64">
        <f t="shared" si="43"/>
        <v>0</v>
      </c>
      <c r="I288" s="135">
        <f>'Прайс для расчета (М)'!E265</f>
        <v>76.125</v>
      </c>
      <c r="J288" s="36">
        <f t="shared" si="44"/>
        <v>0</v>
      </c>
    </row>
    <row r="289" spans="2:10" ht="15.6" x14ac:dyDescent="0.25">
      <c r="B289" s="59">
        <f>IF(SUM(B290:B313)&gt;0,1,0)</f>
        <v>0</v>
      </c>
      <c r="C289" s="67" t="s">
        <v>878</v>
      </c>
      <c r="D289" s="61"/>
      <c r="E289" s="62"/>
      <c r="F289" s="63"/>
      <c r="G289" s="64"/>
    </row>
    <row r="290" spans="2:10" ht="15.6" x14ac:dyDescent="0.25">
      <c r="B290" s="59"/>
      <c r="C290" s="69" t="s">
        <v>1068</v>
      </c>
      <c r="D290" s="61" t="s">
        <v>2</v>
      </c>
      <c r="E290" s="62" t="e">
        <f>$A$6</f>
        <v>#REF!</v>
      </c>
      <c r="F290" s="63">
        <f>'Прайс для расчета'!E276</f>
        <v>4384.8</v>
      </c>
      <c r="G290" s="64" t="e">
        <f t="shared" ref="G290:G313" si="48">F290*E290</f>
        <v>#REF!</v>
      </c>
      <c r="I290" s="135">
        <f>'Прайс для расчета (М)'!E276</f>
        <v>2192.4</v>
      </c>
      <c r="J290" s="36" t="e">
        <f t="shared" ref="J290:J313" si="49">I290*E290</f>
        <v>#REF!</v>
      </c>
    </row>
    <row r="291" spans="2:10" ht="15.6" x14ac:dyDescent="0.25">
      <c r="B291" s="59"/>
      <c r="C291" s="69" t="s">
        <v>270</v>
      </c>
      <c r="D291" s="61" t="s">
        <v>2</v>
      </c>
      <c r="E291" s="62" t="e">
        <f t="shared" ref="E291:E307" si="50">$A$6</f>
        <v>#REF!</v>
      </c>
      <c r="F291" s="63">
        <f>'Прайс для расчета'!E287</f>
        <v>2220.75</v>
      </c>
      <c r="G291" s="64" t="e">
        <f t="shared" si="48"/>
        <v>#REF!</v>
      </c>
      <c r="I291" s="135">
        <f>'Прайс для расчета (М)'!E287</f>
        <v>1110.375</v>
      </c>
      <c r="J291" s="36" t="e">
        <f t="shared" si="49"/>
        <v>#REF!</v>
      </c>
    </row>
    <row r="292" spans="2:10" ht="15.6" x14ac:dyDescent="0.25">
      <c r="B292" s="59"/>
      <c r="C292" s="69" t="s">
        <v>524</v>
      </c>
      <c r="D292" s="61" t="s">
        <v>2</v>
      </c>
      <c r="E292" s="62" t="e">
        <f t="shared" si="50"/>
        <v>#REF!</v>
      </c>
      <c r="F292" s="63">
        <f>'Прайс для расчета'!E288</f>
        <v>2577.75</v>
      </c>
      <c r="G292" s="64" t="e">
        <f t="shared" si="48"/>
        <v>#REF!</v>
      </c>
      <c r="I292" s="135">
        <f>'Прайс для расчета (М)'!E288</f>
        <v>1288.875</v>
      </c>
      <c r="J292" s="36" t="e">
        <f t="shared" si="49"/>
        <v>#REF!</v>
      </c>
    </row>
    <row r="293" spans="2:10" ht="15.6" x14ac:dyDescent="0.25">
      <c r="B293" s="59"/>
      <c r="C293" s="69" t="s">
        <v>525</v>
      </c>
      <c r="D293" s="61" t="s">
        <v>2</v>
      </c>
      <c r="E293" s="62" t="e">
        <f t="shared" si="50"/>
        <v>#REF!</v>
      </c>
      <c r="F293" s="63">
        <f>'Прайс для расчета'!E289</f>
        <v>1291.5</v>
      </c>
      <c r="G293" s="64" t="e">
        <f t="shared" si="48"/>
        <v>#REF!</v>
      </c>
      <c r="I293" s="135">
        <f>'Прайс для расчета (М)'!E289</f>
        <v>645.75</v>
      </c>
      <c r="J293" s="36" t="e">
        <f t="shared" si="49"/>
        <v>#REF!</v>
      </c>
    </row>
    <row r="294" spans="2:10" ht="15.6" x14ac:dyDescent="0.25">
      <c r="B294" s="59"/>
      <c r="C294" s="69" t="s">
        <v>526</v>
      </c>
      <c r="D294" s="61" t="s">
        <v>2</v>
      </c>
      <c r="E294" s="62" t="e">
        <f t="shared" si="50"/>
        <v>#REF!</v>
      </c>
      <c r="F294" s="63">
        <f>'Прайс для расчета'!E290</f>
        <v>1186.5</v>
      </c>
      <c r="G294" s="64" t="e">
        <f t="shared" si="48"/>
        <v>#REF!</v>
      </c>
      <c r="I294" s="135">
        <f>'Прайс для расчета (М)'!E290</f>
        <v>593.25</v>
      </c>
      <c r="J294" s="36" t="e">
        <f t="shared" si="49"/>
        <v>#REF!</v>
      </c>
    </row>
    <row r="295" spans="2:10" ht="15.6" x14ac:dyDescent="0.25">
      <c r="B295" s="59"/>
      <c r="C295" s="69" t="s">
        <v>271</v>
      </c>
      <c r="D295" s="61" t="s">
        <v>3</v>
      </c>
      <c r="E295" s="62" t="e">
        <f t="shared" si="50"/>
        <v>#REF!</v>
      </c>
      <c r="F295" s="63">
        <f>'Прайс для расчета'!E291</f>
        <v>761.25</v>
      </c>
      <c r="G295" s="64" t="e">
        <f t="shared" si="48"/>
        <v>#REF!</v>
      </c>
      <c r="I295" s="135">
        <f>'Прайс для расчета (М)'!E291</f>
        <v>380.625</v>
      </c>
      <c r="J295" s="36" t="e">
        <f t="shared" si="49"/>
        <v>#REF!</v>
      </c>
    </row>
    <row r="296" spans="2:10" ht="15.6" x14ac:dyDescent="0.25">
      <c r="B296" s="59"/>
      <c r="C296" s="69" t="s">
        <v>962</v>
      </c>
      <c r="D296" s="61" t="s">
        <v>3</v>
      </c>
      <c r="E296" s="62" t="e">
        <f t="shared" si="50"/>
        <v>#REF!</v>
      </c>
      <c r="F296" s="63">
        <f>'Прайс для расчета'!E292</f>
        <v>519.75</v>
      </c>
      <c r="G296" s="64" t="e">
        <f t="shared" ref="G296:G297" si="51">F296*E296</f>
        <v>#REF!</v>
      </c>
      <c r="I296" s="135">
        <f>'Прайс для расчета (М)'!E292</f>
        <v>259.875</v>
      </c>
      <c r="J296" s="36" t="e">
        <f t="shared" si="49"/>
        <v>#REF!</v>
      </c>
    </row>
    <row r="297" spans="2:10" ht="15.6" x14ac:dyDescent="0.25">
      <c r="B297" s="59"/>
      <c r="C297" s="69" t="s">
        <v>963</v>
      </c>
      <c r="D297" s="61" t="s">
        <v>3</v>
      </c>
      <c r="E297" s="62" t="e">
        <f t="shared" si="50"/>
        <v>#REF!</v>
      </c>
      <c r="F297" s="63">
        <f>'Прайс для расчета'!E293</f>
        <v>824.25</v>
      </c>
      <c r="G297" s="64" t="e">
        <f t="shared" si="51"/>
        <v>#REF!</v>
      </c>
      <c r="I297" s="135">
        <f>'Прайс для расчета (М)'!E293</f>
        <v>412.125</v>
      </c>
      <c r="J297" s="36" t="e">
        <f t="shared" si="49"/>
        <v>#REF!</v>
      </c>
    </row>
    <row r="298" spans="2:10" ht="15.6" x14ac:dyDescent="0.25">
      <c r="B298" s="59"/>
      <c r="C298" s="69" t="s">
        <v>527</v>
      </c>
      <c r="D298" s="61" t="s">
        <v>2</v>
      </c>
      <c r="E298" s="62" t="e">
        <f t="shared" si="50"/>
        <v>#REF!</v>
      </c>
      <c r="F298" s="63">
        <f>'Прайс для расчета'!E294</f>
        <v>1732.5</v>
      </c>
      <c r="G298" s="64" t="e">
        <f t="shared" si="48"/>
        <v>#REF!</v>
      </c>
      <c r="I298" s="135">
        <f>'Прайс для расчета (М)'!E294</f>
        <v>866.25</v>
      </c>
      <c r="J298" s="36" t="e">
        <f t="shared" si="49"/>
        <v>#REF!</v>
      </c>
    </row>
    <row r="299" spans="2:10" ht="15.6" x14ac:dyDescent="0.25">
      <c r="B299" s="59"/>
      <c r="C299" s="69" t="s">
        <v>678</v>
      </c>
      <c r="D299" s="61" t="s">
        <v>2</v>
      </c>
      <c r="E299" s="62" t="e">
        <f t="shared" si="50"/>
        <v>#REF!</v>
      </c>
      <c r="F299" s="63">
        <f>'Прайс для расчета'!E295</f>
        <v>1942.5</v>
      </c>
      <c r="G299" s="64" t="e">
        <f t="shared" si="48"/>
        <v>#REF!</v>
      </c>
      <c r="I299" s="135">
        <f>'Прайс для расчета (М)'!E295</f>
        <v>971.25</v>
      </c>
      <c r="J299" s="36" t="e">
        <f t="shared" si="49"/>
        <v>#REF!</v>
      </c>
    </row>
    <row r="300" spans="2:10" ht="15.6" x14ac:dyDescent="0.25">
      <c r="B300" s="59"/>
      <c r="C300" s="69" t="s">
        <v>680</v>
      </c>
      <c r="D300" s="61" t="s">
        <v>2</v>
      </c>
      <c r="E300" s="62" t="e">
        <f t="shared" si="50"/>
        <v>#REF!</v>
      </c>
      <c r="F300" s="63">
        <f>'Прайс для расчета'!E296</f>
        <v>3097.5</v>
      </c>
      <c r="G300" s="64" t="e">
        <f t="shared" si="48"/>
        <v>#REF!</v>
      </c>
      <c r="I300" s="135">
        <f>'Прайс для расчета (М)'!E296</f>
        <v>1548.75</v>
      </c>
      <c r="J300" s="36" t="e">
        <f t="shared" si="49"/>
        <v>#REF!</v>
      </c>
    </row>
    <row r="301" spans="2:10" ht="15.6" x14ac:dyDescent="0.25">
      <c r="B301" s="59"/>
      <c r="C301" s="69" t="s">
        <v>679</v>
      </c>
      <c r="D301" s="61" t="s">
        <v>2</v>
      </c>
      <c r="E301" s="62" t="e">
        <f t="shared" si="50"/>
        <v>#REF!</v>
      </c>
      <c r="F301" s="63">
        <f>'Прайс для расчета'!E297</f>
        <v>1044.75</v>
      </c>
      <c r="G301" s="64" t="e">
        <f t="shared" si="48"/>
        <v>#REF!</v>
      </c>
      <c r="I301" s="135">
        <f>'Прайс для расчета (М)'!E297</f>
        <v>522.375</v>
      </c>
      <c r="J301" s="36" t="e">
        <f t="shared" si="49"/>
        <v>#REF!</v>
      </c>
    </row>
    <row r="302" spans="2:10" ht="15.6" x14ac:dyDescent="0.25">
      <c r="B302" s="59"/>
      <c r="C302" s="69" t="s">
        <v>895</v>
      </c>
      <c r="D302" s="61" t="s">
        <v>2</v>
      </c>
      <c r="E302" s="62" t="e">
        <f t="shared" si="50"/>
        <v>#REF!</v>
      </c>
      <c r="F302" s="63">
        <f>'Прайс для расчета'!E298</f>
        <v>593.25</v>
      </c>
      <c r="G302" s="64" t="e">
        <f t="shared" si="48"/>
        <v>#REF!</v>
      </c>
      <c r="I302" s="135">
        <f>'Прайс для расчета (М)'!E298</f>
        <v>296.625</v>
      </c>
      <c r="J302" s="36" t="e">
        <f t="shared" si="49"/>
        <v>#REF!</v>
      </c>
    </row>
    <row r="303" spans="2:10" ht="15.6" x14ac:dyDescent="0.25">
      <c r="B303" s="59"/>
      <c r="C303" s="69" t="s">
        <v>947</v>
      </c>
      <c r="D303" s="61" t="s">
        <v>2</v>
      </c>
      <c r="E303" s="62" t="e">
        <f t="shared" si="50"/>
        <v>#REF!</v>
      </c>
      <c r="F303" s="63">
        <f>'Прайс для расчета'!E299</f>
        <v>635.25</v>
      </c>
      <c r="G303" s="64" t="e">
        <f t="shared" si="48"/>
        <v>#REF!</v>
      </c>
      <c r="I303" s="135">
        <f>'Прайс для расчета (М)'!E299</f>
        <v>317.625</v>
      </c>
      <c r="J303" s="36" t="e">
        <f t="shared" si="49"/>
        <v>#REF!</v>
      </c>
    </row>
    <row r="304" spans="2:10" ht="31.2" x14ac:dyDescent="0.25">
      <c r="B304" s="59"/>
      <c r="C304" s="69" t="s">
        <v>1074</v>
      </c>
      <c r="D304" s="86" t="s">
        <v>2</v>
      </c>
      <c r="E304" s="62" t="e">
        <f t="shared" si="50"/>
        <v>#REF!</v>
      </c>
      <c r="F304" s="63">
        <f>'Прайс для расчета'!E300</f>
        <v>1181.25</v>
      </c>
      <c r="G304" s="64" t="e">
        <f t="shared" si="48"/>
        <v>#REF!</v>
      </c>
      <c r="I304" s="135">
        <f>'Прайс для расчета (М)'!E300</f>
        <v>590.625</v>
      </c>
      <c r="J304" s="36" t="e">
        <f t="shared" si="49"/>
        <v>#REF!</v>
      </c>
    </row>
    <row r="305" spans="2:10" ht="15.6" x14ac:dyDescent="0.25">
      <c r="B305" s="59"/>
      <c r="C305" s="69" t="s">
        <v>896</v>
      </c>
      <c r="D305" s="61" t="s">
        <v>2</v>
      </c>
      <c r="E305" s="62" t="e">
        <f t="shared" si="50"/>
        <v>#REF!</v>
      </c>
      <c r="F305" s="63">
        <f>'Прайс для расчета'!E301</f>
        <v>635.25</v>
      </c>
      <c r="G305" s="64" t="e">
        <f t="shared" si="48"/>
        <v>#REF!</v>
      </c>
      <c r="I305" s="135">
        <f>'Прайс для расчета (М)'!E301</f>
        <v>317.625</v>
      </c>
      <c r="J305" s="36" t="e">
        <f t="shared" si="49"/>
        <v>#REF!</v>
      </c>
    </row>
    <row r="306" spans="2:10" ht="15.6" x14ac:dyDescent="0.25">
      <c r="B306" s="59"/>
      <c r="C306" s="69" t="s">
        <v>897</v>
      </c>
      <c r="D306" s="61" t="s">
        <v>2</v>
      </c>
      <c r="E306" s="62" t="e">
        <f t="shared" si="50"/>
        <v>#REF!</v>
      </c>
      <c r="F306" s="63">
        <f>'Прайс для расчета'!E302</f>
        <v>498.75</v>
      </c>
      <c r="G306" s="64" t="e">
        <f t="shared" si="48"/>
        <v>#REF!</v>
      </c>
      <c r="I306" s="135">
        <f>'Прайс для расчета (М)'!E302</f>
        <v>249.375</v>
      </c>
      <c r="J306" s="36" t="e">
        <f t="shared" si="49"/>
        <v>#REF!</v>
      </c>
    </row>
    <row r="307" spans="2:10" ht="15.6" x14ac:dyDescent="0.25">
      <c r="B307" s="59"/>
      <c r="C307" s="69" t="s">
        <v>898</v>
      </c>
      <c r="D307" s="61" t="s">
        <v>3</v>
      </c>
      <c r="E307" s="62" t="e">
        <f t="shared" si="50"/>
        <v>#REF!</v>
      </c>
      <c r="F307" s="63">
        <f>'Прайс для расчета'!E303</f>
        <v>183.75</v>
      </c>
      <c r="G307" s="64" t="e">
        <f t="shared" si="48"/>
        <v>#REF!</v>
      </c>
      <c r="I307" s="135">
        <f>'Прайс для расчета (М)'!E303</f>
        <v>91.875</v>
      </c>
      <c r="J307" s="36" t="e">
        <f t="shared" si="49"/>
        <v>#REF!</v>
      </c>
    </row>
    <row r="308" spans="2:10" ht="15.6" x14ac:dyDescent="0.25">
      <c r="B308" s="59"/>
      <c r="C308" s="69" t="s">
        <v>899</v>
      </c>
      <c r="D308" s="61" t="s">
        <v>2</v>
      </c>
      <c r="E308" s="62" t="e">
        <f>$A$6</f>
        <v>#REF!</v>
      </c>
      <c r="F308" s="63">
        <f>'Прайс для расчета'!E304</f>
        <v>1181.25</v>
      </c>
      <c r="G308" s="64" t="e">
        <f t="shared" si="48"/>
        <v>#REF!</v>
      </c>
      <c r="I308" s="135">
        <f>'Прайс для расчета (М)'!E304</f>
        <v>590.625</v>
      </c>
      <c r="J308" s="36" t="e">
        <f t="shared" si="49"/>
        <v>#REF!</v>
      </c>
    </row>
    <row r="309" spans="2:10" ht="15.6" x14ac:dyDescent="0.25">
      <c r="B309" s="59"/>
      <c r="C309" s="69" t="s">
        <v>427</v>
      </c>
      <c r="D309" s="61" t="s">
        <v>2</v>
      </c>
      <c r="E309" s="62" t="e">
        <f>$A$6</f>
        <v>#REF!</v>
      </c>
      <c r="F309" s="63">
        <f>'Прайс для расчета'!E305</f>
        <v>1055.25</v>
      </c>
      <c r="G309" s="64" t="e">
        <f t="shared" si="48"/>
        <v>#REF!</v>
      </c>
      <c r="I309" s="135">
        <f>'Прайс для расчета (М)'!E305</f>
        <v>527.625</v>
      </c>
      <c r="J309" s="36" t="e">
        <f t="shared" si="49"/>
        <v>#REF!</v>
      </c>
    </row>
    <row r="310" spans="2:10" ht="15.6" x14ac:dyDescent="0.25">
      <c r="B310" s="59"/>
      <c r="C310" s="69" t="s">
        <v>528</v>
      </c>
      <c r="D310" s="61" t="s">
        <v>2</v>
      </c>
      <c r="E310" s="62" t="e">
        <f t="shared" ref="E310:E311" si="52">$A$6</f>
        <v>#REF!</v>
      </c>
      <c r="F310" s="63">
        <f>'Прайс для расчета'!E306</f>
        <v>3990</v>
      </c>
      <c r="G310" s="64" t="e">
        <f t="shared" si="48"/>
        <v>#REF!</v>
      </c>
      <c r="I310" s="135">
        <f>'Прайс для расчета (М)'!E306</f>
        <v>1995</v>
      </c>
      <c r="J310" s="36" t="e">
        <f t="shared" si="49"/>
        <v>#REF!</v>
      </c>
    </row>
    <row r="311" spans="2:10" ht="15.6" x14ac:dyDescent="0.25">
      <c r="B311" s="59"/>
      <c r="C311" s="69" t="s">
        <v>429</v>
      </c>
      <c r="D311" s="61" t="s">
        <v>2</v>
      </c>
      <c r="E311" s="62" t="e">
        <f t="shared" si="52"/>
        <v>#REF!</v>
      </c>
      <c r="F311" s="63">
        <f>'Прайс для расчета'!E307</f>
        <v>472.5</v>
      </c>
      <c r="G311" s="64" t="e">
        <f t="shared" si="48"/>
        <v>#REF!</v>
      </c>
      <c r="I311" s="135">
        <f>'Прайс для расчета (М)'!E307</f>
        <v>236.25</v>
      </c>
      <c r="J311" s="36" t="e">
        <f t="shared" si="49"/>
        <v>#REF!</v>
      </c>
    </row>
    <row r="312" spans="2:10" ht="15.6" x14ac:dyDescent="0.25">
      <c r="B312" s="59"/>
      <c r="C312" s="69" t="s">
        <v>529</v>
      </c>
      <c r="D312" s="61" t="s">
        <v>2</v>
      </c>
      <c r="E312" s="62" t="e">
        <f>$A$6</f>
        <v>#REF!</v>
      </c>
      <c r="F312" s="63">
        <f>'Прайс для расчета'!E308</f>
        <v>787.5</v>
      </c>
      <c r="G312" s="64" t="e">
        <f t="shared" si="48"/>
        <v>#REF!</v>
      </c>
      <c r="I312" s="135">
        <f>'Прайс для расчета (М)'!E308</f>
        <v>393.75</v>
      </c>
      <c r="J312" s="36" t="e">
        <f t="shared" si="49"/>
        <v>#REF!</v>
      </c>
    </row>
    <row r="313" spans="2:10" ht="15.6" x14ac:dyDescent="0.25">
      <c r="B313" s="59"/>
      <c r="C313" s="69" t="s">
        <v>430</v>
      </c>
      <c r="D313" s="61" t="s">
        <v>2</v>
      </c>
      <c r="E313" s="62" t="e">
        <f>$A$6</f>
        <v>#REF!</v>
      </c>
      <c r="F313" s="63">
        <f>'Прайс для расчета'!E309</f>
        <v>420</v>
      </c>
      <c r="G313" s="64" t="e">
        <f t="shared" si="48"/>
        <v>#REF!</v>
      </c>
      <c r="I313" s="135">
        <f>'Прайс для расчета (М)'!E309</f>
        <v>210</v>
      </c>
      <c r="J313" s="36" t="e">
        <f t="shared" si="49"/>
        <v>#REF!</v>
      </c>
    </row>
    <row r="314" spans="2:10" ht="15.6" x14ac:dyDescent="0.25">
      <c r="B314" s="59">
        <f>IF(SUM(B315:B321)&gt;0,1,0)</f>
        <v>0</v>
      </c>
      <c r="C314" s="67" t="s">
        <v>884</v>
      </c>
      <c r="D314" s="61"/>
      <c r="E314" s="62"/>
      <c r="F314" s="63"/>
      <c r="G314" s="64"/>
    </row>
    <row r="315" spans="2:10" ht="15.6" x14ac:dyDescent="0.25">
      <c r="B315" s="59"/>
      <c r="C315" s="65" t="s">
        <v>431</v>
      </c>
      <c r="D315" s="61" t="s">
        <v>3</v>
      </c>
      <c r="E315" s="62">
        <f>E212</f>
        <v>1</v>
      </c>
      <c r="F315" s="63">
        <f>'Прайс для расчета'!E311</f>
        <v>315</v>
      </c>
      <c r="G315" s="64">
        <f t="shared" ref="G315:G321" si="53">F315*E315</f>
        <v>315</v>
      </c>
      <c r="I315" s="135">
        <f>'Прайс для расчета (М)'!E311</f>
        <v>157.5</v>
      </c>
      <c r="J315" s="36">
        <f t="shared" ref="J315:J321" si="54">I315*E315</f>
        <v>157.5</v>
      </c>
    </row>
    <row r="316" spans="2:10" ht="15.6" x14ac:dyDescent="0.25">
      <c r="B316" s="59"/>
      <c r="C316" s="65" t="s">
        <v>432</v>
      </c>
      <c r="D316" s="61" t="s">
        <v>3</v>
      </c>
      <c r="E316" s="62">
        <f>E212</f>
        <v>1</v>
      </c>
      <c r="F316" s="63">
        <f>'Прайс для расчета'!E312</f>
        <v>367.5</v>
      </c>
      <c r="G316" s="64">
        <f t="shared" si="53"/>
        <v>367.5</v>
      </c>
      <c r="I316" s="135">
        <f>'Прайс для расчета (М)'!E312</f>
        <v>183.75</v>
      </c>
      <c r="J316" s="36">
        <f t="shared" si="54"/>
        <v>183.75</v>
      </c>
    </row>
    <row r="317" spans="2:10" ht="15.6" x14ac:dyDescent="0.25">
      <c r="B317" s="59"/>
      <c r="C317" s="65" t="s">
        <v>115</v>
      </c>
      <c r="D317" s="61" t="s">
        <v>3</v>
      </c>
      <c r="E317" s="62">
        <f>E212</f>
        <v>1</v>
      </c>
      <c r="F317" s="63">
        <f>'Прайс для расчета'!E313</f>
        <v>194.25</v>
      </c>
      <c r="G317" s="64">
        <f t="shared" si="53"/>
        <v>194.25</v>
      </c>
      <c r="I317" s="135">
        <f>'Прайс для расчета (М)'!E313</f>
        <v>97.125</v>
      </c>
      <c r="J317" s="36">
        <f t="shared" si="54"/>
        <v>97.125</v>
      </c>
    </row>
    <row r="318" spans="2:10" ht="15.6" x14ac:dyDescent="0.25">
      <c r="B318" s="59"/>
      <c r="C318" s="65" t="s">
        <v>433</v>
      </c>
      <c r="D318" s="61" t="s">
        <v>3</v>
      </c>
      <c r="E318" s="62">
        <f>E212</f>
        <v>1</v>
      </c>
      <c r="F318" s="63">
        <f>'Прайс для расчета'!E314</f>
        <v>735</v>
      </c>
      <c r="G318" s="64">
        <f t="shared" si="53"/>
        <v>735</v>
      </c>
      <c r="I318" s="135">
        <f>'Прайс для расчета (М)'!E314</f>
        <v>367.5</v>
      </c>
      <c r="J318" s="36">
        <f t="shared" si="54"/>
        <v>367.5</v>
      </c>
    </row>
    <row r="319" spans="2:10" ht="15.6" x14ac:dyDescent="0.25">
      <c r="B319" s="59"/>
      <c r="C319" s="65" t="s">
        <v>434</v>
      </c>
      <c r="D319" s="61" t="s">
        <v>3</v>
      </c>
      <c r="E319" s="62">
        <f>E212</f>
        <v>1</v>
      </c>
      <c r="F319" s="63">
        <f>'Прайс для расчета'!E315</f>
        <v>1349.25</v>
      </c>
      <c r="G319" s="64">
        <f t="shared" si="53"/>
        <v>1349.25</v>
      </c>
      <c r="I319" s="135">
        <f>'Прайс для расчета (М)'!E315</f>
        <v>674.625</v>
      </c>
      <c r="J319" s="36">
        <f t="shared" si="54"/>
        <v>674.625</v>
      </c>
    </row>
    <row r="320" spans="2:10" ht="15.6" x14ac:dyDescent="0.25">
      <c r="B320" s="59"/>
      <c r="C320" s="65" t="s">
        <v>530</v>
      </c>
      <c r="D320" s="61" t="s">
        <v>3</v>
      </c>
      <c r="E320" s="62">
        <f>E212</f>
        <v>1</v>
      </c>
      <c r="F320" s="63">
        <f>'Прайс для расчета'!E316</f>
        <v>0</v>
      </c>
      <c r="G320" s="64">
        <f t="shared" si="53"/>
        <v>0</v>
      </c>
      <c r="I320" s="135">
        <f>'Прайс для расчета (М)'!E316</f>
        <v>0</v>
      </c>
      <c r="J320" s="36">
        <f t="shared" si="54"/>
        <v>0</v>
      </c>
    </row>
    <row r="321" spans="2:10" ht="15.6" x14ac:dyDescent="0.25">
      <c r="B321" s="59"/>
      <c r="C321" s="65" t="s">
        <v>435</v>
      </c>
      <c r="D321" s="61" t="s">
        <v>3</v>
      </c>
      <c r="E321" s="62">
        <f>E320</f>
        <v>1</v>
      </c>
      <c r="F321" s="63">
        <f>'Прайс для расчета'!E317</f>
        <v>1464.75</v>
      </c>
      <c r="G321" s="64">
        <f t="shared" si="53"/>
        <v>1464.75</v>
      </c>
      <c r="I321" s="135">
        <f>'Прайс для расчета (М)'!E317</f>
        <v>732.375</v>
      </c>
      <c r="J321" s="36">
        <f t="shared" si="54"/>
        <v>732.375</v>
      </c>
    </row>
    <row r="322" spans="2:10" ht="15.6" x14ac:dyDescent="0.25">
      <c r="B322" s="59">
        <f>IF(SUM(B323:B335)&gt;0,1,0)</f>
        <v>0</v>
      </c>
      <c r="C322" s="67" t="s">
        <v>879</v>
      </c>
      <c r="D322" s="61"/>
      <c r="E322" s="62"/>
      <c r="F322" s="63"/>
      <c r="G322" s="64"/>
    </row>
    <row r="323" spans="2:10" ht="15.6" x14ac:dyDescent="0.25">
      <c r="B323" s="59"/>
      <c r="C323" s="65" t="s">
        <v>436</v>
      </c>
      <c r="D323" s="61" t="s">
        <v>2</v>
      </c>
      <c r="E323" s="62">
        <f>$A$4</f>
        <v>0</v>
      </c>
      <c r="F323" s="63">
        <f>'Прайс для расчета'!E318</f>
        <v>577.5</v>
      </c>
      <c r="G323" s="64">
        <f t="shared" ref="G323:G335" si="55">F323*E323</f>
        <v>0</v>
      </c>
      <c r="I323" s="135">
        <f>'Прайс для расчета (М)'!E318</f>
        <v>288.75</v>
      </c>
      <c r="J323" s="36">
        <f t="shared" ref="J323:J335" si="56">I323*E323</f>
        <v>0</v>
      </c>
    </row>
    <row r="324" spans="2:10" ht="15.6" x14ac:dyDescent="0.25">
      <c r="B324" s="59"/>
      <c r="C324" s="65" t="s">
        <v>437</v>
      </c>
      <c r="D324" s="61" t="s">
        <v>2</v>
      </c>
      <c r="E324" s="62">
        <f>$A$4</f>
        <v>0</v>
      </c>
      <c r="F324" s="63">
        <f>'Прайс для расчета'!E319</f>
        <v>1396.5</v>
      </c>
      <c r="G324" s="64">
        <f t="shared" si="55"/>
        <v>0</v>
      </c>
      <c r="I324" s="135">
        <f>'Прайс для расчета (М)'!E319</f>
        <v>698.25</v>
      </c>
      <c r="J324" s="36">
        <f t="shared" si="56"/>
        <v>0</v>
      </c>
    </row>
    <row r="325" spans="2:10" ht="15.6" x14ac:dyDescent="0.25">
      <c r="B325" s="59"/>
      <c r="C325" s="65" t="s">
        <v>438</v>
      </c>
      <c r="D325" s="61" t="s">
        <v>2</v>
      </c>
      <c r="E325" s="62">
        <f>$A$4</f>
        <v>0</v>
      </c>
      <c r="F325" s="63">
        <f>'Прайс для расчета'!E320</f>
        <v>1291.5</v>
      </c>
      <c r="G325" s="64">
        <f t="shared" si="55"/>
        <v>0</v>
      </c>
      <c r="I325" s="135">
        <f>'Прайс для расчета (М)'!E320</f>
        <v>645.75</v>
      </c>
      <c r="J325" s="36">
        <f t="shared" si="56"/>
        <v>0</v>
      </c>
    </row>
    <row r="326" spans="2:10" ht="15.6" x14ac:dyDescent="0.25">
      <c r="B326" s="59"/>
      <c r="C326" s="65" t="s">
        <v>439</v>
      </c>
      <c r="D326" s="61" t="s">
        <v>2</v>
      </c>
      <c r="E326" s="62">
        <f>$A$4</f>
        <v>0</v>
      </c>
      <c r="F326" s="63">
        <f>'Прайс для расчета'!E321</f>
        <v>1386</v>
      </c>
      <c r="G326" s="64">
        <f t="shared" si="55"/>
        <v>0</v>
      </c>
      <c r="I326" s="135">
        <f>'Прайс для расчета (М)'!E321</f>
        <v>693</v>
      </c>
      <c r="J326" s="36">
        <f t="shared" si="56"/>
        <v>0</v>
      </c>
    </row>
    <row r="327" spans="2:10" ht="15.6" x14ac:dyDescent="0.25">
      <c r="B327" s="59"/>
      <c r="C327" s="65" t="s">
        <v>440</v>
      </c>
      <c r="D327" s="61" t="s">
        <v>2</v>
      </c>
      <c r="E327" s="62">
        <f>$A$4</f>
        <v>0</v>
      </c>
      <c r="F327" s="63">
        <f>'Прайс для расчета'!E322</f>
        <v>1281</v>
      </c>
      <c r="G327" s="64">
        <f t="shared" si="55"/>
        <v>0</v>
      </c>
      <c r="I327" s="135">
        <f>'Прайс для расчета (М)'!E322</f>
        <v>640.5</v>
      </c>
      <c r="J327" s="36">
        <f t="shared" si="56"/>
        <v>0</v>
      </c>
    </row>
    <row r="328" spans="2:10" ht="15.6" x14ac:dyDescent="0.25">
      <c r="B328" s="59"/>
      <c r="C328" s="65" t="s">
        <v>441</v>
      </c>
      <c r="D328" s="61" t="s">
        <v>645</v>
      </c>
      <c r="E328" s="62">
        <f>$A$2</f>
        <v>0</v>
      </c>
      <c r="F328" s="63">
        <f>'Прайс для расчета'!E323</f>
        <v>330.75</v>
      </c>
      <c r="G328" s="64">
        <f t="shared" si="55"/>
        <v>0</v>
      </c>
      <c r="I328" s="135">
        <f>'Прайс для расчета (М)'!E323</f>
        <v>165.375</v>
      </c>
      <c r="J328" s="36">
        <f t="shared" si="56"/>
        <v>0</v>
      </c>
    </row>
    <row r="329" spans="2:10" ht="15.6" x14ac:dyDescent="0.25">
      <c r="B329" s="59"/>
      <c r="C329" s="65" t="s">
        <v>531</v>
      </c>
      <c r="D329" s="61" t="s">
        <v>645</v>
      </c>
      <c r="E329" s="62">
        <f>$A$2</f>
        <v>0</v>
      </c>
      <c r="F329" s="63">
        <f>'Прайс для расчета'!E324</f>
        <v>866.25</v>
      </c>
      <c r="G329" s="64">
        <f t="shared" si="55"/>
        <v>0</v>
      </c>
      <c r="I329" s="135">
        <f>'Прайс для расчета (М)'!E324</f>
        <v>433.125</v>
      </c>
      <c r="J329" s="36">
        <f t="shared" si="56"/>
        <v>0</v>
      </c>
    </row>
    <row r="330" spans="2:10" ht="15.6" x14ac:dyDescent="0.25">
      <c r="B330" s="59"/>
      <c r="C330" s="65" t="s">
        <v>532</v>
      </c>
      <c r="D330" s="61" t="s">
        <v>645</v>
      </c>
      <c r="E330" s="62">
        <f>$A$2</f>
        <v>0</v>
      </c>
      <c r="F330" s="63">
        <f>'Прайс для расчета'!E325</f>
        <v>1097.376</v>
      </c>
      <c r="G330" s="64">
        <f t="shared" si="55"/>
        <v>0</v>
      </c>
      <c r="I330" s="135">
        <f>'Прайс для расчета (М)'!E325</f>
        <v>548.68799999999999</v>
      </c>
      <c r="J330" s="36">
        <f t="shared" si="56"/>
        <v>0</v>
      </c>
    </row>
    <row r="331" spans="2:10" ht="15.6" x14ac:dyDescent="0.25">
      <c r="B331" s="59"/>
      <c r="C331" s="65" t="s">
        <v>533</v>
      </c>
      <c r="D331" s="61" t="s">
        <v>645</v>
      </c>
      <c r="E331" s="62">
        <f>$A$2</f>
        <v>0</v>
      </c>
      <c r="F331" s="63">
        <f>'Прайс для расчета'!E326</f>
        <v>852.6</v>
      </c>
      <c r="G331" s="64">
        <f t="shared" si="55"/>
        <v>0</v>
      </c>
      <c r="I331" s="135">
        <f>'Прайс для расчета (М)'!E326</f>
        <v>426.3</v>
      </c>
      <c r="J331" s="36">
        <f t="shared" si="56"/>
        <v>0</v>
      </c>
    </row>
    <row r="332" spans="2:10" ht="15.6" x14ac:dyDescent="0.25">
      <c r="B332" s="59"/>
      <c r="C332" s="65" t="s">
        <v>442</v>
      </c>
      <c r="D332" s="61" t="s">
        <v>645</v>
      </c>
      <c r="E332" s="62">
        <f>$A$2</f>
        <v>0</v>
      </c>
      <c r="F332" s="63">
        <f>'Прайс для расчета'!E327</f>
        <v>225.75</v>
      </c>
      <c r="G332" s="64">
        <f t="shared" si="55"/>
        <v>0</v>
      </c>
      <c r="I332" s="135">
        <f>'Прайс для расчета (М)'!E327</f>
        <v>112.875</v>
      </c>
      <c r="J332" s="36">
        <f t="shared" si="56"/>
        <v>0</v>
      </c>
    </row>
    <row r="333" spans="2:10" ht="15.6" x14ac:dyDescent="0.25">
      <c r="B333" s="59"/>
      <c r="C333" s="65" t="s">
        <v>443</v>
      </c>
      <c r="D333" s="61" t="s">
        <v>2</v>
      </c>
      <c r="E333" s="62">
        <f>$A$4</f>
        <v>0</v>
      </c>
      <c r="F333" s="63">
        <f>'Прайс для расчета'!E328</f>
        <v>462</v>
      </c>
      <c r="G333" s="64">
        <f t="shared" si="55"/>
        <v>0</v>
      </c>
      <c r="I333" s="135">
        <f>'Прайс для расчета (М)'!E328</f>
        <v>231</v>
      </c>
      <c r="J333" s="36">
        <f t="shared" si="56"/>
        <v>0</v>
      </c>
    </row>
    <row r="334" spans="2:10" ht="15.6" x14ac:dyDescent="0.25">
      <c r="B334" s="59"/>
      <c r="C334" s="65" t="s">
        <v>534</v>
      </c>
      <c r="D334" s="61" t="s">
        <v>2</v>
      </c>
      <c r="E334" s="62">
        <f>$A$4</f>
        <v>0</v>
      </c>
      <c r="F334" s="63">
        <f>'Прайс для расчета'!E329</f>
        <v>1060.5</v>
      </c>
      <c r="G334" s="64">
        <f t="shared" si="55"/>
        <v>0</v>
      </c>
      <c r="I334" s="135">
        <f>'Прайс для расчета (М)'!E329</f>
        <v>530.25</v>
      </c>
      <c r="J334" s="36">
        <f t="shared" si="56"/>
        <v>0</v>
      </c>
    </row>
    <row r="335" spans="2:10" ht="15.6" x14ac:dyDescent="0.25">
      <c r="B335" s="59"/>
      <c r="C335" s="65" t="s">
        <v>444</v>
      </c>
      <c r="D335" s="61" t="s">
        <v>2</v>
      </c>
      <c r="E335" s="62">
        <f>$A$4</f>
        <v>0</v>
      </c>
      <c r="F335" s="63">
        <f>'Прайс для расчета'!E330</f>
        <v>735</v>
      </c>
      <c r="G335" s="64">
        <f t="shared" si="55"/>
        <v>0</v>
      </c>
      <c r="I335" s="135">
        <f>'Прайс для расчета (М)'!E330</f>
        <v>367.5</v>
      </c>
      <c r="J335" s="36">
        <f t="shared" si="56"/>
        <v>0</v>
      </c>
    </row>
    <row r="336" spans="2:10" ht="15.6" x14ac:dyDescent="0.25">
      <c r="B336" s="59">
        <f>IF(SUM(B337:B355)&gt;0,1,0)</f>
        <v>0</v>
      </c>
      <c r="C336" s="67" t="s">
        <v>880</v>
      </c>
      <c r="D336" s="61"/>
      <c r="E336" s="62"/>
      <c r="F336" s="63"/>
      <c r="G336" s="64"/>
    </row>
    <row r="337" spans="2:10" ht="15.6" x14ac:dyDescent="0.25">
      <c r="B337" s="59"/>
      <c r="C337" s="65" t="s">
        <v>118</v>
      </c>
      <c r="D337" s="61" t="s">
        <v>0</v>
      </c>
      <c r="E337" s="62">
        <v>1</v>
      </c>
      <c r="F337" s="63">
        <f>'Прайс для расчета'!E331</f>
        <v>525</v>
      </c>
      <c r="G337" s="64">
        <f t="shared" ref="G337:G355" si="57">F337*E337</f>
        <v>525</v>
      </c>
      <c r="I337" s="135">
        <f>'Прайс для расчета (М)'!E331</f>
        <v>262.5</v>
      </c>
      <c r="J337" s="36">
        <f t="shared" ref="J337:J355" si="58">I337*E337</f>
        <v>262.5</v>
      </c>
    </row>
    <row r="338" spans="2:10" ht="15.6" x14ac:dyDescent="0.25">
      <c r="B338" s="59"/>
      <c r="C338" s="65" t="s">
        <v>119</v>
      </c>
      <c r="D338" s="61" t="s">
        <v>0</v>
      </c>
      <c r="E338" s="62">
        <v>1</v>
      </c>
      <c r="F338" s="63">
        <f>'Прайс для расчета'!E332</f>
        <v>945</v>
      </c>
      <c r="G338" s="64">
        <f t="shared" si="57"/>
        <v>945</v>
      </c>
      <c r="I338" s="135">
        <f>'Прайс для расчета (М)'!E332</f>
        <v>472.5</v>
      </c>
      <c r="J338" s="36">
        <f t="shared" si="58"/>
        <v>472.5</v>
      </c>
    </row>
    <row r="339" spans="2:10" ht="15.6" x14ac:dyDescent="0.25">
      <c r="B339" s="59"/>
      <c r="C339" s="65" t="s">
        <v>120</v>
      </c>
      <c r="D339" s="61" t="s">
        <v>0</v>
      </c>
      <c r="E339" s="62">
        <v>1</v>
      </c>
      <c r="F339" s="63">
        <f>'Прайс для расчета'!E333</f>
        <v>1575</v>
      </c>
      <c r="G339" s="64">
        <f t="shared" si="57"/>
        <v>1575</v>
      </c>
      <c r="I339" s="135">
        <f>'Прайс для расчета (М)'!E333</f>
        <v>787.5</v>
      </c>
      <c r="J339" s="36">
        <f t="shared" si="58"/>
        <v>787.5</v>
      </c>
    </row>
    <row r="340" spans="2:10" ht="15.6" x14ac:dyDescent="0.25">
      <c r="B340" s="59"/>
      <c r="C340" s="65" t="s">
        <v>121</v>
      </c>
      <c r="D340" s="61" t="s">
        <v>0</v>
      </c>
      <c r="E340" s="62">
        <v>1</v>
      </c>
      <c r="F340" s="63">
        <f>'Прайс для расчета'!E334</f>
        <v>840</v>
      </c>
      <c r="G340" s="64">
        <f t="shared" si="57"/>
        <v>840</v>
      </c>
      <c r="I340" s="135">
        <f>'Прайс для расчета (М)'!E334</f>
        <v>420</v>
      </c>
      <c r="J340" s="36">
        <f t="shared" si="58"/>
        <v>420</v>
      </c>
    </row>
    <row r="341" spans="2:10" ht="15.6" x14ac:dyDescent="0.25">
      <c r="B341" s="59"/>
      <c r="C341" s="65" t="s">
        <v>122</v>
      </c>
      <c r="D341" s="61" t="s">
        <v>3</v>
      </c>
      <c r="E341" s="62">
        <v>1</v>
      </c>
      <c r="F341" s="63">
        <f>'Прайс для расчета'!E335</f>
        <v>273</v>
      </c>
      <c r="G341" s="64">
        <f t="shared" si="57"/>
        <v>273</v>
      </c>
      <c r="I341" s="135">
        <f>'Прайс для расчета (М)'!E335</f>
        <v>136.5</v>
      </c>
      <c r="J341" s="36">
        <f t="shared" si="58"/>
        <v>136.5</v>
      </c>
    </row>
    <row r="342" spans="2:10" ht="15.6" x14ac:dyDescent="0.25">
      <c r="B342" s="59"/>
      <c r="C342" s="65" t="s">
        <v>123</v>
      </c>
      <c r="D342" s="61" t="s">
        <v>2</v>
      </c>
      <c r="E342" s="62">
        <v>1</v>
      </c>
      <c r="F342" s="63">
        <f>'Прайс для расчета'!E336</f>
        <v>1890</v>
      </c>
      <c r="G342" s="64">
        <f t="shared" si="57"/>
        <v>1890</v>
      </c>
      <c r="I342" s="135">
        <f>'Прайс для расчета (М)'!E336</f>
        <v>945</v>
      </c>
      <c r="J342" s="36">
        <f t="shared" si="58"/>
        <v>945</v>
      </c>
    </row>
    <row r="343" spans="2:10" ht="15.6" x14ac:dyDescent="0.25">
      <c r="B343" s="59"/>
      <c r="C343" s="65" t="s">
        <v>124</v>
      </c>
      <c r="D343" s="61" t="s">
        <v>3</v>
      </c>
      <c r="E343" s="62">
        <v>1</v>
      </c>
      <c r="F343" s="63">
        <f>'Прайс для расчета'!E337</f>
        <v>346.5</v>
      </c>
      <c r="G343" s="64">
        <f t="shared" si="57"/>
        <v>346.5</v>
      </c>
      <c r="I343" s="135">
        <f>'Прайс для расчета (М)'!E337</f>
        <v>173.25</v>
      </c>
      <c r="J343" s="36">
        <f t="shared" si="58"/>
        <v>173.25</v>
      </c>
    </row>
    <row r="344" spans="2:10" ht="15.6" x14ac:dyDescent="0.25">
      <c r="B344" s="59"/>
      <c r="C344" s="65" t="s">
        <v>681</v>
      </c>
      <c r="D344" s="61" t="s">
        <v>0</v>
      </c>
      <c r="E344" s="62">
        <v>1</v>
      </c>
      <c r="F344" s="63">
        <f>'Прайс для расчета'!E338</f>
        <v>4179</v>
      </c>
      <c r="G344" s="64">
        <f t="shared" si="57"/>
        <v>4179</v>
      </c>
      <c r="I344" s="135">
        <f>'Прайс для расчета (М)'!E338</f>
        <v>2089.5</v>
      </c>
      <c r="J344" s="36">
        <f t="shared" si="58"/>
        <v>2089.5</v>
      </c>
    </row>
    <row r="345" spans="2:10" ht="15.6" x14ac:dyDescent="0.25">
      <c r="B345" s="59"/>
      <c r="C345" s="65" t="s">
        <v>228</v>
      </c>
      <c r="D345" s="61" t="s">
        <v>0</v>
      </c>
      <c r="E345" s="62">
        <v>1</v>
      </c>
      <c r="F345" s="63">
        <f>'Прайс для расчета'!E339</f>
        <v>3255</v>
      </c>
      <c r="G345" s="64">
        <f t="shared" si="57"/>
        <v>3255</v>
      </c>
      <c r="I345" s="135">
        <f>'Прайс для расчета (М)'!E339</f>
        <v>1627.5</v>
      </c>
      <c r="J345" s="36">
        <f t="shared" si="58"/>
        <v>1627.5</v>
      </c>
    </row>
    <row r="346" spans="2:10" ht="15.6" x14ac:dyDescent="0.25">
      <c r="B346" s="59"/>
      <c r="C346" s="65" t="s">
        <v>132</v>
      </c>
      <c r="D346" s="61" t="s">
        <v>0</v>
      </c>
      <c r="E346" s="62">
        <v>1</v>
      </c>
      <c r="F346" s="63">
        <f>'Прайс для расчета'!E340</f>
        <v>1176</v>
      </c>
      <c r="G346" s="64">
        <f t="shared" si="57"/>
        <v>1176</v>
      </c>
      <c r="I346" s="135">
        <f>'Прайс для расчета (М)'!E340</f>
        <v>588</v>
      </c>
      <c r="J346" s="36">
        <f t="shared" si="58"/>
        <v>588</v>
      </c>
    </row>
    <row r="347" spans="2:10" ht="15.6" x14ac:dyDescent="0.25">
      <c r="B347" s="59"/>
      <c r="C347" s="65" t="s">
        <v>125</v>
      </c>
      <c r="D347" s="61" t="s">
        <v>0</v>
      </c>
      <c r="E347" s="62">
        <v>1</v>
      </c>
      <c r="F347" s="63">
        <f>'Прайс для расчета'!E341</f>
        <v>367.5</v>
      </c>
      <c r="G347" s="64">
        <f t="shared" si="57"/>
        <v>367.5</v>
      </c>
      <c r="I347" s="135">
        <f>'Прайс для расчета (М)'!E341</f>
        <v>183.75</v>
      </c>
      <c r="J347" s="36">
        <f t="shared" si="58"/>
        <v>183.75</v>
      </c>
    </row>
    <row r="348" spans="2:10" ht="15.6" x14ac:dyDescent="0.25">
      <c r="B348" s="59"/>
      <c r="C348" s="65" t="s">
        <v>126</v>
      </c>
      <c r="D348" s="61" t="s">
        <v>3</v>
      </c>
      <c r="E348" s="62">
        <v>1</v>
      </c>
      <c r="F348" s="63">
        <f>'Прайс для расчета'!E342</f>
        <v>199.5</v>
      </c>
      <c r="G348" s="64">
        <f t="shared" si="57"/>
        <v>199.5</v>
      </c>
      <c r="I348" s="135">
        <f>'Прайс для расчета (М)'!E342</f>
        <v>99.75</v>
      </c>
      <c r="J348" s="36">
        <f t="shared" si="58"/>
        <v>99.75</v>
      </c>
    </row>
    <row r="349" spans="2:10" ht="15.6" x14ac:dyDescent="0.25">
      <c r="B349" s="59"/>
      <c r="C349" s="65" t="s">
        <v>127</v>
      </c>
      <c r="D349" s="61" t="s">
        <v>2</v>
      </c>
      <c r="E349" s="62">
        <v>1</v>
      </c>
      <c r="F349" s="63">
        <f>'Прайс для расчета'!E343</f>
        <v>1995</v>
      </c>
      <c r="G349" s="64">
        <f t="shared" si="57"/>
        <v>1995</v>
      </c>
      <c r="I349" s="135">
        <f>'Прайс для расчета (М)'!E343</f>
        <v>997.5</v>
      </c>
      <c r="J349" s="36">
        <f t="shared" si="58"/>
        <v>997.5</v>
      </c>
    </row>
    <row r="350" spans="2:10" ht="15.6" x14ac:dyDescent="0.25">
      <c r="B350" s="59"/>
      <c r="C350" s="65" t="s">
        <v>535</v>
      </c>
      <c r="D350" s="61" t="s">
        <v>2</v>
      </c>
      <c r="E350" s="62">
        <v>1</v>
      </c>
      <c r="F350" s="63">
        <f>'Прайс для расчета'!E344</f>
        <v>840</v>
      </c>
      <c r="G350" s="64">
        <f t="shared" si="57"/>
        <v>840</v>
      </c>
      <c r="I350" s="135">
        <f>'Прайс для расчета (М)'!E344</f>
        <v>420</v>
      </c>
      <c r="J350" s="36">
        <f t="shared" si="58"/>
        <v>420</v>
      </c>
    </row>
    <row r="351" spans="2:10" ht="15.6" x14ac:dyDescent="0.25">
      <c r="B351" s="59"/>
      <c r="C351" s="65" t="s">
        <v>536</v>
      </c>
      <c r="D351" s="61" t="s">
        <v>0</v>
      </c>
      <c r="E351" s="62">
        <v>1</v>
      </c>
      <c r="F351" s="63">
        <f>'Прайс для расчета'!E345</f>
        <v>3097.5</v>
      </c>
      <c r="G351" s="64">
        <f t="shared" si="57"/>
        <v>3097.5</v>
      </c>
      <c r="I351" s="135">
        <f>'Прайс для расчета (М)'!E345</f>
        <v>1548.75</v>
      </c>
      <c r="J351" s="36">
        <f t="shared" si="58"/>
        <v>1548.75</v>
      </c>
    </row>
    <row r="352" spans="2:10" ht="15.6" x14ac:dyDescent="0.25">
      <c r="B352" s="59"/>
      <c r="C352" s="65" t="s">
        <v>128</v>
      </c>
      <c r="D352" s="61" t="s">
        <v>2</v>
      </c>
      <c r="E352" s="62">
        <v>1</v>
      </c>
      <c r="F352" s="63">
        <f>'Прайс для расчета'!E346</f>
        <v>1029</v>
      </c>
      <c r="G352" s="64">
        <f t="shared" si="57"/>
        <v>1029</v>
      </c>
      <c r="I352" s="135">
        <f>'Прайс для расчета (М)'!E346</f>
        <v>514.5</v>
      </c>
      <c r="J352" s="36">
        <f t="shared" si="58"/>
        <v>514.5</v>
      </c>
    </row>
    <row r="353" spans="2:10" ht="15.6" x14ac:dyDescent="0.25">
      <c r="B353" s="59"/>
      <c r="C353" s="65" t="s">
        <v>129</v>
      </c>
      <c r="D353" s="61" t="s">
        <v>3</v>
      </c>
      <c r="E353" s="62">
        <v>1</v>
      </c>
      <c r="F353" s="63">
        <f>'Прайс для расчета'!E347</f>
        <v>1627.5</v>
      </c>
      <c r="G353" s="64">
        <f t="shared" si="57"/>
        <v>1627.5</v>
      </c>
      <c r="I353" s="135">
        <f>'Прайс для расчета (М)'!E347</f>
        <v>813.75</v>
      </c>
      <c r="J353" s="36">
        <f t="shared" si="58"/>
        <v>813.75</v>
      </c>
    </row>
    <row r="354" spans="2:10" ht="15.6" x14ac:dyDescent="0.25">
      <c r="B354" s="59"/>
      <c r="C354" s="65" t="s">
        <v>130</v>
      </c>
      <c r="D354" s="61" t="s">
        <v>3</v>
      </c>
      <c r="E354" s="62">
        <v>1</v>
      </c>
      <c r="F354" s="63">
        <f>'Прайс для расчета'!E348</f>
        <v>1627.5</v>
      </c>
      <c r="G354" s="64">
        <f t="shared" si="57"/>
        <v>1627.5</v>
      </c>
      <c r="I354" s="135">
        <f>'Прайс для расчета (М)'!E348</f>
        <v>813.75</v>
      </c>
      <c r="J354" s="36">
        <f t="shared" si="58"/>
        <v>813.75</v>
      </c>
    </row>
    <row r="355" spans="2:10" ht="15.6" x14ac:dyDescent="0.25">
      <c r="B355" s="59"/>
      <c r="C355" s="65" t="s">
        <v>131</v>
      </c>
      <c r="D355" s="61" t="s">
        <v>3</v>
      </c>
      <c r="E355" s="62">
        <v>1</v>
      </c>
      <c r="F355" s="63">
        <f>'Прайс для расчета'!E349</f>
        <v>420</v>
      </c>
      <c r="G355" s="64">
        <f t="shared" si="57"/>
        <v>420</v>
      </c>
      <c r="I355" s="135">
        <f>'Прайс для расчета (М)'!E349</f>
        <v>210</v>
      </c>
      <c r="J355" s="36">
        <f t="shared" si="58"/>
        <v>210</v>
      </c>
    </row>
    <row r="356" spans="2:10" ht="15.6" x14ac:dyDescent="0.25">
      <c r="B356" s="59">
        <f>IF(SUM(B357:B363)&gt;0,1,0)</f>
        <v>0</v>
      </c>
      <c r="C356" s="67" t="s">
        <v>881</v>
      </c>
      <c r="D356" s="61"/>
      <c r="E356" s="62"/>
      <c r="F356" s="63"/>
      <c r="G356" s="64"/>
    </row>
    <row r="357" spans="2:10" ht="15.6" x14ac:dyDescent="0.25">
      <c r="B357" s="59"/>
      <c r="C357" s="69" t="s">
        <v>445</v>
      </c>
      <c r="D357" s="61" t="s">
        <v>3</v>
      </c>
      <c r="E357" s="62">
        <v>1</v>
      </c>
      <c r="F357" s="63">
        <f>'Прайс для расчета'!E353</f>
        <v>1044.75</v>
      </c>
      <c r="G357" s="64">
        <f t="shared" ref="G357:G363" si="59">F357*E357</f>
        <v>1044.75</v>
      </c>
      <c r="I357" s="135">
        <f>'Прайс для расчета (М)'!E353</f>
        <v>522.375</v>
      </c>
      <c r="J357" s="36">
        <f t="shared" ref="J357:J363" si="60">I357*E357</f>
        <v>522.375</v>
      </c>
    </row>
    <row r="358" spans="2:10" ht="15.6" x14ac:dyDescent="0.25">
      <c r="B358" s="59"/>
      <c r="C358" s="69" t="s">
        <v>8</v>
      </c>
      <c r="D358" s="61" t="s">
        <v>2</v>
      </c>
      <c r="E358" s="62">
        <v>1</v>
      </c>
      <c r="F358" s="63">
        <f>'Прайс для расчета'!E354</f>
        <v>1522.5</v>
      </c>
      <c r="G358" s="64">
        <f t="shared" si="59"/>
        <v>1522.5</v>
      </c>
      <c r="I358" s="135">
        <f>'Прайс для расчета (М)'!E354</f>
        <v>761.25</v>
      </c>
      <c r="J358" s="36">
        <f t="shared" si="60"/>
        <v>761.25</v>
      </c>
    </row>
    <row r="359" spans="2:10" ht="15.6" x14ac:dyDescent="0.25">
      <c r="B359" s="59"/>
      <c r="C359" s="69" t="s">
        <v>446</v>
      </c>
      <c r="D359" s="61" t="s">
        <v>0</v>
      </c>
      <c r="E359" s="62">
        <v>1</v>
      </c>
      <c r="F359" s="63">
        <f>'Прайс для расчета'!E355</f>
        <v>1522.5</v>
      </c>
      <c r="G359" s="64">
        <f t="shared" si="59"/>
        <v>1522.5</v>
      </c>
      <c r="I359" s="135">
        <f>'Прайс для расчета (М)'!E355</f>
        <v>761.25</v>
      </c>
      <c r="J359" s="36">
        <f t="shared" si="60"/>
        <v>761.25</v>
      </c>
    </row>
    <row r="360" spans="2:10" ht="15.6" x14ac:dyDescent="0.25">
      <c r="B360" s="59"/>
      <c r="C360" s="69" t="s">
        <v>447</v>
      </c>
      <c r="D360" s="61" t="s">
        <v>0</v>
      </c>
      <c r="E360" s="62">
        <v>1</v>
      </c>
      <c r="F360" s="63">
        <f>'Прайс для расчета'!E356</f>
        <v>577.5</v>
      </c>
      <c r="G360" s="64">
        <f t="shared" si="59"/>
        <v>577.5</v>
      </c>
      <c r="I360" s="135">
        <f>'Прайс для расчета (М)'!E356</f>
        <v>288.75</v>
      </c>
      <c r="J360" s="36">
        <f t="shared" si="60"/>
        <v>288.75</v>
      </c>
    </row>
    <row r="361" spans="2:10" ht="15.6" x14ac:dyDescent="0.25">
      <c r="B361" s="59"/>
      <c r="C361" s="69" t="s">
        <v>448</v>
      </c>
      <c r="D361" s="61" t="s">
        <v>0</v>
      </c>
      <c r="E361" s="62">
        <v>1</v>
      </c>
      <c r="F361" s="63">
        <f>'Прайс для расчета'!E357</f>
        <v>210</v>
      </c>
      <c r="G361" s="64">
        <f t="shared" si="59"/>
        <v>210</v>
      </c>
      <c r="I361" s="135">
        <f>'Прайс для расчета (М)'!E357</f>
        <v>105</v>
      </c>
      <c r="J361" s="36">
        <f t="shared" si="60"/>
        <v>105</v>
      </c>
    </row>
    <row r="362" spans="2:10" ht="15.6" x14ac:dyDescent="0.25">
      <c r="B362" s="59"/>
      <c r="C362" s="69" t="s">
        <v>538</v>
      </c>
      <c r="D362" s="61" t="s">
        <v>0</v>
      </c>
      <c r="E362" s="62">
        <v>1</v>
      </c>
      <c r="F362" s="63">
        <f>'Прайс для расчета'!E358</f>
        <v>446.25</v>
      </c>
      <c r="G362" s="64">
        <f t="shared" si="59"/>
        <v>446.25</v>
      </c>
      <c r="I362" s="135">
        <f>'Прайс для расчета (М)'!E358</f>
        <v>223.125</v>
      </c>
      <c r="J362" s="36">
        <f t="shared" si="60"/>
        <v>223.125</v>
      </c>
    </row>
    <row r="363" spans="2:10" ht="15.6" x14ac:dyDescent="0.25">
      <c r="B363" s="59"/>
      <c r="C363" s="69" t="s">
        <v>539</v>
      </c>
      <c r="D363" s="61" t="s">
        <v>0</v>
      </c>
      <c r="E363" s="62">
        <v>1</v>
      </c>
      <c r="F363" s="63">
        <f>'Прайс для расчета'!E359</f>
        <v>614.25</v>
      </c>
      <c r="G363" s="64">
        <f t="shared" si="59"/>
        <v>614.25</v>
      </c>
      <c r="I363" s="135">
        <f>'Прайс для расчета (М)'!E359</f>
        <v>307.125</v>
      </c>
      <c r="J363" s="36">
        <f t="shared" si="60"/>
        <v>307.125</v>
      </c>
    </row>
    <row r="364" spans="2:10" ht="15.6" x14ac:dyDescent="0.25">
      <c r="B364" s="110">
        <f>IF(SUM(B252:B363)&gt;0,1,0)</f>
        <v>0</v>
      </c>
      <c r="C364" s="266" t="s">
        <v>540</v>
      </c>
      <c r="D364" s="266"/>
      <c r="E364" s="266"/>
      <c r="F364" s="266"/>
      <c r="G364" s="157">
        <f>SUMIF(B253:B363,1,G253:G363)</f>
        <v>0</v>
      </c>
      <c r="J364" s="36">
        <f>SUMIF(B253:B363,1,J253:J363)</f>
        <v>0</v>
      </c>
    </row>
    <row r="365" spans="2:10" ht="15.6" x14ac:dyDescent="0.25">
      <c r="B365" s="153">
        <f>IF(SUM(B366:B373)&gt;0,1,0)</f>
        <v>0</v>
      </c>
      <c r="C365" s="164" t="s">
        <v>981</v>
      </c>
      <c r="D365" s="154" t="s">
        <v>179</v>
      </c>
      <c r="E365" s="154" t="s">
        <v>180</v>
      </c>
      <c r="F365" s="154" t="s">
        <v>1</v>
      </c>
      <c r="G365" s="154" t="s">
        <v>181</v>
      </c>
      <c r="I365" s="36" t="s">
        <v>1</v>
      </c>
      <c r="J365" s="36" t="s">
        <v>181</v>
      </c>
    </row>
    <row r="366" spans="2:10" ht="15.6" x14ac:dyDescent="0.25">
      <c r="B366" s="59"/>
      <c r="C366" s="69" t="s">
        <v>1078</v>
      </c>
      <c r="D366" s="61" t="s">
        <v>2</v>
      </c>
      <c r="E366" s="62">
        <f>$A$4</f>
        <v>0</v>
      </c>
      <c r="F366" s="63">
        <f>'Прайс для расчета'!E412</f>
        <v>110.25</v>
      </c>
      <c r="G366" s="64">
        <f t="shared" ref="G366:G373" si="61">F366*E366</f>
        <v>0</v>
      </c>
      <c r="I366" s="135">
        <f>'Прайс для расчета (М)'!E412</f>
        <v>55.125</v>
      </c>
      <c r="J366" s="36">
        <f t="shared" ref="J366:J373" si="62">I366*E366</f>
        <v>0</v>
      </c>
    </row>
    <row r="367" spans="2:10" ht="15.6" x14ac:dyDescent="0.25">
      <c r="B367" s="59"/>
      <c r="C367" s="69" t="s">
        <v>688</v>
      </c>
      <c r="D367" s="61" t="s">
        <v>0</v>
      </c>
      <c r="E367" s="62">
        <v>1</v>
      </c>
      <c r="F367" s="63">
        <f>'Прайс для расчета'!E413</f>
        <v>1714.65</v>
      </c>
      <c r="G367" s="64">
        <f t="shared" si="61"/>
        <v>1714.65</v>
      </c>
      <c r="I367" s="135">
        <f>'Прайс для расчета (М)'!E413</f>
        <v>857.32500000000005</v>
      </c>
      <c r="J367" s="36">
        <f t="shared" si="62"/>
        <v>857.32500000000005</v>
      </c>
    </row>
    <row r="368" spans="2:10" ht="15.6" x14ac:dyDescent="0.25">
      <c r="B368" s="59"/>
      <c r="C368" s="69" t="s">
        <v>452</v>
      </c>
      <c r="D368" s="61" t="s">
        <v>0</v>
      </c>
      <c r="E368" s="62">
        <v>1</v>
      </c>
      <c r="F368" s="63">
        <f>'Прайс для расчета'!E414</f>
        <v>2571.9749999999999</v>
      </c>
      <c r="G368" s="64">
        <f t="shared" si="61"/>
        <v>2571.9749999999999</v>
      </c>
      <c r="I368" s="135">
        <f>'Прайс для расчета (М)'!E414</f>
        <v>1285.9875</v>
      </c>
      <c r="J368" s="36">
        <f t="shared" si="62"/>
        <v>1285.9875</v>
      </c>
    </row>
    <row r="369" spans="2:10" ht="15.6" x14ac:dyDescent="0.25">
      <c r="B369" s="59"/>
      <c r="C369" s="69" t="s">
        <v>453</v>
      </c>
      <c r="D369" s="61" t="s">
        <v>0</v>
      </c>
      <c r="E369" s="62">
        <v>1</v>
      </c>
      <c r="F369" s="63">
        <f>'Прайс для расчета'!E415</f>
        <v>857.32500000000005</v>
      </c>
      <c r="G369" s="64">
        <f t="shared" si="61"/>
        <v>857.32500000000005</v>
      </c>
      <c r="I369" s="135">
        <f>'Прайс для расчета (М)'!E415</f>
        <v>428.66250000000002</v>
      </c>
      <c r="J369" s="36">
        <f t="shared" si="62"/>
        <v>428.66250000000002</v>
      </c>
    </row>
    <row r="370" spans="2:10" ht="15.6" x14ac:dyDescent="0.25">
      <c r="B370" s="59"/>
      <c r="C370" s="69" t="s">
        <v>454</v>
      </c>
      <c r="D370" s="61" t="s">
        <v>885</v>
      </c>
      <c r="E370" s="62">
        <v>1</v>
      </c>
      <c r="F370" s="63">
        <f>'Прайс для расчета'!E416</f>
        <v>1470</v>
      </c>
      <c r="G370" s="64">
        <f t="shared" si="61"/>
        <v>1470</v>
      </c>
      <c r="I370" s="135">
        <f>'Прайс для расчета (М)'!E416</f>
        <v>735</v>
      </c>
      <c r="J370" s="36">
        <f t="shared" si="62"/>
        <v>735</v>
      </c>
    </row>
    <row r="371" spans="2:10" ht="15.6" x14ac:dyDescent="0.25">
      <c r="B371" s="59"/>
      <c r="C371" s="69" t="s">
        <v>455</v>
      </c>
      <c r="D371" s="61" t="s">
        <v>886</v>
      </c>
      <c r="E371" s="62">
        <v>1</v>
      </c>
      <c r="F371" s="63">
        <f>'Прайс для расчета'!E417</f>
        <v>315</v>
      </c>
      <c r="G371" s="64">
        <f t="shared" si="61"/>
        <v>315</v>
      </c>
      <c r="I371" s="135">
        <f>'Прайс для расчета (М)'!E417</f>
        <v>157.5</v>
      </c>
      <c r="J371" s="36">
        <f t="shared" si="62"/>
        <v>157.5</v>
      </c>
    </row>
    <row r="372" spans="2:10" ht="15.6" x14ac:dyDescent="0.25">
      <c r="B372" s="59"/>
      <c r="C372" s="69" t="s">
        <v>456</v>
      </c>
      <c r="D372" s="61" t="s">
        <v>886</v>
      </c>
      <c r="E372" s="62">
        <v>1</v>
      </c>
      <c r="F372" s="63">
        <f>'Прайс для расчета'!E418</f>
        <v>1575</v>
      </c>
      <c r="G372" s="64">
        <f t="shared" si="61"/>
        <v>1575</v>
      </c>
      <c r="I372" s="135">
        <f>'Прайс для расчета (М)'!E418</f>
        <v>787.5</v>
      </c>
      <c r="J372" s="36">
        <f t="shared" si="62"/>
        <v>787.5</v>
      </c>
    </row>
    <row r="373" spans="2:10" ht="15.6" x14ac:dyDescent="0.25">
      <c r="B373" s="59"/>
      <c r="C373" s="69" t="s">
        <v>689</v>
      </c>
      <c r="D373" s="61" t="s">
        <v>886</v>
      </c>
      <c r="E373" s="62">
        <v>1</v>
      </c>
      <c r="F373" s="63">
        <f>'Прайс для расчета'!E419</f>
        <v>315</v>
      </c>
      <c r="G373" s="64">
        <f t="shared" si="61"/>
        <v>315</v>
      </c>
      <c r="I373" s="135">
        <f>'Прайс для расчета (М)'!E419</f>
        <v>157.5</v>
      </c>
      <c r="J373" s="36">
        <f t="shared" si="62"/>
        <v>157.5</v>
      </c>
    </row>
    <row r="374" spans="2:10" ht="15.6" x14ac:dyDescent="0.25">
      <c r="B374" s="110">
        <f>IF(SUM(B366:B373)&gt;0,1,0)</f>
        <v>0</v>
      </c>
      <c r="C374" s="266" t="s">
        <v>546</v>
      </c>
      <c r="D374" s="266"/>
      <c r="E374" s="266"/>
      <c r="F374" s="266"/>
      <c r="G374" s="157">
        <f>SUMIF(B366:B373,1,G366:G373)</f>
        <v>0</v>
      </c>
      <c r="J374" s="36">
        <f>SUMIF(B366:B373,1,J366:J373)</f>
        <v>0</v>
      </c>
    </row>
    <row r="375" spans="2:10" ht="15.6" x14ac:dyDescent="0.25">
      <c r="B375" s="153">
        <f>IF(SUM(B10:B374)&gt;0,1,0)</f>
        <v>0</v>
      </c>
      <c r="C375" s="265" t="s">
        <v>191</v>
      </c>
      <c r="D375" s="265"/>
      <c r="E375" s="265"/>
      <c r="F375" s="265"/>
      <c r="G375" s="155">
        <f>G139+G250+G364+G374</f>
        <v>0</v>
      </c>
      <c r="J375" s="36">
        <f>J139+J250+J364+J374</f>
        <v>0</v>
      </c>
    </row>
    <row r="376" spans="2:10" ht="15.6" x14ac:dyDescent="0.25">
      <c r="B376" s="153" t="e">
        <f>IF(G376&gt;0,1,0)</f>
        <v>#REF!</v>
      </c>
      <c r="C376" s="265" t="s">
        <v>241</v>
      </c>
      <c r="D376" s="265"/>
      <c r="E376" s="265"/>
      <c r="F376" s="265"/>
      <c r="G376" s="156" t="e">
        <f>#REF!</f>
        <v>#REF!</v>
      </c>
      <c r="J376" s="136">
        <v>0</v>
      </c>
    </row>
    <row r="377" spans="2:10" ht="15.6" x14ac:dyDescent="0.25">
      <c r="B377" s="153" t="e">
        <f>IF(G377&gt;0,1,0)</f>
        <v>#REF!</v>
      </c>
      <c r="C377" s="265" t="s">
        <v>240</v>
      </c>
      <c r="D377" s="265"/>
      <c r="E377" s="265"/>
      <c r="F377" s="265"/>
      <c r="G377" s="155" t="e">
        <f>G375-(G375*G376)</f>
        <v>#REF!</v>
      </c>
      <c r="J377" s="36">
        <f>J375-(J375*J376)</f>
        <v>0</v>
      </c>
    </row>
    <row r="379" spans="2:10" ht="15.6" x14ac:dyDescent="0.25">
      <c r="C379" s="3" t="s">
        <v>238</v>
      </c>
      <c r="E379" s="16" t="s">
        <v>239</v>
      </c>
    </row>
    <row r="380" spans="2:10" x14ac:dyDescent="0.25">
      <c r="C380" s="1"/>
    </row>
    <row r="381" spans="2:10" x14ac:dyDescent="0.25">
      <c r="C381" s="4" t="s">
        <v>185</v>
      </c>
      <c r="E381" s="17" t="s">
        <v>185</v>
      </c>
    </row>
    <row r="382" spans="2:10" x14ac:dyDescent="0.25">
      <c r="C382" s="5" t="s">
        <v>690</v>
      </c>
      <c r="E382" s="15" t="s">
        <v>186</v>
      </c>
    </row>
  </sheetData>
  <autoFilter ref="B9:H377"/>
  <mergeCells count="11">
    <mergeCell ref="C1:C4"/>
    <mergeCell ref="C377:F377"/>
    <mergeCell ref="C5:G5"/>
    <mergeCell ref="C6:C7"/>
    <mergeCell ref="D8:G8"/>
    <mergeCell ref="C376:F376"/>
    <mergeCell ref="C139:F139"/>
    <mergeCell ref="C250:F250"/>
    <mergeCell ref="C364:F364"/>
    <mergeCell ref="C374:F374"/>
    <mergeCell ref="C375:F375"/>
  </mergeCells>
  <phoneticPr fontId="8" type="noConversion"/>
  <conditionalFormatting sqref="B11:G32 B167:G167 B142:B166 B211:G221 B168:B210 B289:G289 B253:B288 G253:G288 B290:B313 B314:G314 B322:G322 B315:E321 G315:G321 B336:G336 B323:E335 G323:G335 B337:E355 G337:G355 B374:G377 B366:B373 G366:G373 G168:G210 G142:G166 B222:E227 G222:G249 B35:G60 B33:B34 E33:G34 B61 F61:G61 B356:G356 B357:E363 G357:G363 G290:G313 B141:G141 B252:G252 B364:G364 B250:G250 B62:G139 B229:E237 B228 D228:E228 B241:E244 B238:B240 B245:B248 D245:E248 D238:E240">
    <cfRule type="expression" dxfId="173" priority="52">
      <formula>$B11=0</formula>
    </cfRule>
  </conditionalFormatting>
  <conditionalFormatting sqref="B10:G10">
    <cfRule type="expression" dxfId="172" priority="51">
      <formula>$B10=0</formula>
    </cfRule>
  </conditionalFormatting>
  <conditionalFormatting sqref="B249:E249">
    <cfRule type="expression" dxfId="171" priority="50">
      <formula>$B249=0</formula>
    </cfRule>
  </conditionalFormatting>
  <conditionalFormatting sqref="C143">
    <cfRule type="expression" dxfId="170" priority="45">
      <formula>$B143=0</formula>
    </cfRule>
  </conditionalFormatting>
  <conditionalFormatting sqref="C146:C150">
    <cfRule type="expression" dxfId="169" priority="44">
      <formula>$B146=0</formula>
    </cfRule>
  </conditionalFormatting>
  <conditionalFormatting sqref="F222:F249">
    <cfRule type="expression" dxfId="168" priority="49">
      <formula>$B222=0</formula>
    </cfRule>
  </conditionalFormatting>
  <conditionalFormatting sqref="F168:F210">
    <cfRule type="expression" dxfId="167" priority="41">
      <formula>$B168=0</formula>
    </cfRule>
  </conditionalFormatting>
  <conditionalFormatting sqref="D305:D307 E304:E307 D290:F290 D291:E303">
    <cfRule type="expression" dxfId="166" priority="36">
      <formula>$B290=0</formula>
    </cfRule>
  </conditionalFormatting>
  <conditionalFormatting sqref="E153">
    <cfRule type="expression" dxfId="165" priority="46">
      <formula>$B153=0</formula>
    </cfRule>
  </conditionalFormatting>
  <conditionalFormatting sqref="E253:F253 C272:E288 E254:E271 F254:F288">
    <cfRule type="expression" dxfId="164" priority="40">
      <formula>$B253=0</formula>
    </cfRule>
  </conditionalFormatting>
  <conditionalFormatting sqref="C253:C271">
    <cfRule type="expression" dxfId="163" priority="39">
      <formula>$B253=0</formula>
    </cfRule>
  </conditionalFormatting>
  <conditionalFormatting sqref="F142:F166">
    <cfRule type="expression" dxfId="162" priority="43">
      <formula>$B142=0</formula>
    </cfRule>
  </conditionalFormatting>
  <conditionalFormatting sqref="C168:E168 C174:E176 D169:E173 C189:E210 D177:E188">
    <cfRule type="expression" dxfId="161" priority="42">
      <formula>$B168=0</formula>
    </cfRule>
  </conditionalFormatting>
  <conditionalFormatting sqref="C142:E142 C154:E165 C153:D153 C151:E152 D143:E143 D146:E150 C144:E145">
    <cfRule type="expression" dxfId="160" priority="48">
      <formula>$B142=0</formula>
    </cfRule>
  </conditionalFormatting>
  <conditionalFormatting sqref="C166:E166">
    <cfRule type="expression" dxfId="159" priority="47">
      <formula>$B166=0</formula>
    </cfRule>
  </conditionalFormatting>
  <conditionalFormatting sqref="D253:D271">
    <cfRule type="expression" dxfId="158" priority="38">
      <formula>$B253=0</formula>
    </cfRule>
  </conditionalFormatting>
  <conditionalFormatting sqref="D308:E313">
    <cfRule type="expression" dxfId="157" priority="37">
      <formula>$B308=0</formula>
    </cfRule>
  </conditionalFormatting>
  <conditionalFormatting sqref="F315:F321">
    <cfRule type="expression" dxfId="156" priority="35">
      <formula>$B315=0</formula>
    </cfRule>
  </conditionalFormatting>
  <conditionalFormatting sqref="F323:F335">
    <cfRule type="expression" dxfId="155" priority="34">
      <formula>$B323=0</formula>
    </cfRule>
  </conditionalFormatting>
  <conditionalFormatting sqref="F337:F355">
    <cfRule type="expression" dxfId="154" priority="33">
      <formula>$B337=0</formula>
    </cfRule>
  </conditionalFormatting>
  <conditionalFormatting sqref="C366:E373">
    <cfRule type="expression" dxfId="153" priority="30">
      <formula>$B366=0</formula>
    </cfRule>
  </conditionalFormatting>
  <conditionalFormatting sqref="C33:C34">
    <cfRule type="expression" dxfId="152" priority="29">
      <formula>$B33=0</formula>
    </cfRule>
  </conditionalFormatting>
  <conditionalFormatting sqref="D33:D34">
    <cfRule type="expression" dxfId="151" priority="28">
      <formula>$B33=0</formula>
    </cfRule>
  </conditionalFormatting>
  <conditionalFormatting sqref="D61:E61">
    <cfRule type="expression" dxfId="150" priority="27">
      <formula>$B61=0</formula>
    </cfRule>
  </conditionalFormatting>
  <conditionalFormatting sqref="C61">
    <cfRule type="expression" dxfId="149" priority="26">
      <formula>$B61=0</formula>
    </cfRule>
  </conditionalFormatting>
  <conditionalFormatting sqref="C290:C295 C298:C307">
    <cfRule type="expression" dxfId="148" priority="24">
      <formula>$B290=0</formula>
    </cfRule>
  </conditionalFormatting>
  <conditionalFormatting sqref="C308:C313">
    <cfRule type="expression" dxfId="147" priority="25">
      <formula>$B308=0</formula>
    </cfRule>
  </conditionalFormatting>
  <conditionalFormatting sqref="F291:F313">
    <cfRule type="expression" dxfId="146" priority="23">
      <formula>$B291=0</formula>
    </cfRule>
  </conditionalFormatting>
  <conditionalFormatting sqref="F357:F363">
    <cfRule type="expression" dxfId="145" priority="22">
      <formula>$B357=0</formula>
    </cfRule>
  </conditionalFormatting>
  <conditionalFormatting sqref="F366:F373">
    <cfRule type="expression" dxfId="144" priority="21">
      <formula>$B366=0</formula>
    </cfRule>
  </conditionalFormatting>
  <conditionalFormatting sqref="C296:C297">
    <cfRule type="expression" dxfId="143" priority="20">
      <formula>$B296=0</formula>
    </cfRule>
  </conditionalFormatting>
  <conditionalFormatting sqref="B140:G140">
    <cfRule type="expression" dxfId="142" priority="19">
      <formula>$B140=0</formula>
    </cfRule>
  </conditionalFormatting>
  <conditionalFormatting sqref="B251:G251">
    <cfRule type="expression" dxfId="141" priority="18">
      <formula>$B251=0</formula>
    </cfRule>
  </conditionalFormatting>
  <conditionalFormatting sqref="B365:G365">
    <cfRule type="expression" dxfId="140" priority="17">
      <formula>$B365=0</formula>
    </cfRule>
  </conditionalFormatting>
  <conditionalFormatting sqref="C177">
    <cfRule type="expression" dxfId="139" priority="16">
      <formula>$B177=0</formula>
    </cfRule>
  </conditionalFormatting>
  <conditionalFormatting sqref="C228">
    <cfRule type="expression" dxfId="138" priority="13">
      <formula>$B228=0</formula>
    </cfRule>
  </conditionalFormatting>
  <conditionalFormatting sqref="C245:C248">
    <cfRule type="expression" dxfId="137" priority="9">
      <formula>$B245=0</formula>
    </cfRule>
  </conditionalFormatting>
  <conditionalFormatting sqref="C185:C186">
    <cfRule type="expression" dxfId="136" priority="8">
      <formula>$B185=0</formula>
    </cfRule>
  </conditionalFormatting>
  <conditionalFormatting sqref="C169:C173">
    <cfRule type="expression" dxfId="135" priority="7">
      <formula>$B169=0</formula>
    </cfRule>
  </conditionalFormatting>
  <conditionalFormatting sqref="C188">
    <cfRule type="expression" dxfId="134" priority="6">
      <formula>$B188=0</formula>
    </cfRule>
  </conditionalFormatting>
  <conditionalFormatting sqref="C187">
    <cfRule type="expression" dxfId="133" priority="5">
      <formula>$B187=0</formula>
    </cfRule>
  </conditionalFormatting>
  <conditionalFormatting sqref="C178:C179 C181:C184">
    <cfRule type="expression" dxfId="132" priority="4">
      <formula>$B178=0</formula>
    </cfRule>
  </conditionalFormatting>
  <conditionalFormatting sqref="C180">
    <cfRule type="expression" dxfId="131" priority="3">
      <formula>$B180=0</formula>
    </cfRule>
  </conditionalFormatting>
  <conditionalFormatting sqref="C238:C239">
    <cfRule type="expression" dxfId="130" priority="2">
      <formula>$B238=0</formula>
    </cfRule>
  </conditionalFormatting>
  <conditionalFormatting sqref="C240">
    <cfRule type="expression" dxfId="129" priority="1">
      <formula>$B240=0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11111111">
    <tabColor rgb="FF00B050"/>
    <pageSetUpPr fitToPage="1"/>
  </sheetPr>
  <dimension ref="A1:U89"/>
  <sheetViews>
    <sheetView zoomScaleNormal="100" zoomScalePageLayoutView="145" workbookViewId="0">
      <selection activeCell="C16" sqref="C16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G22</f>
        <v>0</v>
      </c>
      <c r="U1" s="35">
        <f>J22</f>
        <v>0</v>
      </c>
    </row>
    <row r="2" spans="1:21" ht="21.9" customHeight="1" x14ac:dyDescent="0.25">
      <c r="A2" s="19">
        <f>ROUND(D7*2+E7*2,2)</f>
        <v>0</v>
      </c>
      <c r="C2" s="258"/>
      <c r="T2" s="35">
        <f>G70</f>
        <v>0</v>
      </c>
      <c r="U2" s="35">
        <f>J70</f>
        <v>0</v>
      </c>
    </row>
    <row r="3" spans="1:21" ht="21.9" customHeight="1" x14ac:dyDescent="0.25">
      <c r="A3" s="18" t="s">
        <v>183</v>
      </c>
      <c r="C3" s="258"/>
      <c r="D3" s="9"/>
      <c r="E3" s="9"/>
      <c r="F3" s="9"/>
      <c r="G3" s="9"/>
      <c r="T3" s="35">
        <f>G80</f>
        <v>0</v>
      </c>
      <c r="U3" s="35">
        <f>J80</f>
        <v>0</v>
      </c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  <c r="T4" s="35">
        <f>G81</f>
        <v>0</v>
      </c>
      <c r="U4" s="35">
        <f>J81</f>
        <v>0</v>
      </c>
    </row>
    <row r="5" spans="1:21" ht="21.9" customHeight="1" thickBot="1" x14ac:dyDescent="0.35">
      <c r="A5" s="18" t="s">
        <v>184</v>
      </c>
      <c r="C5" s="269" t="e">
        <f>#REF!</f>
        <v>#REF!</v>
      </c>
      <c r="D5" s="270"/>
      <c r="E5" s="270"/>
      <c r="F5" s="270"/>
      <c r="G5" s="271"/>
      <c r="T5" s="35" t="e">
        <f>G83</f>
        <v>#REF!</v>
      </c>
      <c r="U5" s="35">
        <f>J83</f>
        <v>0</v>
      </c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  <c r="U6" s="36"/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</row>
    <row r="8" spans="1:21" x14ac:dyDescent="0.25">
      <c r="C8" s="70" t="s">
        <v>1015</v>
      </c>
      <c r="D8" s="255" t="e">
        <f>G83</f>
        <v>#REF!</v>
      </c>
      <c r="E8" s="256"/>
      <c r="F8" s="256"/>
      <c r="G8" s="257"/>
      <c r="H8" s="44" t="s">
        <v>760</v>
      </c>
    </row>
    <row r="9" spans="1:21" ht="15.6" x14ac:dyDescent="0.3">
      <c r="B9" s="110"/>
      <c r="C9" s="137"/>
      <c r="D9" s="112"/>
      <c r="E9" s="112"/>
      <c r="F9" s="112"/>
      <c r="G9" s="112"/>
    </row>
    <row r="10" spans="1:21" ht="15.6" x14ac:dyDescent="0.25">
      <c r="B10" s="153">
        <f>IF(SUM(B11:B21)&gt;0,1,0)</f>
        <v>0</v>
      </c>
      <c r="C10" s="164" t="s">
        <v>168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9">
        <f>IF(SUM(B12:B21)&gt;0,1,0)</f>
        <v>0</v>
      </c>
      <c r="C11" s="67" t="s">
        <v>883</v>
      </c>
      <c r="D11" s="61"/>
      <c r="E11" s="62"/>
      <c r="F11" s="63"/>
      <c r="G11" s="64"/>
    </row>
    <row r="12" spans="1:21" ht="15.6" x14ac:dyDescent="0.25">
      <c r="B12" s="59"/>
      <c r="C12" s="65" t="s">
        <v>354</v>
      </c>
      <c r="D12" s="61" t="s">
        <v>0</v>
      </c>
      <c r="E12" s="62">
        <v>1</v>
      </c>
      <c r="F12" s="63">
        <f>'Прайс для расчета'!E115</f>
        <v>146.11799999999999</v>
      </c>
      <c r="G12" s="64">
        <f t="shared" ref="G12:G21" si="0">F12*E12</f>
        <v>146.11799999999999</v>
      </c>
      <c r="I12" s="135">
        <f>'Прайс для расчета (М)'!E115</f>
        <v>73.058999999999997</v>
      </c>
      <c r="J12" s="36">
        <f t="shared" ref="J12:J21" si="1">I12*E12</f>
        <v>73.058999999999997</v>
      </c>
    </row>
    <row r="13" spans="1:21" ht="15.6" x14ac:dyDescent="0.25">
      <c r="B13" s="59"/>
      <c r="C13" s="65" t="s">
        <v>671</v>
      </c>
      <c r="D13" s="61" t="s">
        <v>0</v>
      </c>
      <c r="E13" s="62">
        <v>1</v>
      </c>
      <c r="F13" s="63">
        <f>'Прайс для расчета'!E116</f>
        <v>164.01</v>
      </c>
      <c r="G13" s="64">
        <f t="shared" si="0"/>
        <v>164.01</v>
      </c>
      <c r="I13" s="135">
        <f>'Прайс для расчета (М)'!E116</f>
        <v>82.004999999999995</v>
      </c>
      <c r="J13" s="36">
        <f t="shared" si="1"/>
        <v>82.004999999999995</v>
      </c>
    </row>
    <row r="14" spans="1:21" ht="15.6" x14ac:dyDescent="0.25">
      <c r="B14" s="59"/>
      <c r="C14" s="65" t="s">
        <v>146</v>
      </c>
      <c r="D14" s="61" t="s">
        <v>0</v>
      </c>
      <c r="E14" s="62">
        <v>1</v>
      </c>
      <c r="F14" s="63">
        <f>'Прайс для расчета'!E117</f>
        <v>335.47500000000002</v>
      </c>
      <c r="G14" s="64">
        <f t="shared" si="0"/>
        <v>335.47500000000002</v>
      </c>
      <c r="I14" s="135">
        <f>'Прайс для расчета (М)'!E117</f>
        <v>167.73750000000001</v>
      </c>
      <c r="J14" s="36">
        <f t="shared" si="1"/>
        <v>167.73750000000001</v>
      </c>
    </row>
    <row r="15" spans="1:21" ht="15.6" x14ac:dyDescent="0.25">
      <c r="B15" s="59"/>
      <c r="C15" s="65" t="s">
        <v>64</v>
      </c>
      <c r="D15" s="61" t="s">
        <v>0</v>
      </c>
      <c r="E15" s="62">
        <v>1</v>
      </c>
      <c r="F15" s="63">
        <f>'Прайс для расчета'!E118</f>
        <v>1021.3349999999999</v>
      </c>
      <c r="G15" s="64">
        <f t="shared" si="0"/>
        <v>1021.3349999999999</v>
      </c>
      <c r="I15" s="135">
        <f>'Прайс для расчета (М)'!E118</f>
        <v>510.66749999999996</v>
      </c>
      <c r="J15" s="36">
        <f t="shared" si="1"/>
        <v>510.66749999999996</v>
      </c>
    </row>
    <row r="16" spans="1:21" ht="15.6" x14ac:dyDescent="0.25">
      <c r="B16" s="59"/>
      <c r="C16" s="65" t="s">
        <v>672</v>
      </c>
      <c r="D16" s="61" t="s">
        <v>645</v>
      </c>
      <c r="E16" s="62">
        <v>1</v>
      </c>
      <c r="F16" s="63">
        <f>'Прайс для расчета'!E119</f>
        <v>34.292999999999999</v>
      </c>
      <c r="G16" s="64">
        <f t="shared" si="0"/>
        <v>34.292999999999999</v>
      </c>
      <c r="I16" s="135">
        <f>'Прайс для расчета (М)'!E119</f>
        <v>17.1465</v>
      </c>
      <c r="J16" s="36">
        <f t="shared" si="1"/>
        <v>17.1465</v>
      </c>
    </row>
    <row r="17" spans="2:10" ht="15.6" x14ac:dyDescent="0.25">
      <c r="B17" s="59"/>
      <c r="C17" s="65" t="s">
        <v>177</v>
      </c>
      <c r="D17" s="61" t="s">
        <v>0</v>
      </c>
      <c r="E17" s="62">
        <v>1</v>
      </c>
      <c r="F17" s="63">
        <f>'Прайс для расчета'!E120</f>
        <v>164.01</v>
      </c>
      <c r="G17" s="64">
        <f t="shared" si="0"/>
        <v>164.01</v>
      </c>
      <c r="I17" s="135">
        <f>'Прайс для расчета (М)'!E120</f>
        <v>82.004999999999995</v>
      </c>
      <c r="J17" s="36">
        <f t="shared" si="1"/>
        <v>82.004999999999995</v>
      </c>
    </row>
    <row r="18" spans="2:10" ht="15.6" x14ac:dyDescent="0.25">
      <c r="B18" s="59"/>
      <c r="C18" s="65" t="s">
        <v>355</v>
      </c>
      <c r="D18" s="61" t="s">
        <v>0</v>
      </c>
      <c r="E18" s="62">
        <v>1</v>
      </c>
      <c r="F18" s="63">
        <f>'Прайс для расчета'!E121</f>
        <v>600.87300000000005</v>
      </c>
      <c r="G18" s="64">
        <f t="shared" si="0"/>
        <v>600.87300000000005</v>
      </c>
      <c r="I18" s="135">
        <f>'Прайс для расчета (М)'!E121</f>
        <v>300.43650000000002</v>
      </c>
      <c r="J18" s="36">
        <f t="shared" si="1"/>
        <v>300.43650000000002</v>
      </c>
    </row>
    <row r="19" spans="2:10" ht="15.6" x14ac:dyDescent="0.25">
      <c r="B19" s="59"/>
      <c r="C19" s="65" t="s">
        <v>494</v>
      </c>
      <c r="D19" s="61" t="s">
        <v>0</v>
      </c>
      <c r="E19" s="62">
        <v>1</v>
      </c>
      <c r="F19" s="63">
        <f>'Прайс для расчета'!E122</f>
        <v>3936.24</v>
      </c>
      <c r="G19" s="64">
        <f t="shared" si="0"/>
        <v>3936.24</v>
      </c>
      <c r="I19" s="135">
        <f>'Прайс для расчета (М)'!E122</f>
        <v>1968.12</v>
      </c>
      <c r="J19" s="36">
        <f t="shared" si="1"/>
        <v>1968.12</v>
      </c>
    </row>
    <row r="20" spans="2:10" ht="15.6" x14ac:dyDescent="0.25">
      <c r="B20" s="59"/>
      <c r="C20" s="65" t="s">
        <v>495</v>
      </c>
      <c r="D20" s="61" t="s">
        <v>0</v>
      </c>
      <c r="E20" s="62">
        <v>1</v>
      </c>
      <c r="F20" s="63">
        <f>'Прайс для расчета'!E123</f>
        <v>5093.2559999999994</v>
      </c>
      <c r="G20" s="64">
        <f t="shared" si="0"/>
        <v>5093.2559999999994</v>
      </c>
      <c r="I20" s="135">
        <f>'Прайс для расчета (М)'!E123</f>
        <v>2546.6279999999997</v>
      </c>
      <c r="J20" s="36">
        <f t="shared" si="1"/>
        <v>2546.6279999999997</v>
      </c>
    </row>
    <row r="21" spans="2:10" ht="15.6" x14ac:dyDescent="0.25">
      <c r="B21" s="59"/>
      <c r="C21" s="65" t="s">
        <v>496</v>
      </c>
      <c r="D21" s="61" t="s">
        <v>0</v>
      </c>
      <c r="E21" s="62">
        <v>1</v>
      </c>
      <c r="F21" s="63">
        <f>'Прайс для расчета'!E124</f>
        <v>4244.8769999999995</v>
      </c>
      <c r="G21" s="64">
        <f t="shared" si="0"/>
        <v>4244.8769999999995</v>
      </c>
      <c r="I21" s="135">
        <f>'Прайс для расчета (М)'!E124</f>
        <v>2122.4384999999997</v>
      </c>
      <c r="J21" s="36">
        <f t="shared" si="1"/>
        <v>2122.4384999999997</v>
      </c>
    </row>
    <row r="22" spans="2:10" ht="15.6" x14ac:dyDescent="0.25">
      <c r="B22" s="110">
        <f>IF(SUM(B11:B21)&gt;0,1,0)</f>
        <v>0</v>
      </c>
      <c r="C22" s="266" t="s">
        <v>497</v>
      </c>
      <c r="D22" s="266"/>
      <c r="E22" s="266"/>
      <c r="F22" s="266"/>
      <c r="G22" s="157">
        <f>SUMIF(B12:B21,1,G12:G21)</f>
        <v>0</v>
      </c>
      <c r="J22" s="36">
        <f>SUMIF(B12:B21,1,J12:J21)</f>
        <v>0</v>
      </c>
    </row>
    <row r="23" spans="2:10" ht="15.6" x14ac:dyDescent="0.25">
      <c r="B23" s="153">
        <f>IF(SUM(B24:B69)&gt;0,1,0)</f>
        <v>0</v>
      </c>
      <c r="C23" s="164" t="s">
        <v>716</v>
      </c>
      <c r="D23" s="154" t="s">
        <v>179</v>
      </c>
      <c r="E23" s="154" t="s">
        <v>180</v>
      </c>
      <c r="F23" s="154" t="s">
        <v>1</v>
      </c>
      <c r="G23" s="154" t="s">
        <v>181</v>
      </c>
      <c r="I23" s="36" t="s">
        <v>1</v>
      </c>
      <c r="J23" s="36" t="s">
        <v>181</v>
      </c>
    </row>
    <row r="24" spans="2:10" ht="15.6" x14ac:dyDescent="0.25">
      <c r="B24" s="59"/>
      <c r="C24" s="65" t="s">
        <v>279</v>
      </c>
      <c r="D24" s="61" t="s">
        <v>3</v>
      </c>
      <c r="E24" s="62">
        <v>1</v>
      </c>
      <c r="F24" s="63">
        <f>'Прайс для расчета'!E358</f>
        <v>446.25</v>
      </c>
      <c r="G24" s="64">
        <f t="shared" ref="G24:G69" si="2">F24*E24</f>
        <v>446.25</v>
      </c>
      <c r="I24" s="135">
        <f>'Прайс для расчета (М)'!E358</f>
        <v>223.125</v>
      </c>
      <c r="J24" s="36">
        <f t="shared" ref="J24:J69" si="3">I24*E24</f>
        <v>223.125</v>
      </c>
    </row>
    <row r="25" spans="2:10" ht="15.6" x14ac:dyDescent="0.25">
      <c r="B25" s="59"/>
      <c r="C25" s="65" t="s">
        <v>280</v>
      </c>
      <c r="D25" s="61" t="s">
        <v>3</v>
      </c>
      <c r="E25" s="62">
        <v>1</v>
      </c>
      <c r="F25" s="63">
        <f>'Прайс для расчета'!E359</f>
        <v>614.25</v>
      </c>
      <c r="G25" s="64">
        <f t="shared" si="2"/>
        <v>614.25</v>
      </c>
      <c r="I25" s="135">
        <f>'Прайс для расчета (М)'!E359</f>
        <v>307.125</v>
      </c>
      <c r="J25" s="36">
        <f t="shared" si="3"/>
        <v>307.125</v>
      </c>
    </row>
    <row r="26" spans="2:10" ht="15.6" x14ac:dyDescent="0.25">
      <c r="B26" s="59"/>
      <c r="C26" s="65" t="s">
        <v>1004</v>
      </c>
      <c r="D26" s="61" t="s">
        <v>3</v>
      </c>
      <c r="E26" s="62">
        <f>E24</f>
        <v>1</v>
      </c>
      <c r="F26" s="63">
        <f>'Прайс для расчета'!E360</f>
        <v>99.75</v>
      </c>
      <c r="G26" s="64">
        <f t="shared" si="2"/>
        <v>99.75</v>
      </c>
      <c r="I26" s="135">
        <f>'Прайс для расчета (М)'!E360</f>
        <v>49.875</v>
      </c>
      <c r="J26" s="36">
        <f t="shared" si="3"/>
        <v>49.875</v>
      </c>
    </row>
    <row r="27" spans="2:10" ht="15.6" x14ac:dyDescent="0.25">
      <c r="B27" s="59"/>
      <c r="C27" s="65" t="s">
        <v>282</v>
      </c>
      <c r="D27" s="61" t="s">
        <v>0</v>
      </c>
      <c r="E27" s="62">
        <v>1</v>
      </c>
      <c r="F27" s="63">
        <f>'Прайс для расчета'!E361</f>
        <v>603.75</v>
      </c>
      <c r="G27" s="64">
        <f t="shared" si="2"/>
        <v>603.75</v>
      </c>
      <c r="I27" s="135">
        <f>'Прайс для расчета (М)'!E361</f>
        <v>301.875</v>
      </c>
      <c r="J27" s="36">
        <f t="shared" si="3"/>
        <v>301.875</v>
      </c>
    </row>
    <row r="28" spans="2:10" ht="15.6" x14ac:dyDescent="0.25">
      <c r="B28" s="59"/>
      <c r="C28" s="65" t="s">
        <v>682</v>
      </c>
      <c r="D28" s="61" t="s">
        <v>0</v>
      </c>
      <c r="E28" s="62">
        <v>1</v>
      </c>
      <c r="F28" s="63">
        <f>'Прайс для расчета'!E362</f>
        <v>412.65000000000003</v>
      </c>
      <c r="G28" s="64">
        <f t="shared" si="2"/>
        <v>412.65000000000003</v>
      </c>
      <c r="I28" s="135">
        <f>'Прайс для расчета (М)'!E362</f>
        <v>206.32500000000002</v>
      </c>
      <c r="J28" s="36">
        <f t="shared" si="3"/>
        <v>206.32500000000002</v>
      </c>
    </row>
    <row r="29" spans="2:10" ht="15.6" x14ac:dyDescent="0.25">
      <c r="B29" s="59"/>
      <c r="C29" s="65" t="s">
        <v>283</v>
      </c>
      <c r="D29" s="61" t="s">
        <v>0</v>
      </c>
      <c r="E29" s="62">
        <v>1</v>
      </c>
      <c r="F29" s="63">
        <f>'Прайс для расчета'!E363</f>
        <v>509.25</v>
      </c>
      <c r="G29" s="64">
        <f t="shared" si="2"/>
        <v>509.25</v>
      </c>
      <c r="I29" s="135">
        <f>'Прайс для расчета (М)'!E363</f>
        <v>254.625</v>
      </c>
      <c r="J29" s="36">
        <f t="shared" si="3"/>
        <v>254.625</v>
      </c>
    </row>
    <row r="30" spans="2:10" ht="15.6" x14ac:dyDescent="0.25">
      <c r="B30" s="59"/>
      <c r="C30" s="65" t="s">
        <v>284</v>
      </c>
      <c r="D30" s="61" t="s">
        <v>0</v>
      </c>
      <c r="E30" s="62">
        <v>1</v>
      </c>
      <c r="F30" s="63">
        <f>'Прайс для расчета'!E364</f>
        <v>729.75</v>
      </c>
      <c r="G30" s="64">
        <f t="shared" si="2"/>
        <v>729.75</v>
      </c>
      <c r="I30" s="135">
        <f>'Прайс для расчета (М)'!E364</f>
        <v>364.875</v>
      </c>
      <c r="J30" s="36">
        <f t="shared" si="3"/>
        <v>364.875</v>
      </c>
    </row>
    <row r="31" spans="2:10" ht="15.6" x14ac:dyDescent="0.25">
      <c r="B31" s="59"/>
      <c r="C31" s="65" t="s">
        <v>285</v>
      </c>
      <c r="D31" s="61" t="s">
        <v>0</v>
      </c>
      <c r="E31" s="62">
        <v>1</v>
      </c>
      <c r="F31" s="63">
        <f>'Прайс для расчета'!E365</f>
        <v>897.75</v>
      </c>
      <c r="G31" s="64">
        <f t="shared" si="2"/>
        <v>897.75</v>
      </c>
      <c r="I31" s="135">
        <f>'Прайс для расчета (М)'!E365</f>
        <v>448.875</v>
      </c>
      <c r="J31" s="36">
        <f t="shared" si="3"/>
        <v>448.875</v>
      </c>
    </row>
    <row r="32" spans="2:10" ht="15.6" x14ac:dyDescent="0.25">
      <c r="B32" s="59"/>
      <c r="C32" s="65" t="s">
        <v>286</v>
      </c>
      <c r="D32" s="61" t="s">
        <v>0</v>
      </c>
      <c r="E32" s="62">
        <v>1</v>
      </c>
      <c r="F32" s="63">
        <f>'Прайс для расчета'!E366</f>
        <v>630</v>
      </c>
      <c r="G32" s="64">
        <f t="shared" si="2"/>
        <v>630</v>
      </c>
      <c r="I32" s="135">
        <f>'Прайс для расчета (М)'!E366</f>
        <v>315</v>
      </c>
      <c r="J32" s="36">
        <f t="shared" si="3"/>
        <v>315</v>
      </c>
    </row>
    <row r="33" spans="2:10" ht="15.6" x14ac:dyDescent="0.25">
      <c r="B33" s="59"/>
      <c r="C33" s="65" t="s">
        <v>287</v>
      </c>
      <c r="D33" s="61" t="s">
        <v>0</v>
      </c>
      <c r="E33" s="62">
        <v>1</v>
      </c>
      <c r="F33" s="63">
        <f>'Прайс для расчета'!E367</f>
        <v>945</v>
      </c>
      <c r="G33" s="64">
        <f t="shared" si="2"/>
        <v>945</v>
      </c>
      <c r="I33" s="135">
        <f>'Прайс для расчета (М)'!E367</f>
        <v>472.5</v>
      </c>
      <c r="J33" s="36">
        <f t="shared" si="3"/>
        <v>472.5</v>
      </c>
    </row>
    <row r="34" spans="2:10" ht="15.6" x14ac:dyDescent="0.25">
      <c r="B34" s="59"/>
      <c r="C34" s="65" t="s">
        <v>541</v>
      </c>
      <c r="D34" s="61" t="s">
        <v>3</v>
      </c>
      <c r="E34" s="62">
        <v>1</v>
      </c>
      <c r="F34" s="63">
        <f>'Прайс для расчета'!E368</f>
        <v>924</v>
      </c>
      <c r="G34" s="64">
        <f t="shared" si="2"/>
        <v>924</v>
      </c>
      <c r="I34" s="135">
        <f>'Прайс для расчета (М)'!E368</f>
        <v>462</v>
      </c>
      <c r="J34" s="36">
        <f t="shared" si="3"/>
        <v>462</v>
      </c>
    </row>
    <row r="35" spans="2:10" ht="15.6" x14ac:dyDescent="0.25">
      <c r="B35" s="59"/>
      <c r="C35" s="65" t="s">
        <v>133</v>
      </c>
      <c r="D35" s="61" t="s">
        <v>0</v>
      </c>
      <c r="E35" s="62">
        <v>1</v>
      </c>
      <c r="F35" s="63">
        <f>'Прайс для расчета'!E369</f>
        <v>1417.5</v>
      </c>
      <c r="G35" s="64">
        <f t="shared" si="2"/>
        <v>1417.5</v>
      </c>
      <c r="I35" s="135">
        <f>'Прайс для расчета (М)'!E369</f>
        <v>708.75</v>
      </c>
      <c r="J35" s="36">
        <f t="shared" si="3"/>
        <v>708.75</v>
      </c>
    </row>
    <row r="36" spans="2:10" ht="15.6" x14ac:dyDescent="0.25">
      <c r="B36" s="59"/>
      <c r="C36" s="65" t="s">
        <v>887</v>
      </c>
      <c r="D36" s="61" t="s">
        <v>3</v>
      </c>
      <c r="E36" s="62">
        <v>1</v>
      </c>
      <c r="F36" s="63">
        <f>'Прайс для расчета'!E370</f>
        <v>924</v>
      </c>
      <c r="G36" s="64">
        <f t="shared" ref="G36" si="4">F36*E36</f>
        <v>924</v>
      </c>
      <c r="I36" s="135">
        <f>'Прайс для расчета (М)'!E370</f>
        <v>462</v>
      </c>
      <c r="J36" s="36">
        <f t="shared" si="3"/>
        <v>462</v>
      </c>
    </row>
    <row r="37" spans="2:10" ht="15.6" x14ac:dyDescent="0.25">
      <c r="B37" s="59"/>
      <c r="C37" s="65" t="s">
        <v>178</v>
      </c>
      <c r="D37" s="61" t="s">
        <v>0</v>
      </c>
      <c r="E37" s="62">
        <v>1</v>
      </c>
      <c r="F37" s="63">
        <f>'Прайс для расчета'!E371</f>
        <v>787.5</v>
      </c>
      <c r="G37" s="64">
        <f t="shared" si="2"/>
        <v>787.5</v>
      </c>
      <c r="I37" s="135">
        <f>'Прайс для расчета (М)'!E371</f>
        <v>393.75</v>
      </c>
      <c r="J37" s="36">
        <f t="shared" si="3"/>
        <v>393.75</v>
      </c>
    </row>
    <row r="38" spans="2:10" ht="15.6" x14ac:dyDescent="0.25">
      <c r="B38" s="59"/>
      <c r="C38" s="65" t="s">
        <v>948</v>
      </c>
      <c r="D38" s="61" t="s">
        <v>3</v>
      </c>
      <c r="E38" s="62">
        <v>1</v>
      </c>
      <c r="F38" s="63">
        <f>'Прайс для расчета'!E372</f>
        <v>96.915000000000006</v>
      </c>
      <c r="G38" s="64">
        <f t="shared" si="2"/>
        <v>96.915000000000006</v>
      </c>
      <c r="I38" s="135">
        <f>'Прайс для расчета (М)'!E372</f>
        <v>48.457500000000003</v>
      </c>
      <c r="J38" s="36">
        <f t="shared" si="3"/>
        <v>48.457500000000003</v>
      </c>
    </row>
    <row r="39" spans="2:10" ht="15.6" x14ac:dyDescent="0.25">
      <c r="B39" s="59"/>
      <c r="C39" s="65" t="s">
        <v>949</v>
      </c>
      <c r="D39" s="61" t="s">
        <v>3</v>
      </c>
      <c r="E39" s="62">
        <v>1</v>
      </c>
      <c r="F39" s="63">
        <f>'Прайс для расчета'!E373</f>
        <v>223.65</v>
      </c>
      <c r="G39" s="64">
        <f t="shared" si="2"/>
        <v>223.65</v>
      </c>
      <c r="I39" s="135">
        <f>'Прайс для расчета (М)'!E373</f>
        <v>111.825</v>
      </c>
      <c r="J39" s="36">
        <f t="shared" si="3"/>
        <v>111.825</v>
      </c>
    </row>
    <row r="40" spans="2:10" ht="15.6" x14ac:dyDescent="0.25">
      <c r="B40" s="59"/>
      <c r="C40" s="65" t="s">
        <v>950</v>
      </c>
      <c r="D40" s="61" t="s">
        <v>3</v>
      </c>
      <c r="E40" s="62">
        <v>1</v>
      </c>
      <c r="F40" s="63">
        <f>'Прайс для расчета'!E374</f>
        <v>111.825</v>
      </c>
      <c r="G40" s="64">
        <f t="shared" si="2"/>
        <v>111.825</v>
      </c>
      <c r="I40" s="135">
        <f>'Прайс для расчета (М)'!E374</f>
        <v>55.912500000000001</v>
      </c>
      <c r="J40" s="36">
        <f t="shared" si="3"/>
        <v>55.912500000000001</v>
      </c>
    </row>
    <row r="41" spans="2:10" ht="15.6" x14ac:dyDescent="0.25">
      <c r="B41" s="59"/>
      <c r="C41" s="65" t="s">
        <v>951</v>
      </c>
      <c r="D41" s="61" t="s">
        <v>3</v>
      </c>
      <c r="E41" s="62">
        <v>1</v>
      </c>
      <c r="F41" s="63">
        <f>'Прайс для расчета'!E375</f>
        <v>268.38</v>
      </c>
      <c r="G41" s="64">
        <f t="shared" si="2"/>
        <v>268.38</v>
      </c>
      <c r="I41" s="135">
        <f>'Прайс для расчета (М)'!E375</f>
        <v>134.19</v>
      </c>
      <c r="J41" s="36">
        <f t="shared" si="3"/>
        <v>134.19</v>
      </c>
    </row>
    <row r="42" spans="2:10" ht="15.6" x14ac:dyDescent="0.25">
      <c r="B42" s="59"/>
      <c r="C42" s="65" t="s">
        <v>683</v>
      </c>
      <c r="D42" s="61" t="s">
        <v>0</v>
      </c>
      <c r="E42" s="62">
        <v>1</v>
      </c>
      <c r="F42" s="63">
        <f>'Прайс для расчета'!E376</f>
        <v>155.06400000000002</v>
      </c>
      <c r="G42" s="64">
        <f t="shared" si="2"/>
        <v>155.06400000000002</v>
      </c>
      <c r="I42" s="135">
        <f>'Прайс для расчета (М)'!E376</f>
        <v>77.532000000000011</v>
      </c>
      <c r="J42" s="36">
        <f t="shared" si="3"/>
        <v>77.532000000000011</v>
      </c>
    </row>
    <row r="43" spans="2:10" ht="15.6" x14ac:dyDescent="0.25">
      <c r="B43" s="59"/>
      <c r="C43" s="65" t="s">
        <v>684</v>
      </c>
      <c r="D43" s="61" t="s">
        <v>0</v>
      </c>
      <c r="E43" s="62">
        <v>1</v>
      </c>
      <c r="F43" s="63">
        <f>'Прайс для расчета'!E377</f>
        <v>1021.3349999999999</v>
      </c>
      <c r="G43" s="64">
        <f t="shared" si="2"/>
        <v>1021.3349999999999</v>
      </c>
      <c r="I43" s="135">
        <f>'Прайс для расчета (М)'!E377</f>
        <v>510.66749999999996</v>
      </c>
      <c r="J43" s="36">
        <f t="shared" si="3"/>
        <v>510.66749999999996</v>
      </c>
    </row>
    <row r="44" spans="2:10" ht="15.6" x14ac:dyDescent="0.25">
      <c r="B44" s="59"/>
      <c r="C44" s="65" t="s">
        <v>288</v>
      </c>
      <c r="D44" s="61" t="s">
        <v>0</v>
      </c>
      <c r="E44" s="62">
        <v>1</v>
      </c>
      <c r="F44" s="63">
        <f>'Прайс для расчета'!E378</f>
        <v>541.23299999999995</v>
      </c>
      <c r="G44" s="64">
        <f t="shared" si="2"/>
        <v>541.23299999999995</v>
      </c>
      <c r="I44" s="135">
        <f>'Прайс для расчета (М)'!E378</f>
        <v>270.61649999999997</v>
      </c>
      <c r="J44" s="36">
        <f t="shared" si="3"/>
        <v>270.61649999999997</v>
      </c>
    </row>
    <row r="45" spans="2:10" ht="15.6" x14ac:dyDescent="0.25">
      <c r="B45" s="59"/>
      <c r="C45" s="65" t="s">
        <v>142</v>
      </c>
      <c r="D45" s="61" t="s">
        <v>3</v>
      </c>
      <c r="E45" s="62">
        <v>1</v>
      </c>
      <c r="F45" s="63">
        <f>'Прайс для расчета'!E379</f>
        <v>849.87</v>
      </c>
      <c r="G45" s="64">
        <f t="shared" si="2"/>
        <v>849.87</v>
      </c>
      <c r="I45" s="135">
        <f>'Прайс для расчета (М)'!E379</f>
        <v>424.935</v>
      </c>
      <c r="J45" s="36">
        <f t="shared" si="3"/>
        <v>424.935</v>
      </c>
    </row>
    <row r="46" spans="2:10" ht="15.6" x14ac:dyDescent="0.25">
      <c r="B46" s="59"/>
      <c r="C46" s="65" t="s">
        <v>685</v>
      </c>
      <c r="D46" s="61" t="s">
        <v>0</v>
      </c>
      <c r="E46" s="62">
        <v>1</v>
      </c>
      <c r="F46" s="63">
        <f>'Прайс для расчета'!E380</f>
        <v>849.87</v>
      </c>
      <c r="G46" s="64">
        <f t="shared" si="2"/>
        <v>849.87</v>
      </c>
      <c r="I46" s="135">
        <f>'Прайс для расчета (М)'!E380</f>
        <v>424.935</v>
      </c>
      <c r="J46" s="36">
        <f t="shared" si="3"/>
        <v>424.935</v>
      </c>
    </row>
    <row r="47" spans="2:10" ht="15.6" x14ac:dyDescent="0.25">
      <c r="B47" s="59"/>
      <c r="C47" s="65" t="s">
        <v>289</v>
      </c>
      <c r="D47" s="61" t="s">
        <v>0</v>
      </c>
      <c r="E47" s="62">
        <v>1</v>
      </c>
      <c r="F47" s="63">
        <f>'Прайс для расчета'!E381</f>
        <v>577.5</v>
      </c>
      <c r="G47" s="64">
        <f t="shared" si="2"/>
        <v>577.5</v>
      </c>
      <c r="I47" s="135">
        <f>'Прайс для расчета (М)'!E381</f>
        <v>288.75</v>
      </c>
      <c r="J47" s="36">
        <f t="shared" si="3"/>
        <v>288.75</v>
      </c>
    </row>
    <row r="48" spans="2:10" ht="15.6" x14ac:dyDescent="0.25">
      <c r="B48" s="59"/>
      <c r="C48" s="65" t="s">
        <v>290</v>
      </c>
      <c r="D48" s="61" t="s">
        <v>0</v>
      </c>
      <c r="E48" s="62">
        <v>1</v>
      </c>
      <c r="F48" s="63">
        <f>'Прайс для расчета'!E382</f>
        <v>1543.1849999999999</v>
      </c>
      <c r="G48" s="64">
        <f t="shared" si="2"/>
        <v>1543.1849999999999</v>
      </c>
      <c r="I48" s="135">
        <f>'Прайс для расчета (М)'!E382</f>
        <v>771.59249999999997</v>
      </c>
      <c r="J48" s="36">
        <f t="shared" si="3"/>
        <v>771.59249999999997</v>
      </c>
    </row>
    <row r="49" spans="2:10" ht="15.6" x14ac:dyDescent="0.25">
      <c r="B49" s="59"/>
      <c r="C49" s="65" t="s">
        <v>291</v>
      </c>
      <c r="D49" s="61" t="s">
        <v>0</v>
      </c>
      <c r="E49" s="62">
        <v>1</v>
      </c>
      <c r="F49" s="63">
        <f>'Прайс для расчета'!E383</f>
        <v>892.5</v>
      </c>
      <c r="G49" s="64">
        <f t="shared" si="2"/>
        <v>892.5</v>
      </c>
      <c r="I49" s="135">
        <f>'Прайс для расчета (М)'!E383</f>
        <v>446.25</v>
      </c>
      <c r="J49" s="36">
        <f t="shared" si="3"/>
        <v>446.25</v>
      </c>
    </row>
    <row r="50" spans="2:10" ht="15.6" x14ac:dyDescent="0.25">
      <c r="B50" s="59"/>
      <c r="C50" s="65" t="s">
        <v>292</v>
      </c>
      <c r="D50" s="61" t="s">
        <v>0</v>
      </c>
      <c r="E50" s="62">
        <v>1</v>
      </c>
      <c r="F50" s="63">
        <f>'Прайс для расчета'!E384</f>
        <v>997.5</v>
      </c>
      <c r="G50" s="64">
        <f t="shared" si="2"/>
        <v>997.5</v>
      </c>
      <c r="I50" s="135">
        <f>'Прайс для расчета (М)'!E384</f>
        <v>498.75</v>
      </c>
      <c r="J50" s="36">
        <f t="shared" si="3"/>
        <v>498.75</v>
      </c>
    </row>
    <row r="51" spans="2:10" ht="15.6" x14ac:dyDescent="0.25">
      <c r="B51" s="59"/>
      <c r="C51" s="65" t="s">
        <v>293</v>
      </c>
      <c r="D51" s="61" t="s">
        <v>0</v>
      </c>
      <c r="E51" s="62">
        <v>1</v>
      </c>
      <c r="F51" s="63">
        <f>'Прайс для расчета'!E385</f>
        <v>1102.5</v>
      </c>
      <c r="G51" s="64">
        <f t="shared" si="2"/>
        <v>1102.5</v>
      </c>
      <c r="I51" s="135">
        <f>'Прайс для расчета (М)'!E385</f>
        <v>551.25</v>
      </c>
      <c r="J51" s="36">
        <f t="shared" si="3"/>
        <v>551.25</v>
      </c>
    </row>
    <row r="52" spans="2:10" ht="15.6" x14ac:dyDescent="0.25">
      <c r="B52" s="59"/>
      <c r="C52" s="65" t="s">
        <v>294</v>
      </c>
      <c r="D52" s="61" t="s">
        <v>0</v>
      </c>
      <c r="E52" s="62">
        <v>1</v>
      </c>
      <c r="F52" s="63">
        <f>'Прайс для расчета'!E386</f>
        <v>1543.1849999999999</v>
      </c>
      <c r="G52" s="64">
        <f t="shared" si="2"/>
        <v>1543.1849999999999</v>
      </c>
      <c r="I52" s="135">
        <f>'Прайс для расчета (М)'!E386</f>
        <v>771.59249999999997</v>
      </c>
      <c r="J52" s="36">
        <f t="shared" si="3"/>
        <v>771.59249999999997</v>
      </c>
    </row>
    <row r="53" spans="2:10" ht="15.6" x14ac:dyDescent="0.25">
      <c r="B53" s="59"/>
      <c r="C53" s="65" t="s">
        <v>295</v>
      </c>
      <c r="D53" s="61" t="s">
        <v>0</v>
      </c>
      <c r="E53" s="62">
        <v>1</v>
      </c>
      <c r="F53" s="63">
        <f>'Прайс для расчета'!E387</f>
        <v>2315.5229999999997</v>
      </c>
      <c r="G53" s="64">
        <f t="shared" si="2"/>
        <v>2315.5229999999997</v>
      </c>
      <c r="I53" s="135">
        <f>'Прайс для расчета (М)'!E387</f>
        <v>1157.7614999999998</v>
      </c>
      <c r="J53" s="36">
        <f t="shared" si="3"/>
        <v>1157.7614999999998</v>
      </c>
    </row>
    <row r="54" spans="2:10" ht="15.6" x14ac:dyDescent="0.25">
      <c r="B54" s="59"/>
      <c r="C54" s="65" t="s">
        <v>268</v>
      </c>
      <c r="D54" s="61" t="s">
        <v>0</v>
      </c>
      <c r="E54" s="62">
        <v>1</v>
      </c>
      <c r="F54" s="63">
        <f>'Прайс для расчета'!E388</f>
        <v>2233.518</v>
      </c>
      <c r="G54" s="64">
        <f t="shared" si="2"/>
        <v>2233.518</v>
      </c>
      <c r="I54" s="135">
        <f>'Прайс для расчета (М)'!E388</f>
        <v>1116.759</v>
      </c>
      <c r="J54" s="36">
        <f t="shared" si="3"/>
        <v>1116.759</v>
      </c>
    </row>
    <row r="55" spans="2:10" ht="15.6" x14ac:dyDescent="0.25">
      <c r="B55" s="59"/>
      <c r="C55" s="65" t="s">
        <v>889</v>
      </c>
      <c r="D55" s="61" t="s">
        <v>0</v>
      </c>
      <c r="E55" s="62">
        <v>1</v>
      </c>
      <c r="F55" s="63">
        <f>'Прайс для расчета'!E389</f>
        <v>2240.973</v>
      </c>
      <c r="G55" s="64">
        <f t="shared" si="2"/>
        <v>2240.973</v>
      </c>
      <c r="I55" s="135">
        <f>'Прайс для расчета (М)'!E389</f>
        <v>1120.4865</v>
      </c>
      <c r="J55" s="36">
        <f t="shared" si="3"/>
        <v>1120.4865</v>
      </c>
    </row>
    <row r="56" spans="2:10" ht="15.6" x14ac:dyDescent="0.25">
      <c r="B56" s="59"/>
      <c r="C56" s="65" t="s">
        <v>296</v>
      </c>
      <c r="D56" s="61" t="s">
        <v>0</v>
      </c>
      <c r="E56" s="62">
        <v>1</v>
      </c>
      <c r="F56" s="63">
        <f>'Прайс для расчета'!E390</f>
        <v>3086.37</v>
      </c>
      <c r="G56" s="64">
        <f t="shared" si="2"/>
        <v>3086.37</v>
      </c>
      <c r="I56" s="135">
        <f>'Прайс для расчета (М)'!E390</f>
        <v>1543.1849999999999</v>
      </c>
      <c r="J56" s="36">
        <f t="shared" si="3"/>
        <v>1543.1849999999999</v>
      </c>
    </row>
    <row r="57" spans="2:10" ht="15.6" x14ac:dyDescent="0.25">
      <c r="B57" s="59"/>
      <c r="C57" s="65" t="s">
        <v>297</v>
      </c>
      <c r="D57" s="61" t="s">
        <v>0</v>
      </c>
      <c r="E57" s="62">
        <v>1</v>
      </c>
      <c r="F57" s="63">
        <f>'Прайс для расчета'!E391</f>
        <v>3858.7080000000001</v>
      </c>
      <c r="G57" s="64">
        <f t="shared" si="2"/>
        <v>3858.7080000000001</v>
      </c>
      <c r="I57" s="135">
        <f>'Прайс для расчета (М)'!E391</f>
        <v>1929.354</v>
      </c>
      <c r="J57" s="36">
        <f t="shared" si="3"/>
        <v>1929.354</v>
      </c>
    </row>
    <row r="58" spans="2:10" ht="15.6" x14ac:dyDescent="0.25">
      <c r="B58" s="59"/>
      <c r="C58" s="65" t="s">
        <v>298</v>
      </c>
      <c r="D58" s="61" t="s">
        <v>0</v>
      </c>
      <c r="E58" s="62">
        <v>1</v>
      </c>
      <c r="F58" s="63">
        <f>'Прайс для расчета'!E392</f>
        <v>4629.5549999999994</v>
      </c>
      <c r="G58" s="64">
        <f t="shared" si="2"/>
        <v>4629.5549999999994</v>
      </c>
      <c r="I58" s="135">
        <f>'Прайс для расчета (М)'!E392</f>
        <v>2314.7774999999997</v>
      </c>
      <c r="J58" s="36">
        <f t="shared" si="3"/>
        <v>2314.7774999999997</v>
      </c>
    </row>
    <row r="59" spans="2:10" ht="15.6" x14ac:dyDescent="0.25">
      <c r="B59" s="59"/>
      <c r="C59" s="65" t="s">
        <v>299</v>
      </c>
      <c r="D59" s="61" t="s">
        <v>0</v>
      </c>
      <c r="E59" s="62">
        <v>1</v>
      </c>
      <c r="F59" s="63">
        <f>'Прайс для расчета'!E393</f>
        <v>5401.893</v>
      </c>
      <c r="G59" s="64">
        <f t="shared" si="2"/>
        <v>5401.893</v>
      </c>
      <c r="I59" s="135">
        <f>'Прайс для расчета (М)'!E393</f>
        <v>2700.9465</v>
      </c>
      <c r="J59" s="36">
        <f t="shared" si="3"/>
        <v>2700.9465</v>
      </c>
    </row>
    <row r="60" spans="2:10" ht="15.6" x14ac:dyDescent="0.25">
      <c r="B60" s="59"/>
      <c r="C60" s="65" t="s">
        <v>300</v>
      </c>
      <c r="D60" s="61" t="s">
        <v>0</v>
      </c>
      <c r="E60" s="62">
        <v>1</v>
      </c>
      <c r="F60" s="63">
        <f>'Прайс для расчета'!E394</f>
        <v>6172.74</v>
      </c>
      <c r="G60" s="64">
        <f t="shared" si="2"/>
        <v>6172.74</v>
      </c>
      <c r="I60" s="135">
        <f>'Прайс для расчета (М)'!E394</f>
        <v>3086.37</v>
      </c>
      <c r="J60" s="36">
        <f t="shared" si="3"/>
        <v>3086.37</v>
      </c>
    </row>
    <row r="61" spans="2:10" ht="15.6" x14ac:dyDescent="0.25">
      <c r="B61" s="59"/>
      <c r="C61" s="65" t="s">
        <v>301</v>
      </c>
      <c r="D61" s="61" t="s">
        <v>0</v>
      </c>
      <c r="E61" s="62">
        <v>1</v>
      </c>
      <c r="F61" s="63">
        <f>'Прайс для расчета'!E395</f>
        <v>6945.0779999999995</v>
      </c>
      <c r="G61" s="64">
        <f t="shared" si="2"/>
        <v>6945.0779999999995</v>
      </c>
      <c r="I61" s="135">
        <f>'Прайс для расчета (М)'!E395</f>
        <v>3472.5389999999998</v>
      </c>
      <c r="J61" s="36">
        <f t="shared" si="3"/>
        <v>3472.5389999999998</v>
      </c>
    </row>
    <row r="62" spans="2:10" ht="15.6" x14ac:dyDescent="0.25">
      <c r="B62" s="59"/>
      <c r="C62" s="65" t="s">
        <v>302</v>
      </c>
      <c r="D62" s="61" t="s">
        <v>2</v>
      </c>
      <c r="E62" s="62">
        <v>1</v>
      </c>
      <c r="F62" s="63">
        <f>'Прайс для расчета'!E396</f>
        <v>541.23299999999995</v>
      </c>
      <c r="G62" s="64">
        <f t="shared" si="2"/>
        <v>541.23299999999995</v>
      </c>
      <c r="I62" s="135">
        <f>'Прайс для расчета (М)'!E396</f>
        <v>270.61649999999997</v>
      </c>
      <c r="J62" s="36">
        <f t="shared" si="3"/>
        <v>270.61649999999997</v>
      </c>
    </row>
    <row r="63" spans="2:10" ht="15.6" x14ac:dyDescent="0.25">
      <c r="B63" s="59"/>
      <c r="C63" s="65" t="s">
        <v>141</v>
      </c>
      <c r="D63" s="61" t="s">
        <v>0</v>
      </c>
      <c r="E63" s="62">
        <v>1</v>
      </c>
      <c r="F63" s="63">
        <f>'Прайс для расчета'!E397</f>
        <v>1575</v>
      </c>
      <c r="G63" s="64">
        <f t="shared" si="2"/>
        <v>1575</v>
      </c>
      <c r="I63" s="135">
        <f>'Прайс для расчета (М)'!E397</f>
        <v>787.5</v>
      </c>
      <c r="J63" s="36">
        <f t="shared" si="3"/>
        <v>787.5</v>
      </c>
    </row>
    <row r="64" spans="2:10" ht="15.6" x14ac:dyDescent="0.25">
      <c r="B64" s="59"/>
      <c r="C64" s="65" t="s">
        <v>303</v>
      </c>
      <c r="D64" s="61" t="s">
        <v>2</v>
      </c>
      <c r="E64" s="62">
        <v>1</v>
      </c>
      <c r="F64" s="63">
        <f>'Прайс для расчета'!E398</f>
        <v>1234.548</v>
      </c>
      <c r="G64" s="64">
        <f t="shared" si="2"/>
        <v>1234.548</v>
      </c>
      <c r="I64" s="135">
        <f>'Прайс для расчета (М)'!E398</f>
        <v>617.274</v>
      </c>
      <c r="J64" s="36">
        <f t="shared" si="3"/>
        <v>617.274</v>
      </c>
    </row>
    <row r="65" spans="2:10" ht="15.6" x14ac:dyDescent="0.25">
      <c r="B65" s="59"/>
      <c r="C65" s="65" t="s">
        <v>304</v>
      </c>
      <c r="D65" s="61" t="s">
        <v>0</v>
      </c>
      <c r="E65" s="62">
        <v>1</v>
      </c>
      <c r="F65" s="63">
        <f>'Прайс для расчета'!E399</f>
        <v>1543.1849999999999</v>
      </c>
      <c r="G65" s="64">
        <f t="shared" si="2"/>
        <v>1543.1849999999999</v>
      </c>
      <c r="I65" s="135">
        <f>'Прайс для расчета (М)'!E399</f>
        <v>771.59249999999997</v>
      </c>
      <c r="J65" s="36">
        <f t="shared" si="3"/>
        <v>771.59249999999997</v>
      </c>
    </row>
    <row r="66" spans="2:10" ht="15.6" x14ac:dyDescent="0.25">
      <c r="B66" s="59"/>
      <c r="C66" s="65" t="s">
        <v>542</v>
      </c>
      <c r="D66" s="61" t="s">
        <v>2</v>
      </c>
      <c r="E66" s="62">
        <v>1</v>
      </c>
      <c r="F66" s="63">
        <f>'Прайс для расчета'!E400</f>
        <v>1389.6119999999999</v>
      </c>
      <c r="G66" s="64">
        <f t="shared" si="2"/>
        <v>1389.6119999999999</v>
      </c>
      <c r="I66" s="135">
        <f>'Прайс для расчета (М)'!E400</f>
        <v>694.80599999999993</v>
      </c>
      <c r="J66" s="36">
        <f t="shared" si="3"/>
        <v>694.80599999999993</v>
      </c>
    </row>
    <row r="67" spans="2:10" ht="15.6" x14ac:dyDescent="0.25">
      <c r="B67" s="59"/>
      <c r="C67" s="65" t="s">
        <v>567</v>
      </c>
      <c r="D67" s="61" t="s">
        <v>267</v>
      </c>
      <c r="E67" s="62">
        <v>1</v>
      </c>
      <c r="F67" s="63">
        <f>'Прайс для расчета'!E401</f>
        <v>3745.3920000000003</v>
      </c>
      <c r="G67" s="64">
        <f t="shared" si="2"/>
        <v>3745.3920000000003</v>
      </c>
      <c r="I67" s="135">
        <f>'Прайс для расчета (М)'!E401</f>
        <v>1872.6960000000001</v>
      </c>
      <c r="J67" s="36">
        <f t="shared" si="3"/>
        <v>1872.6960000000001</v>
      </c>
    </row>
    <row r="68" spans="2:10" ht="15.6" x14ac:dyDescent="0.25">
      <c r="B68" s="59"/>
      <c r="C68" s="65" t="s">
        <v>568</v>
      </c>
      <c r="D68" s="61" t="s">
        <v>267</v>
      </c>
      <c r="E68" s="62">
        <v>1</v>
      </c>
      <c r="F68" s="63">
        <f>'Прайс для расчета'!E402</f>
        <v>6734.8469999999998</v>
      </c>
      <c r="G68" s="64">
        <f t="shared" si="2"/>
        <v>6734.8469999999998</v>
      </c>
      <c r="I68" s="135">
        <f>'Прайс для расчета (М)'!E402</f>
        <v>3367.4234999999999</v>
      </c>
      <c r="J68" s="36">
        <f t="shared" si="3"/>
        <v>3367.4234999999999</v>
      </c>
    </row>
    <row r="69" spans="2:10" ht="15.6" x14ac:dyDescent="0.25">
      <c r="B69" s="59"/>
      <c r="C69" s="65" t="s">
        <v>569</v>
      </c>
      <c r="D69" s="61" t="s">
        <v>267</v>
      </c>
      <c r="E69" s="62">
        <v>1</v>
      </c>
      <c r="F69" s="63">
        <f>'Прайс для расчета'!E403</f>
        <v>8926.6170000000002</v>
      </c>
      <c r="G69" s="64">
        <f t="shared" si="2"/>
        <v>8926.6170000000002</v>
      </c>
      <c r="I69" s="135">
        <f>'Прайс для расчета (М)'!E403</f>
        <v>4463.3085000000001</v>
      </c>
      <c r="J69" s="36">
        <f t="shared" si="3"/>
        <v>4463.3085000000001</v>
      </c>
    </row>
    <row r="70" spans="2:10" ht="15.6" x14ac:dyDescent="0.25">
      <c r="B70" s="110">
        <f>IF(SUM(B24:B69)&gt;0,1,0)</f>
        <v>0</v>
      </c>
      <c r="C70" s="266" t="s">
        <v>543</v>
      </c>
      <c r="D70" s="266"/>
      <c r="E70" s="266"/>
      <c r="F70" s="266"/>
      <c r="G70" s="157">
        <f>SUMIF(B24:B69,1,G24:G69)</f>
        <v>0</v>
      </c>
      <c r="J70" s="36">
        <f>SUMIF(B24:B69,1,J24:J69)</f>
        <v>0</v>
      </c>
    </row>
    <row r="71" spans="2:10" ht="15.6" x14ac:dyDescent="0.25">
      <c r="B71" s="153">
        <f>IF(SUM(B72:B79)&gt;0,1,0)</f>
        <v>0</v>
      </c>
      <c r="C71" s="164" t="s">
        <v>717</v>
      </c>
      <c r="D71" s="154" t="s">
        <v>179</v>
      </c>
      <c r="E71" s="154" t="s">
        <v>180</v>
      </c>
      <c r="F71" s="154" t="s">
        <v>1</v>
      </c>
      <c r="G71" s="154" t="s">
        <v>181</v>
      </c>
      <c r="I71" s="36" t="s">
        <v>1</v>
      </c>
      <c r="J71" s="36" t="s">
        <v>181</v>
      </c>
    </row>
    <row r="72" spans="2:10" ht="15.6" x14ac:dyDescent="0.25">
      <c r="B72" s="59"/>
      <c r="C72" s="65" t="s">
        <v>451</v>
      </c>
      <c r="D72" s="61" t="s">
        <v>2</v>
      </c>
      <c r="E72" s="62">
        <f>$A$4</f>
        <v>0</v>
      </c>
      <c r="F72" s="63">
        <f>'Прайс для расчета'!E411</f>
        <v>326.529</v>
      </c>
      <c r="G72" s="64">
        <f t="shared" ref="G72:G79" si="5">F72*E72</f>
        <v>0</v>
      </c>
      <c r="I72" s="135">
        <f>'Прайс для расчета (М)'!E411</f>
        <v>163.2645</v>
      </c>
      <c r="J72" s="36">
        <f t="shared" ref="J72:J79" si="6">I72*E72</f>
        <v>0</v>
      </c>
    </row>
    <row r="73" spans="2:10" ht="15.6" x14ac:dyDescent="0.25">
      <c r="B73" s="59"/>
      <c r="C73" s="65" t="s">
        <v>688</v>
      </c>
      <c r="D73" s="61" t="s">
        <v>0</v>
      </c>
      <c r="E73" s="62">
        <v>1</v>
      </c>
      <c r="F73" s="63">
        <f>'Прайс для расчета'!E412</f>
        <v>110.25</v>
      </c>
      <c r="G73" s="64">
        <f t="shared" si="5"/>
        <v>110.25</v>
      </c>
      <c r="I73" s="135">
        <f>'Прайс для расчета (М)'!E412</f>
        <v>55.125</v>
      </c>
      <c r="J73" s="36">
        <f t="shared" si="6"/>
        <v>55.125</v>
      </c>
    </row>
    <row r="74" spans="2:10" ht="15.6" x14ac:dyDescent="0.25">
      <c r="B74" s="59"/>
      <c r="C74" s="65" t="s">
        <v>452</v>
      </c>
      <c r="D74" s="61" t="s">
        <v>0</v>
      </c>
      <c r="E74" s="62">
        <v>1</v>
      </c>
      <c r="F74" s="63">
        <f>'Прайс для расчета'!E413</f>
        <v>1714.65</v>
      </c>
      <c r="G74" s="64">
        <f t="shared" si="5"/>
        <v>1714.65</v>
      </c>
      <c r="I74" s="135">
        <f>'Прайс для расчета (М)'!E413</f>
        <v>857.32500000000005</v>
      </c>
      <c r="J74" s="36">
        <f t="shared" si="6"/>
        <v>857.32500000000005</v>
      </c>
    </row>
    <row r="75" spans="2:10" ht="15.6" x14ac:dyDescent="0.25">
      <c r="B75" s="59"/>
      <c r="C75" s="65" t="s">
        <v>453</v>
      </c>
      <c r="D75" s="61" t="s">
        <v>0</v>
      </c>
      <c r="E75" s="62">
        <v>1</v>
      </c>
      <c r="F75" s="63">
        <f>'Прайс для расчета'!E414</f>
        <v>2571.9749999999999</v>
      </c>
      <c r="G75" s="64">
        <f t="shared" si="5"/>
        <v>2571.9749999999999</v>
      </c>
      <c r="I75" s="135">
        <f>'Прайс для расчета (М)'!E414</f>
        <v>1285.9875</v>
      </c>
      <c r="J75" s="36">
        <f t="shared" si="6"/>
        <v>1285.9875</v>
      </c>
    </row>
    <row r="76" spans="2:10" ht="15.6" x14ac:dyDescent="0.25">
      <c r="B76" s="59"/>
      <c r="C76" s="65" t="s">
        <v>454</v>
      </c>
      <c r="D76" s="61" t="s">
        <v>885</v>
      </c>
      <c r="E76" s="62">
        <v>1</v>
      </c>
      <c r="F76" s="63">
        <f>'Прайс для расчета'!E415</f>
        <v>857.32500000000005</v>
      </c>
      <c r="G76" s="64">
        <f t="shared" si="5"/>
        <v>857.32500000000005</v>
      </c>
      <c r="I76" s="135">
        <f>'Прайс для расчета (М)'!E415</f>
        <v>428.66250000000002</v>
      </c>
      <c r="J76" s="36">
        <f t="shared" si="6"/>
        <v>428.66250000000002</v>
      </c>
    </row>
    <row r="77" spans="2:10" ht="15.6" x14ac:dyDescent="0.25">
      <c r="B77" s="59"/>
      <c r="C77" s="65" t="s">
        <v>455</v>
      </c>
      <c r="D77" s="61" t="s">
        <v>886</v>
      </c>
      <c r="E77" s="62">
        <v>1</v>
      </c>
      <c r="F77" s="63">
        <f>'Прайс для расчета'!E416</f>
        <v>1470</v>
      </c>
      <c r="G77" s="64">
        <f t="shared" si="5"/>
        <v>1470</v>
      </c>
      <c r="I77" s="135">
        <f>'Прайс для расчета (М)'!E416</f>
        <v>735</v>
      </c>
      <c r="J77" s="36">
        <f t="shared" si="6"/>
        <v>735</v>
      </c>
    </row>
    <row r="78" spans="2:10" ht="15.6" x14ac:dyDescent="0.25">
      <c r="B78" s="59"/>
      <c r="C78" s="65" t="s">
        <v>456</v>
      </c>
      <c r="D78" s="61" t="s">
        <v>886</v>
      </c>
      <c r="E78" s="62">
        <v>1</v>
      </c>
      <c r="F78" s="63">
        <f>'Прайс для расчета'!E417</f>
        <v>315</v>
      </c>
      <c r="G78" s="64">
        <f t="shared" si="5"/>
        <v>315</v>
      </c>
      <c r="I78" s="135">
        <f>'Прайс для расчета (М)'!E417</f>
        <v>157.5</v>
      </c>
      <c r="J78" s="36">
        <f t="shared" si="6"/>
        <v>157.5</v>
      </c>
    </row>
    <row r="79" spans="2:10" ht="15.6" x14ac:dyDescent="0.25">
      <c r="B79" s="59"/>
      <c r="C79" s="65" t="s">
        <v>689</v>
      </c>
      <c r="D79" s="61" t="s">
        <v>886</v>
      </c>
      <c r="E79" s="62">
        <v>1</v>
      </c>
      <c r="F79" s="63">
        <f>'Прайс для расчета'!E418</f>
        <v>1575</v>
      </c>
      <c r="G79" s="64">
        <f t="shared" si="5"/>
        <v>1575</v>
      </c>
      <c r="I79" s="135">
        <f>'Прайс для расчета (М)'!E418</f>
        <v>787.5</v>
      </c>
      <c r="J79" s="36">
        <f t="shared" si="6"/>
        <v>787.5</v>
      </c>
    </row>
    <row r="80" spans="2:10" ht="15.6" x14ac:dyDescent="0.25">
      <c r="B80" s="110">
        <f>IF(SUM(B72:B79)&gt;0,1,0)</f>
        <v>0</v>
      </c>
      <c r="C80" s="266" t="s">
        <v>546</v>
      </c>
      <c r="D80" s="266"/>
      <c r="E80" s="266"/>
      <c r="F80" s="266"/>
      <c r="G80" s="157">
        <f>SUMIF(B72:B79,1,G72:G79)</f>
        <v>0</v>
      </c>
      <c r="J80" s="36">
        <f>SUMIF(B72:B79,1,J72:J79)</f>
        <v>0</v>
      </c>
    </row>
    <row r="81" spans="2:10" ht="15.6" x14ac:dyDescent="0.25">
      <c r="B81" s="153">
        <f>IF(SUM(B10:B80)&gt;0,1,0)</f>
        <v>0</v>
      </c>
      <c r="C81" s="265" t="s">
        <v>203</v>
      </c>
      <c r="D81" s="265"/>
      <c r="E81" s="265"/>
      <c r="F81" s="265"/>
      <c r="G81" s="155">
        <f>G22+G70+G80</f>
        <v>0</v>
      </c>
      <c r="J81" s="36">
        <f>J22+J70+J80</f>
        <v>0</v>
      </c>
    </row>
    <row r="82" spans="2:10" ht="15.6" x14ac:dyDescent="0.25">
      <c r="B82" s="153" t="e">
        <f>IF(G82&gt;0,1,0)</f>
        <v>#REF!</v>
      </c>
      <c r="C82" s="265" t="s">
        <v>241</v>
      </c>
      <c r="D82" s="265"/>
      <c r="E82" s="265"/>
      <c r="F82" s="265"/>
      <c r="G82" s="156" t="e">
        <f>#REF!</f>
        <v>#REF!</v>
      </c>
      <c r="J82" s="136">
        <v>0</v>
      </c>
    </row>
    <row r="83" spans="2:10" ht="15.6" x14ac:dyDescent="0.25">
      <c r="B83" s="153" t="e">
        <f>IF(G83&gt;0,1,0)</f>
        <v>#REF!</v>
      </c>
      <c r="C83" s="265" t="s">
        <v>240</v>
      </c>
      <c r="D83" s="265"/>
      <c r="E83" s="265"/>
      <c r="F83" s="265"/>
      <c r="G83" s="155" t="e">
        <f>G81-(G81*G82)</f>
        <v>#REF!</v>
      </c>
      <c r="J83" s="36">
        <f>J81-(J81*J82)</f>
        <v>0</v>
      </c>
    </row>
    <row r="84" spans="2:10" x14ac:dyDescent="0.25">
      <c r="B84"/>
      <c r="C84" s="1"/>
      <c r="E84" s="15"/>
    </row>
    <row r="85" spans="2:10" ht="15.6" x14ac:dyDescent="0.25">
      <c r="B85"/>
      <c r="C85" s="3" t="s">
        <v>238</v>
      </c>
      <c r="E85" s="16" t="s">
        <v>239</v>
      </c>
    </row>
    <row r="86" spans="2:10" x14ac:dyDescent="0.25">
      <c r="B86"/>
      <c r="C86" s="1"/>
    </row>
    <row r="87" spans="2:10" x14ac:dyDescent="0.25">
      <c r="B87"/>
      <c r="C87" s="4" t="s">
        <v>185</v>
      </c>
      <c r="E87" s="17" t="s">
        <v>185</v>
      </c>
    </row>
    <row r="88" spans="2:10" x14ac:dyDescent="0.25">
      <c r="B88"/>
      <c r="C88" s="5" t="s">
        <v>690</v>
      </c>
      <c r="E88" s="15" t="s">
        <v>186</v>
      </c>
    </row>
    <row r="89" spans="2:10" x14ac:dyDescent="0.25">
      <c r="C89" s="1"/>
      <c r="E89" s="15"/>
    </row>
  </sheetData>
  <autoFilter ref="B9:H83"/>
  <mergeCells count="10">
    <mergeCell ref="C1:C4"/>
    <mergeCell ref="C80:F80"/>
    <mergeCell ref="C82:F82"/>
    <mergeCell ref="C83:F83"/>
    <mergeCell ref="C81:F81"/>
    <mergeCell ref="C5:G5"/>
    <mergeCell ref="C6:C7"/>
    <mergeCell ref="D8:G8"/>
    <mergeCell ref="C22:F22"/>
    <mergeCell ref="C70:F70"/>
  </mergeCells>
  <phoneticPr fontId="8" type="noConversion"/>
  <conditionalFormatting sqref="B10:G23 B70:G83">
    <cfRule type="expression" dxfId="128" priority="13">
      <formula>$B10=0</formula>
    </cfRule>
  </conditionalFormatting>
  <conditionalFormatting sqref="B24:G24">
    <cfRule type="expression" dxfId="127" priority="2">
      <formula>$B24=0</formula>
    </cfRule>
  </conditionalFormatting>
  <conditionalFormatting sqref="B25:G69">
    <cfRule type="expression" dxfId="126" priority="1">
      <formula>$B25=0</formula>
    </cfRule>
  </conditionalFormatting>
  <printOptions horizontalCentered="1"/>
  <pageMargins left="0.25" right="0.25" top="0.75" bottom="0.75" header="0.3" footer="0.3"/>
  <pageSetup paperSize="9" scale="63" fitToHeight="0" orientation="portrait" horizontalDpi="4294967292" verticalDpi="4294967292" r:id="rId1"/>
  <headerFooter>
    <oddFooter>&amp;Rредакция 3.0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11111111">
    <tabColor rgb="FF00B050"/>
    <pageSetUpPr fitToPage="1"/>
  </sheetPr>
  <dimension ref="A1:U247"/>
  <sheetViews>
    <sheetView zoomScaleNormal="100" zoomScalePageLayoutView="145" workbookViewId="0">
      <selection activeCell="C18" sqref="C18"/>
    </sheetView>
  </sheetViews>
  <sheetFormatPr defaultColWidth="8.77734375" defaultRowHeight="13.2" x14ac:dyDescent="0.25"/>
  <cols>
    <col min="1" max="1" width="10.6640625" style="9" customWidth="1"/>
    <col min="2" max="2" width="2.109375" style="2" customWidth="1"/>
    <col min="3" max="3" width="110.77734375" customWidth="1"/>
    <col min="4" max="6" width="15.77734375" style="7" customWidth="1"/>
    <col min="7" max="7" width="15.77734375" style="8" customWidth="1"/>
    <col min="8" max="8" width="6" bestFit="1" customWidth="1"/>
    <col min="9" max="10" width="8.77734375" style="36"/>
    <col min="20" max="20" width="8.77734375" style="36"/>
  </cols>
  <sheetData>
    <row r="1" spans="1:21" ht="21.9" customHeight="1" x14ac:dyDescent="0.25">
      <c r="A1" s="18" t="s">
        <v>182</v>
      </c>
      <c r="C1" s="258"/>
      <c r="T1" s="35">
        <f>G242</f>
        <v>0</v>
      </c>
      <c r="U1" s="35">
        <f>J242</f>
        <v>0</v>
      </c>
    </row>
    <row r="2" spans="1:21" ht="21.9" customHeight="1" x14ac:dyDescent="0.25">
      <c r="A2" s="19">
        <f>ROUND(D7*2+E7*2,2)</f>
        <v>0</v>
      </c>
      <c r="C2" s="258"/>
    </row>
    <row r="3" spans="1:21" ht="21.9" customHeight="1" x14ac:dyDescent="0.25">
      <c r="A3" s="18" t="s">
        <v>183</v>
      </c>
      <c r="C3" s="258"/>
      <c r="D3" s="9"/>
      <c r="E3" s="9"/>
      <c r="F3" s="9"/>
      <c r="G3" s="9"/>
    </row>
    <row r="4" spans="1:21" ht="21.9" customHeight="1" thickBot="1" x14ac:dyDescent="0.3">
      <c r="A4" s="19">
        <f>ROUND(D7*E7,2)</f>
        <v>0</v>
      </c>
      <c r="C4" s="259"/>
      <c r="D4" s="10"/>
      <c r="E4" s="10"/>
      <c r="F4" s="10"/>
      <c r="G4" s="11"/>
    </row>
    <row r="5" spans="1:21" ht="21.9" customHeight="1" thickBot="1" x14ac:dyDescent="0.35">
      <c r="A5" s="18" t="s">
        <v>184</v>
      </c>
      <c r="C5" s="249" t="e">
        <f>#REF!</f>
        <v>#REF!</v>
      </c>
      <c r="D5" s="250"/>
      <c r="E5" s="250"/>
      <c r="F5" s="250"/>
      <c r="G5" s="252"/>
    </row>
    <row r="6" spans="1:21" ht="21.9" customHeight="1" thickBot="1" x14ac:dyDescent="0.3">
      <c r="A6" s="19" t="e">
        <f>ROUND(A2*F7-G7,2)</f>
        <v>#REF!</v>
      </c>
      <c r="C6" s="261" t="s">
        <v>1016</v>
      </c>
      <c r="D6" s="12" t="s">
        <v>188</v>
      </c>
      <c r="E6" s="12" t="s">
        <v>189</v>
      </c>
      <c r="F6" s="12" t="s">
        <v>190</v>
      </c>
      <c r="G6" s="13" t="s">
        <v>187</v>
      </c>
    </row>
    <row r="7" spans="1:21" ht="21.9" customHeight="1" thickBot="1" x14ac:dyDescent="0.3">
      <c r="C7" s="262"/>
      <c r="D7" s="12">
        <v>0</v>
      </c>
      <c r="E7" s="12">
        <v>0</v>
      </c>
      <c r="F7" s="12" t="e">
        <f>#REF!</f>
        <v>#REF!</v>
      </c>
      <c r="G7" s="14">
        <v>0</v>
      </c>
    </row>
    <row r="8" spans="1:21" x14ac:dyDescent="0.25">
      <c r="C8" s="70" t="s">
        <v>1015</v>
      </c>
      <c r="D8" s="255">
        <f>G242</f>
        <v>0</v>
      </c>
      <c r="E8" s="256"/>
      <c r="F8" s="256"/>
      <c r="G8" s="257"/>
      <c r="H8" s="44" t="s">
        <v>760</v>
      </c>
    </row>
    <row r="9" spans="1:21" ht="15.6" x14ac:dyDescent="0.3">
      <c r="B9" s="110"/>
      <c r="C9" s="137"/>
      <c r="D9" s="112"/>
      <c r="E9" s="112"/>
      <c r="F9" s="112"/>
      <c r="G9" s="112"/>
    </row>
    <row r="10" spans="1:21" ht="15.6" x14ac:dyDescent="0.25">
      <c r="B10" s="153">
        <f>IF(SUM(B11:B241)&gt;0,1,0)</f>
        <v>0</v>
      </c>
      <c r="C10" s="164" t="s">
        <v>204</v>
      </c>
      <c r="D10" s="154" t="s">
        <v>179</v>
      </c>
      <c r="E10" s="154" t="s">
        <v>180</v>
      </c>
      <c r="F10" s="154" t="s">
        <v>1</v>
      </c>
      <c r="G10" s="154" t="s">
        <v>181</v>
      </c>
      <c r="I10" s="36" t="s">
        <v>1</v>
      </c>
      <c r="J10" s="36" t="s">
        <v>181</v>
      </c>
    </row>
    <row r="11" spans="1:21" ht="15.6" x14ac:dyDescent="0.25">
      <c r="B11" s="56">
        <f>IF(SUM(B12:B54)&gt;0,1,0)</f>
        <v>0</v>
      </c>
      <c r="C11" s="96" t="s">
        <v>880</v>
      </c>
      <c r="D11" s="97"/>
      <c r="E11" s="98"/>
      <c r="F11" s="99"/>
      <c r="G11" s="71"/>
    </row>
    <row r="12" spans="1:21" ht="31.2" x14ac:dyDescent="0.25">
      <c r="B12" s="59"/>
      <c r="C12" s="65" t="s">
        <v>56</v>
      </c>
      <c r="D12" s="61" t="s">
        <v>0</v>
      </c>
      <c r="E12" s="62">
        <v>1</v>
      </c>
      <c r="F12" s="63">
        <f>'Прайс для расчета'!E478</f>
        <v>6709.5</v>
      </c>
      <c r="G12" s="64">
        <f t="shared" ref="G12:G54" si="0">F12*E12</f>
        <v>6709.5</v>
      </c>
      <c r="I12" s="135">
        <f>'Прайс для расчета (М)'!E478</f>
        <v>3354.75</v>
      </c>
      <c r="J12" s="36">
        <f t="shared" ref="J12:J54" si="1">I12*E12</f>
        <v>3354.75</v>
      </c>
    </row>
    <row r="13" spans="1:21" ht="31.2" x14ac:dyDescent="0.25">
      <c r="B13" s="59"/>
      <c r="C13" s="65" t="s">
        <v>57</v>
      </c>
      <c r="D13" s="61" t="s">
        <v>0</v>
      </c>
      <c r="E13" s="62">
        <v>1</v>
      </c>
      <c r="F13" s="63">
        <f>'Прайс для расчета'!E479</f>
        <v>8200.5</v>
      </c>
      <c r="G13" s="64">
        <f t="shared" si="0"/>
        <v>8200.5</v>
      </c>
      <c r="I13" s="135">
        <f>'Прайс для расчета (М)'!E479</f>
        <v>4100.25</v>
      </c>
      <c r="J13" s="36">
        <f t="shared" si="1"/>
        <v>4100.25</v>
      </c>
    </row>
    <row r="14" spans="1:21" ht="15.6" x14ac:dyDescent="0.25">
      <c r="B14" s="59"/>
      <c r="C14" s="65" t="s">
        <v>718</v>
      </c>
      <c r="D14" s="61" t="s">
        <v>0</v>
      </c>
      <c r="E14" s="62">
        <v>1</v>
      </c>
      <c r="F14" s="63">
        <f>'Прайс для расчета'!E480</f>
        <v>8946</v>
      </c>
      <c r="G14" s="64">
        <f t="shared" si="0"/>
        <v>8946</v>
      </c>
      <c r="I14" s="135">
        <f>'Прайс для расчета (М)'!E480</f>
        <v>4473</v>
      </c>
      <c r="J14" s="36">
        <f t="shared" si="1"/>
        <v>4473</v>
      </c>
    </row>
    <row r="15" spans="1:21" ht="15.6" x14ac:dyDescent="0.25">
      <c r="B15" s="59"/>
      <c r="C15" s="65" t="s">
        <v>719</v>
      </c>
      <c r="D15" s="61" t="s">
        <v>0</v>
      </c>
      <c r="E15" s="62">
        <v>1</v>
      </c>
      <c r="F15" s="63">
        <f>'Прайс для расчета'!E481</f>
        <v>6709.5</v>
      </c>
      <c r="G15" s="64">
        <f t="shared" si="0"/>
        <v>6709.5</v>
      </c>
      <c r="I15" s="135">
        <f>'Прайс для расчета (М)'!E481</f>
        <v>3354.75</v>
      </c>
      <c r="J15" s="36">
        <f t="shared" si="1"/>
        <v>3354.75</v>
      </c>
    </row>
    <row r="16" spans="1:21" ht="15.6" x14ac:dyDescent="0.25">
      <c r="B16" s="59"/>
      <c r="C16" s="65" t="s">
        <v>720</v>
      </c>
      <c r="D16" s="61" t="s">
        <v>0</v>
      </c>
      <c r="E16" s="62">
        <v>1</v>
      </c>
      <c r="F16" s="63">
        <f>'Прайс для расчета'!E482</f>
        <v>8200.5</v>
      </c>
      <c r="G16" s="64">
        <f t="shared" si="0"/>
        <v>8200.5</v>
      </c>
      <c r="I16" s="135">
        <f>'Прайс для расчета (М)'!E482</f>
        <v>4100.25</v>
      </c>
      <c r="J16" s="36">
        <f t="shared" si="1"/>
        <v>4100.25</v>
      </c>
    </row>
    <row r="17" spans="2:10" ht="15.6" x14ac:dyDescent="0.25">
      <c r="B17" s="59"/>
      <c r="C17" s="65" t="s">
        <v>58</v>
      </c>
      <c r="D17" s="61" t="s">
        <v>0</v>
      </c>
      <c r="E17" s="62">
        <v>1</v>
      </c>
      <c r="F17" s="63">
        <f>'Прайс для расчета'!E483</f>
        <v>6709.5</v>
      </c>
      <c r="G17" s="64">
        <f t="shared" si="0"/>
        <v>6709.5</v>
      </c>
      <c r="I17" s="135">
        <f>'Прайс для расчета (М)'!E483</f>
        <v>3354.75</v>
      </c>
      <c r="J17" s="36">
        <f t="shared" si="1"/>
        <v>3354.75</v>
      </c>
    </row>
    <row r="18" spans="2:10" ht="15.6" x14ac:dyDescent="0.25">
      <c r="B18" s="59"/>
      <c r="C18" s="65" t="s">
        <v>10</v>
      </c>
      <c r="D18" s="61" t="s">
        <v>0</v>
      </c>
      <c r="E18" s="62">
        <v>1</v>
      </c>
      <c r="F18" s="63">
        <f>'Прайс для расчета'!E484</f>
        <v>10437</v>
      </c>
      <c r="G18" s="64">
        <f t="shared" si="0"/>
        <v>10437</v>
      </c>
      <c r="I18" s="135">
        <f>'Прайс для расчета (М)'!E484</f>
        <v>5218.5</v>
      </c>
      <c r="J18" s="36">
        <f t="shared" si="1"/>
        <v>5218.5</v>
      </c>
    </row>
    <row r="19" spans="2:10" ht="15.6" x14ac:dyDescent="0.25">
      <c r="B19" s="59"/>
      <c r="C19" s="65" t="s">
        <v>11</v>
      </c>
      <c r="D19" s="61" t="s">
        <v>0</v>
      </c>
      <c r="E19" s="62">
        <v>1</v>
      </c>
      <c r="F19" s="63">
        <f>'Прайс для расчета'!E485</f>
        <v>11928</v>
      </c>
      <c r="G19" s="64">
        <f t="shared" si="0"/>
        <v>11928</v>
      </c>
      <c r="I19" s="135">
        <f>'Прайс для расчета (М)'!E485</f>
        <v>5964</v>
      </c>
      <c r="J19" s="36">
        <f t="shared" si="1"/>
        <v>5964</v>
      </c>
    </row>
    <row r="20" spans="2:10" ht="15.6" x14ac:dyDescent="0.25">
      <c r="B20" s="59"/>
      <c r="C20" s="65" t="s">
        <v>163</v>
      </c>
      <c r="D20" s="61" t="s">
        <v>164</v>
      </c>
      <c r="E20" s="62">
        <v>1</v>
      </c>
      <c r="F20" s="63">
        <f>'Прайс для расчета'!E486</f>
        <v>298.2</v>
      </c>
      <c r="G20" s="64">
        <f t="shared" si="0"/>
        <v>298.2</v>
      </c>
      <c r="I20" s="135">
        <f>'Прайс для расчета (М)'!E486</f>
        <v>149.1</v>
      </c>
      <c r="J20" s="36">
        <f t="shared" si="1"/>
        <v>149.1</v>
      </c>
    </row>
    <row r="21" spans="2:10" ht="15.6" x14ac:dyDescent="0.25">
      <c r="B21" s="59"/>
      <c r="C21" s="65" t="s">
        <v>12</v>
      </c>
      <c r="D21" s="61" t="s">
        <v>2</v>
      </c>
      <c r="E21" s="62">
        <v>1</v>
      </c>
      <c r="F21" s="63">
        <f>'Прайс для расчета'!E487</f>
        <v>372.75</v>
      </c>
      <c r="G21" s="64">
        <f t="shared" si="0"/>
        <v>372.75</v>
      </c>
      <c r="I21" s="135">
        <f>'Прайс для расчета (М)'!E487</f>
        <v>186.375</v>
      </c>
      <c r="J21" s="36">
        <f t="shared" si="1"/>
        <v>186.375</v>
      </c>
    </row>
    <row r="22" spans="2:10" ht="15.6" x14ac:dyDescent="0.25">
      <c r="B22" s="59"/>
      <c r="C22" s="65" t="s">
        <v>13</v>
      </c>
      <c r="D22" s="61" t="s">
        <v>2</v>
      </c>
      <c r="E22" s="62">
        <v>1</v>
      </c>
      <c r="F22" s="63">
        <f>'Прайс для расчета'!E488</f>
        <v>969.15000000000009</v>
      </c>
      <c r="G22" s="64">
        <f t="shared" si="0"/>
        <v>969.15000000000009</v>
      </c>
      <c r="I22" s="135">
        <f>'Прайс для расчета (М)'!E488</f>
        <v>484.57500000000005</v>
      </c>
      <c r="J22" s="36">
        <f t="shared" si="1"/>
        <v>484.57500000000005</v>
      </c>
    </row>
    <row r="23" spans="2:10" ht="15.6" x14ac:dyDescent="0.25">
      <c r="B23" s="59"/>
      <c r="C23" s="65" t="s">
        <v>55</v>
      </c>
      <c r="D23" s="61" t="s">
        <v>3</v>
      </c>
      <c r="E23" s="62">
        <v>1</v>
      </c>
      <c r="F23" s="63">
        <f>'Прайс для расчета'!E489</f>
        <v>149.1</v>
      </c>
      <c r="G23" s="64">
        <f t="shared" si="0"/>
        <v>149.1</v>
      </c>
      <c r="I23" s="135">
        <f>'Прайс для расчета (М)'!E489</f>
        <v>74.55</v>
      </c>
      <c r="J23" s="36">
        <f t="shared" si="1"/>
        <v>74.55</v>
      </c>
    </row>
    <row r="24" spans="2:10" ht="15.6" x14ac:dyDescent="0.25">
      <c r="B24" s="59"/>
      <c r="C24" s="65" t="s">
        <v>14</v>
      </c>
      <c r="D24" s="61" t="s">
        <v>3</v>
      </c>
      <c r="E24" s="62">
        <v>1</v>
      </c>
      <c r="F24" s="63">
        <f>'Прайс для расчета'!E490</f>
        <v>298.2</v>
      </c>
      <c r="G24" s="64">
        <f t="shared" si="0"/>
        <v>298.2</v>
      </c>
      <c r="I24" s="135">
        <f>'Прайс для расчета (М)'!E490</f>
        <v>149.1</v>
      </c>
      <c r="J24" s="36">
        <f t="shared" si="1"/>
        <v>149.1</v>
      </c>
    </row>
    <row r="25" spans="2:10" ht="15.6" x14ac:dyDescent="0.25">
      <c r="B25" s="59"/>
      <c r="C25" s="65" t="s">
        <v>15</v>
      </c>
      <c r="D25" s="61" t="s">
        <v>3</v>
      </c>
      <c r="E25" s="62">
        <v>1</v>
      </c>
      <c r="F25" s="63">
        <f>'Прайс для расчета'!E491</f>
        <v>372.75</v>
      </c>
      <c r="G25" s="64">
        <f t="shared" si="0"/>
        <v>372.75</v>
      </c>
      <c r="I25" s="135">
        <f>'Прайс для расчета (М)'!E491</f>
        <v>186.375</v>
      </c>
      <c r="J25" s="36">
        <f t="shared" si="1"/>
        <v>186.375</v>
      </c>
    </row>
    <row r="26" spans="2:10" ht="15.6" x14ac:dyDescent="0.25">
      <c r="B26" s="59"/>
      <c r="C26" s="65" t="s">
        <v>16</v>
      </c>
      <c r="D26" s="61" t="s">
        <v>192</v>
      </c>
      <c r="E26" s="62">
        <v>1</v>
      </c>
      <c r="F26" s="63">
        <f>'Прайс для расчета'!E492</f>
        <v>3280.2000000000003</v>
      </c>
      <c r="G26" s="64">
        <f t="shared" si="0"/>
        <v>3280.2000000000003</v>
      </c>
      <c r="I26" s="135">
        <f>'Прайс для расчета (М)'!E492</f>
        <v>1640.1000000000001</v>
      </c>
      <c r="J26" s="36">
        <f t="shared" si="1"/>
        <v>1640.1000000000001</v>
      </c>
    </row>
    <row r="27" spans="2:10" ht="15.6" x14ac:dyDescent="0.25">
      <c r="B27" s="59"/>
      <c r="C27" s="65" t="s">
        <v>17</v>
      </c>
      <c r="D27" s="61" t="s">
        <v>192</v>
      </c>
      <c r="E27" s="62">
        <v>1</v>
      </c>
      <c r="F27" s="63">
        <f>'Прайс для расчета'!E493</f>
        <v>3876.6000000000004</v>
      </c>
      <c r="G27" s="64">
        <f t="shared" si="0"/>
        <v>3876.6000000000004</v>
      </c>
      <c r="I27" s="135">
        <f>'Прайс для расчета (М)'!E493</f>
        <v>1938.3000000000002</v>
      </c>
      <c r="J27" s="36">
        <f t="shared" si="1"/>
        <v>1938.3000000000002</v>
      </c>
    </row>
    <row r="28" spans="2:10" ht="15.6" x14ac:dyDescent="0.25">
      <c r="B28" s="59"/>
      <c r="C28" s="65" t="s">
        <v>18</v>
      </c>
      <c r="D28" s="61" t="s">
        <v>192</v>
      </c>
      <c r="E28" s="62">
        <v>1</v>
      </c>
      <c r="F28" s="63">
        <f>'Прайс для расчета'!E494</f>
        <v>2832.9</v>
      </c>
      <c r="G28" s="64">
        <f t="shared" si="0"/>
        <v>2832.9</v>
      </c>
      <c r="I28" s="135">
        <f>'Прайс для расчета (М)'!E494</f>
        <v>1416.45</v>
      </c>
      <c r="J28" s="36">
        <f t="shared" si="1"/>
        <v>1416.45</v>
      </c>
    </row>
    <row r="29" spans="2:10" ht="15.6" x14ac:dyDescent="0.25">
      <c r="B29" s="59"/>
      <c r="C29" s="65" t="s">
        <v>19</v>
      </c>
      <c r="D29" s="61" t="s">
        <v>192</v>
      </c>
      <c r="E29" s="62">
        <v>1</v>
      </c>
      <c r="F29" s="63">
        <f>'Прайс для расчета'!E495</f>
        <v>3429.3</v>
      </c>
      <c r="G29" s="64">
        <f t="shared" si="0"/>
        <v>3429.3</v>
      </c>
      <c r="I29" s="135">
        <f>'Прайс для расчета (М)'!E495</f>
        <v>1714.65</v>
      </c>
      <c r="J29" s="36">
        <f t="shared" si="1"/>
        <v>1714.65</v>
      </c>
    </row>
    <row r="30" spans="2:10" ht="15.6" x14ac:dyDescent="0.25">
      <c r="B30" s="59"/>
      <c r="C30" s="65" t="s">
        <v>20</v>
      </c>
      <c r="D30" s="61" t="s">
        <v>0</v>
      </c>
      <c r="E30" s="62">
        <v>1</v>
      </c>
      <c r="F30" s="63">
        <f>'Прайс для расчета'!E496</f>
        <v>1192.8</v>
      </c>
      <c r="G30" s="64">
        <f t="shared" si="0"/>
        <v>1192.8</v>
      </c>
      <c r="I30" s="135">
        <f>'Прайс для расчета (М)'!E496</f>
        <v>596.4</v>
      </c>
      <c r="J30" s="36">
        <f t="shared" si="1"/>
        <v>596.4</v>
      </c>
    </row>
    <row r="31" spans="2:10" ht="15.6" x14ac:dyDescent="0.25">
      <c r="B31" s="59"/>
      <c r="C31" s="65" t="s">
        <v>21</v>
      </c>
      <c r="D31" s="61" t="s">
        <v>0</v>
      </c>
      <c r="E31" s="62">
        <v>1</v>
      </c>
      <c r="F31" s="63">
        <f>'Прайс для расчета'!E497</f>
        <v>1192.8</v>
      </c>
      <c r="G31" s="64">
        <f t="shared" si="0"/>
        <v>1192.8</v>
      </c>
      <c r="I31" s="135">
        <f>'Прайс для расчета (М)'!E497</f>
        <v>596.4</v>
      </c>
      <c r="J31" s="36">
        <f t="shared" si="1"/>
        <v>596.4</v>
      </c>
    </row>
    <row r="32" spans="2:10" ht="15.6" x14ac:dyDescent="0.25">
      <c r="B32" s="59"/>
      <c r="C32" s="65" t="s">
        <v>22</v>
      </c>
      <c r="D32" s="61" t="s">
        <v>3</v>
      </c>
      <c r="E32" s="62">
        <v>1</v>
      </c>
      <c r="F32" s="63">
        <f>'Прайс для расчета'!E498</f>
        <v>149.1</v>
      </c>
      <c r="G32" s="64">
        <f t="shared" si="0"/>
        <v>149.1</v>
      </c>
      <c r="I32" s="135">
        <f>'Прайс для расчета (М)'!E498</f>
        <v>74.55</v>
      </c>
      <c r="J32" s="36">
        <f t="shared" si="1"/>
        <v>74.55</v>
      </c>
    </row>
    <row r="33" spans="2:10" ht="15.6" x14ac:dyDescent="0.25">
      <c r="B33" s="59"/>
      <c r="C33" s="65" t="s">
        <v>23</v>
      </c>
      <c r="D33" s="61" t="s">
        <v>0</v>
      </c>
      <c r="E33" s="62">
        <v>1</v>
      </c>
      <c r="F33" s="63">
        <f>'Прайс для расчета'!E499</f>
        <v>521.85</v>
      </c>
      <c r="G33" s="64">
        <f t="shared" si="0"/>
        <v>521.85</v>
      </c>
      <c r="I33" s="135">
        <f>'Прайс для расчета (М)'!E499</f>
        <v>260.92500000000001</v>
      </c>
      <c r="J33" s="36">
        <f t="shared" si="1"/>
        <v>260.92500000000001</v>
      </c>
    </row>
    <row r="34" spans="2:10" ht="15.6" x14ac:dyDescent="0.25">
      <c r="B34" s="59"/>
      <c r="C34" s="65" t="s">
        <v>721</v>
      </c>
      <c r="D34" s="61" t="s">
        <v>0</v>
      </c>
      <c r="E34" s="62">
        <v>1</v>
      </c>
      <c r="F34" s="63">
        <f>'Прайс для расчета'!E500</f>
        <v>894.6</v>
      </c>
      <c r="G34" s="64">
        <f t="shared" si="0"/>
        <v>894.6</v>
      </c>
      <c r="I34" s="135">
        <f>'Прайс для расчета (М)'!E500</f>
        <v>447.3</v>
      </c>
      <c r="J34" s="36">
        <f t="shared" si="1"/>
        <v>447.3</v>
      </c>
    </row>
    <row r="35" spans="2:10" ht="15.6" x14ac:dyDescent="0.25">
      <c r="B35" s="59"/>
      <c r="C35" s="65" t="s">
        <v>24</v>
      </c>
      <c r="D35" s="61" t="s">
        <v>0</v>
      </c>
      <c r="E35" s="62">
        <v>1</v>
      </c>
      <c r="F35" s="63">
        <f>'Прайс для расчета'!E501</f>
        <v>1073.52</v>
      </c>
      <c r="G35" s="64">
        <f t="shared" si="0"/>
        <v>1073.52</v>
      </c>
      <c r="I35" s="135">
        <f>'Прайс для расчета (М)'!E501</f>
        <v>536.76</v>
      </c>
      <c r="J35" s="36">
        <f t="shared" si="1"/>
        <v>536.76</v>
      </c>
    </row>
    <row r="36" spans="2:10" ht="15.6" x14ac:dyDescent="0.25">
      <c r="B36" s="59"/>
      <c r="C36" s="65" t="s">
        <v>25</v>
      </c>
      <c r="D36" s="61" t="s">
        <v>0</v>
      </c>
      <c r="E36" s="62">
        <v>1</v>
      </c>
      <c r="F36" s="63">
        <f>'Прайс для расчета'!E502</f>
        <v>223.65</v>
      </c>
      <c r="G36" s="64">
        <f t="shared" si="0"/>
        <v>223.65</v>
      </c>
      <c r="I36" s="135">
        <f>'Прайс для расчета (М)'!E502</f>
        <v>111.825</v>
      </c>
      <c r="J36" s="36">
        <f t="shared" si="1"/>
        <v>111.825</v>
      </c>
    </row>
    <row r="37" spans="2:10" ht="15.6" x14ac:dyDescent="0.25">
      <c r="B37" s="59"/>
      <c r="C37" s="65" t="s">
        <v>26</v>
      </c>
      <c r="D37" s="61" t="s">
        <v>0</v>
      </c>
      <c r="E37" s="62">
        <v>1</v>
      </c>
      <c r="F37" s="63">
        <f>'Прайс для расчета'!E503</f>
        <v>521.85</v>
      </c>
      <c r="G37" s="64">
        <f t="shared" si="0"/>
        <v>521.85</v>
      </c>
      <c r="I37" s="135">
        <f>'Прайс для расчета (М)'!E503</f>
        <v>260.92500000000001</v>
      </c>
      <c r="J37" s="36">
        <f t="shared" si="1"/>
        <v>260.92500000000001</v>
      </c>
    </row>
    <row r="38" spans="2:10" ht="15.6" x14ac:dyDescent="0.25">
      <c r="B38" s="59"/>
      <c r="C38" s="65" t="s">
        <v>42</v>
      </c>
      <c r="D38" s="61" t="s">
        <v>3</v>
      </c>
      <c r="E38" s="62">
        <v>1</v>
      </c>
      <c r="F38" s="63">
        <f>'Прайс для расчета'!E504</f>
        <v>223.65</v>
      </c>
      <c r="G38" s="64">
        <f t="shared" si="0"/>
        <v>223.65</v>
      </c>
      <c r="I38" s="135">
        <f>'Прайс для расчета (М)'!E504</f>
        <v>111.825</v>
      </c>
      <c r="J38" s="36">
        <f t="shared" si="1"/>
        <v>111.825</v>
      </c>
    </row>
    <row r="39" spans="2:10" ht="15.6" x14ac:dyDescent="0.25">
      <c r="B39" s="59"/>
      <c r="C39" s="65" t="s">
        <v>27</v>
      </c>
      <c r="D39" s="61" t="s">
        <v>3</v>
      </c>
      <c r="E39" s="62">
        <v>1</v>
      </c>
      <c r="F39" s="63">
        <f>'Прайс для расчета'!E505</f>
        <v>372.75</v>
      </c>
      <c r="G39" s="64">
        <f t="shared" si="0"/>
        <v>372.75</v>
      </c>
      <c r="I39" s="135">
        <f>'Прайс для расчета (М)'!E505</f>
        <v>186.375</v>
      </c>
      <c r="J39" s="36">
        <f t="shared" si="1"/>
        <v>186.375</v>
      </c>
    </row>
    <row r="40" spans="2:10" ht="15.6" x14ac:dyDescent="0.25">
      <c r="B40" s="59"/>
      <c r="C40" s="65" t="s">
        <v>28</v>
      </c>
      <c r="D40" s="61" t="s">
        <v>0</v>
      </c>
      <c r="E40" s="62">
        <v>1</v>
      </c>
      <c r="F40" s="63">
        <f>'Прайс для расчета'!E506</f>
        <v>1491</v>
      </c>
      <c r="G40" s="64">
        <f t="shared" si="0"/>
        <v>1491</v>
      </c>
      <c r="I40" s="135">
        <f>'Прайс для расчета (М)'!E506</f>
        <v>745.5</v>
      </c>
      <c r="J40" s="36">
        <f t="shared" si="1"/>
        <v>745.5</v>
      </c>
    </row>
    <row r="41" spans="2:10" ht="15.6" x14ac:dyDescent="0.25">
      <c r="B41" s="59"/>
      <c r="C41" s="65" t="s">
        <v>722</v>
      </c>
      <c r="D41" s="61" t="s">
        <v>0</v>
      </c>
      <c r="E41" s="62">
        <v>1</v>
      </c>
      <c r="F41" s="63">
        <f>'Прайс для расчета'!E507</f>
        <v>2087.4</v>
      </c>
      <c r="G41" s="64">
        <f t="shared" si="0"/>
        <v>2087.4</v>
      </c>
      <c r="I41" s="135">
        <f>'Прайс для расчета (М)'!E507</f>
        <v>1043.7</v>
      </c>
      <c r="J41" s="36">
        <f t="shared" si="1"/>
        <v>1043.7</v>
      </c>
    </row>
    <row r="42" spans="2:10" ht="15.6" x14ac:dyDescent="0.25">
      <c r="B42" s="59"/>
      <c r="C42" s="65" t="s">
        <v>29</v>
      </c>
      <c r="D42" s="61" t="s">
        <v>0</v>
      </c>
      <c r="E42" s="62">
        <v>1</v>
      </c>
      <c r="F42" s="63">
        <f>'Прайс для расчета'!E508</f>
        <v>447.3</v>
      </c>
      <c r="G42" s="64">
        <f t="shared" si="0"/>
        <v>447.3</v>
      </c>
      <c r="I42" s="135">
        <f>'Прайс для расчета (М)'!E508</f>
        <v>223.65</v>
      </c>
      <c r="J42" s="36">
        <f t="shared" si="1"/>
        <v>223.65</v>
      </c>
    </row>
    <row r="43" spans="2:10" ht="15.6" x14ac:dyDescent="0.25">
      <c r="B43" s="59"/>
      <c r="C43" s="65" t="s">
        <v>30</v>
      </c>
      <c r="D43" s="61" t="s">
        <v>0</v>
      </c>
      <c r="E43" s="62">
        <v>1</v>
      </c>
      <c r="F43" s="63">
        <f>'Прайс для расчета'!E509</f>
        <v>1192.8</v>
      </c>
      <c r="G43" s="64">
        <f t="shared" si="0"/>
        <v>1192.8</v>
      </c>
      <c r="I43" s="135">
        <f>'Прайс для расчета (М)'!E509</f>
        <v>596.4</v>
      </c>
      <c r="J43" s="36">
        <f t="shared" si="1"/>
        <v>596.4</v>
      </c>
    </row>
    <row r="44" spans="2:10" ht="15.6" x14ac:dyDescent="0.25">
      <c r="B44" s="59"/>
      <c r="C44" s="65" t="s">
        <v>31</v>
      </c>
      <c r="D44" s="61" t="s">
        <v>0</v>
      </c>
      <c r="E44" s="62">
        <v>1</v>
      </c>
      <c r="F44" s="63">
        <f>'Прайс для расчета'!E510</f>
        <v>2087.4</v>
      </c>
      <c r="G44" s="64">
        <f t="shared" si="0"/>
        <v>2087.4</v>
      </c>
      <c r="I44" s="135">
        <f>'Прайс для расчета (М)'!E510</f>
        <v>1043.7</v>
      </c>
      <c r="J44" s="36">
        <f t="shared" si="1"/>
        <v>1043.7</v>
      </c>
    </row>
    <row r="45" spans="2:10" ht="15.6" x14ac:dyDescent="0.25">
      <c r="B45" s="59"/>
      <c r="C45" s="65" t="s">
        <v>32</v>
      </c>
      <c r="D45" s="61" t="s">
        <v>0</v>
      </c>
      <c r="E45" s="62">
        <v>1</v>
      </c>
      <c r="F45" s="63">
        <f>'Прайс для расчета'!E511</f>
        <v>5218.5</v>
      </c>
      <c r="G45" s="64">
        <f t="shared" si="0"/>
        <v>5218.5</v>
      </c>
      <c r="I45" s="135">
        <f>'Прайс для расчета (М)'!E511</f>
        <v>2609.25</v>
      </c>
      <c r="J45" s="36">
        <f t="shared" si="1"/>
        <v>2609.25</v>
      </c>
    </row>
    <row r="46" spans="2:10" ht="15.6" x14ac:dyDescent="0.25">
      <c r="B46" s="59"/>
      <c r="C46" s="65" t="s">
        <v>33</v>
      </c>
      <c r="D46" s="61" t="s">
        <v>0</v>
      </c>
      <c r="E46" s="62">
        <v>1</v>
      </c>
      <c r="F46" s="63">
        <f>'Прайс для расчета'!E512</f>
        <v>8200.5</v>
      </c>
      <c r="G46" s="64">
        <f t="shared" si="0"/>
        <v>8200.5</v>
      </c>
      <c r="I46" s="135">
        <f>'Прайс для расчета (М)'!E512</f>
        <v>4100.25</v>
      </c>
      <c r="J46" s="36">
        <f t="shared" si="1"/>
        <v>4100.25</v>
      </c>
    </row>
    <row r="47" spans="2:10" ht="15.6" x14ac:dyDescent="0.25">
      <c r="B47" s="59"/>
      <c r="C47" s="65" t="s">
        <v>34</v>
      </c>
      <c r="D47" s="61" t="s">
        <v>0</v>
      </c>
      <c r="E47" s="62">
        <v>1</v>
      </c>
      <c r="F47" s="63">
        <f>'Прайс для расчета'!E513</f>
        <v>11182.5</v>
      </c>
      <c r="G47" s="64">
        <f t="shared" si="0"/>
        <v>11182.5</v>
      </c>
      <c r="I47" s="135">
        <f>'Прайс для расчета (М)'!E513</f>
        <v>5591.25</v>
      </c>
      <c r="J47" s="36">
        <f t="shared" si="1"/>
        <v>5591.25</v>
      </c>
    </row>
    <row r="48" spans="2:10" ht="15.6" x14ac:dyDescent="0.25">
      <c r="B48" s="59"/>
      <c r="C48" s="65" t="s">
        <v>35</v>
      </c>
      <c r="D48" s="61" t="s">
        <v>3</v>
      </c>
      <c r="E48" s="62">
        <v>1</v>
      </c>
      <c r="F48" s="63">
        <f>'Прайс для расчета'!E514</f>
        <v>1491</v>
      </c>
      <c r="G48" s="64">
        <f t="shared" si="0"/>
        <v>1491</v>
      </c>
      <c r="I48" s="135">
        <f>'Прайс для расчета (М)'!E514</f>
        <v>745.5</v>
      </c>
      <c r="J48" s="36">
        <f t="shared" si="1"/>
        <v>745.5</v>
      </c>
    </row>
    <row r="49" spans="2:10" ht="15.6" x14ac:dyDescent="0.25">
      <c r="B49" s="59"/>
      <c r="C49" s="65" t="s">
        <v>36</v>
      </c>
      <c r="D49" s="61" t="s">
        <v>3</v>
      </c>
      <c r="E49" s="62">
        <v>1</v>
      </c>
      <c r="F49" s="63">
        <f>'Прайс для расчета'!E515</f>
        <v>2236.5</v>
      </c>
      <c r="G49" s="64">
        <f t="shared" si="0"/>
        <v>2236.5</v>
      </c>
      <c r="I49" s="135">
        <f>'Прайс для расчета (М)'!E515</f>
        <v>1118.25</v>
      </c>
      <c r="J49" s="36">
        <f t="shared" si="1"/>
        <v>1118.25</v>
      </c>
    </row>
    <row r="50" spans="2:10" ht="15.6" x14ac:dyDescent="0.25">
      <c r="B50" s="59"/>
      <c r="C50" s="65" t="s">
        <v>37</v>
      </c>
      <c r="D50" s="61" t="s">
        <v>3</v>
      </c>
      <c r="E50" s="62">
        <v>1</v>
      </c>
      <c r="F50" s="63">
        <f>'Прайс для расчета'!E516</f>
        <v>447.3</v>
      </c>
      <c r="G50" s="64">
        <f t="shared" si="0"/>
        <v>447.3</v>
      </c>
      <c r="I50" s="135">
        <f>'Прайс для расчета (М)'!E516</f>
        <v>223.65</v>
      </c>
      <c r="J50" s="36">
        <f t="shared" si="1"/>
        <v>223.65</v>
      </c>
    </row>
    <row r="51" spans="2:10" ht="15.6" x14ac:dyDescent="0.25">
      <c r="B51" s="59"/>
      <c r="C51" s="65" t="s">
        <v>38</v>
      </c>
      <c r="D51" s="61" t="s">
        <v>3</v>
      </c>
      <c r="E51" s="62">
        <v>1</v>
      </c>
      <c r="F51" s="63">
        <f>'Прайс для расчета'!E517</f>
        <v>745.5</v>
      </c>
      <c r="G51" s="64">
        <f t="shared" si="0"/>
        <v>745.5</v>
      </c>
      <c r="I51" s="135">
        <f>'Прайс для расчета (М)'!E517</f>
        <v>372.75</v>
      </c>
      <c r="J51" s="36">
        <f t="shared" si="1"/>
        <v>372.75</v>
      </c>
    </row>
    <row r="52" spans="2:10" ht="15.6" x14ac:dyDescent="0.25">
      <c r="B52" s="59"/>
      <c r="C52" s="65" t="s">
        <v>39</v>
      </c>
      <c r="D52" s="61" t="s">
        <v>0</v>
      </c>
      <c r="E52" s="62">
        <v>1</v>
      </c>
      <c r="F52" s="63">
        <f>'Прайс для расчета'!E518</f>
        <v>2907.4500000000003</v>
      </c>
      <c r="G52" s="64">
        <f t="shared" si="0"/>
        <v>2907.4500000000003</v>
      </c>
      <c r="I52" s="135">
        <f>'Прайс для расчета (М)'!E518</f>
        <v>1453.7250000000001</v>
      </c>
      <c r="J52" s="36">
        <f t="shared" si="1"/>
        <v>1453.7250000000001</v>
      </c>
    </row>
    <row r="53" spans="2:10" ht="15.6" x14ac:dyDescent="0.25">
      <c r="B53" s="59"/>
      <c r="C53" s="65" t="s">
        <v>40</v>
      </c>
      <c r="D53" s="61" t="s">
        <v>0</v>
      </c>
      <c r="E53" s="62">
        <v>1</v>
      </c>
      <c r="F53" s="63">
        <f>'Прайс для расчета'!E519</f>
        <v>1789.2</v>
      </c>
      <c r="G53" s="64">
        <f t="shared" si="0"/>
        <v>1789.2</v>
      </c>
      <c r="I53" s="135">
        <f>'Прайс для расчета (М)'!E519</f>
        <v>894.6</v>
      </c>
      <c r="J53" s="36">
        <f t="shared" si="1"/>
        <v>894.6</v>
      </c>
    </row>
    <row r="54" spans="2:10" ht="15.6" x14ac:dyDescent="0.25">
      <c r="B54" s="59"/>
      <c r="C54" s="65" t="s">
        <v>41</v>
      </c>
      <c r="D54" s="61" t="s">
        <v>0</v>
      </c>
      <c r="E54" s="62">
        <v>1</v>
      </c>
      <c r="F54" s="63">
        <f>'Прайс для расчета'!E520</f>
        <v>715.68</v>
      </c>
      <c r="G54" s="64">
        <f t="shared" si="0"/>
        <v>715.68</v>
      </c>
      <c r="I54" s="135">
        <f>'Прайс для расчета (М)'!E520</f>
        <v>357.84</v>
      </c>
      <c r="J54" s="36">
        <f t="shared" si="1"/>
        <v>357.84</v>
      </c>
    </row>
    <row r="55" spans="2:10" ht="15.6" x14ac:dyDescent="0.25">
      <c r="B55" s="110">
        <f>IF(SUM(B12:B54)&gt;0,1,0)</f>
        <v>0</v>
      </c>
      <c r="C55" s="266" t="s">
        <v>205</v>
      </c>
      <c r="D55" s="266"/>
      <c r="E55" s="266"/>
      <c r="F55" s="266"/>
      <c r="G55" s="157">
        <f>SUMIF(B12:B54,1,G12:G54)</f>
        <v>0</v>
      </c>
      <c r="J55" s="36">
        <f>SUMIF(B12:B54,1,J12:J54)</f>
        <v>0</v>
      </c>
    </row>
    <row r="56" spans="2:10" ht="15.6" x14ac:dyDescent="0.25">
      <c r="B56" s="153">
        <f>IF(SUM(B57:B112)&gt;0,1,0)</f>
        <v>0</v>
      </c>
      <c r="C56" s="164" t="s">
        <v>143</v>
      </c>
      <c r="D56" s="154" t="s">
        <v>179</v>
      </c>
      <c r="E56" s="154" t="s">
        <v>180</v>
      </c>
      <c r="F56" s="154" t="s">
        <v>1</v>
      </c>
      <c r="G56" s="154" t="s">
        <v>181</v>
      </c>
      <c r="I56" s="36" t="s">
        <v>1</v>
      </c>
      <c r="J56" s="36" t="s">
        <v>181</v>
      </c>
    </row>
    <row r="57" spans="2:10" ht="15.6" x14ac:dyDescent="0.25">
      <c r="B57" s="59"/>
      <c r="C57" s="65" t="s">
        <v>581</v>
      </c>
      <c r="D57" s="61" t="s">
        <v>2</v>
      </c>
      <c r="E57" s="62">
        <f t="shared" ref="E57:E65" si="2">$A$4</f>
        <v>0</v>
      </c>
      <c r="F57" s="63">
        <f>'Прайс для расчета'!E521</f>
        <v>559.125</v>
      </c>
      <c r="G57" s="64">
        <f t="shared" ref="G57:G112" si="3">F57*E57</f>
        <v>0</v>
      </c>
      <c r="I57" s="135">
        <f>'Прайс для расчета (М)'!E521</f>
        <v>279.5625</v>
      </c>
      <c r="J57" s="36">
        <f t="shared" ref="J57:J88" si="4">I57*E57</f>
        <v>0</v>
      </c>
    </row>
    <row r="58" spans="2:10" ht="15.6" x14ac:dyDescent="0.25">
      <c r="B58" s="59"/>
      <c r="C58" s="65" t="s">
        <v>582</v>
      </c>
      <c r="D58" s="61" t="s">
        <v>2</v>
      </c>
      <c r="E58" s="62">
        <f t="shared" si="2"/>
        <v>0</v>
      </c>
      <c r="F58" s="63">
        <f>'Прайс для расчета'!E522</f>
        <v>894.6</v>
      </c>
      <c r="G58" s="64">
        <f t="shared" si="3"/>
        <v>0</v>
      </c>
      <c r="I58" s="135">
        <f>'Прайс для расчета (М)'!E522</f>
        <v>447.3</v>
      </c>
      <c r="J58" s="36">
        <f t="shared" si="4"/>
        <v>0</v>
      </c>
    </row>
    <row r="59" spans="2:10" ht="15.6" x14ac:dyDescent="0.25">
      <c r="B59" s="59"/>
      <c r="C59" s="65" t="s">
        <v>170</v>
      </c>
      <c r="D59" s="61" t="s">
        <v>2</v>
      </c>
      <c r="E59" s="62">
        <f t="shared" si="2"/>
        <v>0</v>
      </c>
      <c r="F59" s="63">
        <f>'Прайс для расчета'!E523</f>
        <v>1341.9</v>
      </c>
      <c r="G59" s="64">
        <f t="shared" si="3"/>
        <v>0</v>
      </c>
      <c r="I59" s="135">
        <f>'Прайс для расчета (М)'!E523</f>
        <v>670.95</v>
      </c>
      <c r="J59" s="36">
        <f t="shared" si="4"/>
        <v>0</v>
      </c>
    </row>
    <row r="60" spans="2:10" ht="15.6" x14ac:dyDescent="0.25">
      <c r="B60" s="59"/>
      <c r="C60" s="65" t="s">
        <v>171</v>
      </c>
      <c r="D60" s="61" t="s">
        <v>2</v>
      </c>
      <c r="E60" s="62">
        <f t="shared" si="2"/>
        <v>0</v>
      </c>
      <c r="F60" s="63">
        <f>'Прайс для расчета'!E524</f>
        <v>1640.1000000000001</v>
      </c>
      <c r="G60" s="64">
        <f t="shared" si="3"/>
        <v>0</v>
      </c>
      <c r="I60" s="135">
        <f>'Прайс для расчета (М)'!E524</f>
        <v>820.05000000000007</v>
      </c>
      <c r="J60" s="36">
        <f t="shared" si="4"/>
        <v>0</v>
      </c>
    </row>
    <row r="61" spans="2:10" ht="15.6" x14ac:dyDescent="0.25">
      <c r="B61" s="59"/>
      <c r="C61" s="65" t="s">
        <v>207</v>
      </c>
      <c r="D61" s="61" t="s">
        <v>2</v>
      </c>
      <c r="E61" s="62">
        <f t="shared" si="2"/>
        <v>0</v>
      </c>
      <c r="F61" s="63">
        <f>'Прайс для расчета'!E525</f>
        <v>2236.5</v>
      </c>
      <c r="G61" s="64">
        <f t="shared" si="3"/>
        <v>0</v>
      </c>
      <c r="I61" s="135">
        <f>'Прайс для расчета (М)'!E525</f>
        <v>1118.25</v>
      </c>
      <c r="J61" s="36">
        <f t="shared" si="4"/>
        <v>0</v>
      </c>
    </row>
    <row r="62" spans="2:10" ht="15.6" x14ac:dyDescent="0.25">
      <c r="B62" s="59"/>
      <c r="C62" s="65" t="s">
        <v>208</v>
      </c>
      <c r="D62" s="61" t="s">
        <v>2</v>
      </c>
      <c r="E62" s="62">
        <f t="shared" si="2"/>
        <v>0</v>
      </c>
      <c r="F62" s="63">
        <f>'Прайс для расчета'!E526</f>
        <v>2982</v>
      </c>
      <c r="G62" s="64">
        <f t="shared" si="3"/>
        <v>0</v>
      </c>
      <c r="I62" s="36">
        <f>'Прайс для расчета (М)'!E526</f>
        <v>1491</v>
      </c>
      <c r="J62" s="36">
        <f t="shared" si="4"/>
        <v>0</v>
      </c>
    </row>
    <row r="63" spans="2:10" ht="15.6" x14ac:dyDescent="0.25">
      <c r="B63" s="59"/>
      <c r="C63" s="65" t="s">
        <v>762</v>
      </c>
      <c r="D63" s="61" t="s">
        <v>2</v>
      </c>
      <c r="E63" s="62">
        <f t="shared" si="2"/>
        <v>0</v>
      </c>
      <c r="F63" s="63">
        <f>'Прайс для расчета'!E527</f>
        <v>3727.5</v>
      </c>
      <c r="G63" s="64">
        <f t="shared" si="3"/>
        <v>0</v>
      </c>
      <c r="I63" s="135">
        <f>'Прайс для расчета (М)'!E527</f>
        <v>1863.75</v>
      </c>
      <c r="J63" s="36">
        <f t="shared" si="4"/>
        <v>0</v>
      </c>
    </row>
    <row r="64" spans="2:10" ht="15.6" x14ac:dyDescent="0.25">
      <c r="B64" s="59"/>
      <c r="C64" s="65" t="s">
        <v>926</v>
      </c>
      <c r="D64" s="61" t="s">
        <v>3</v>
      </c>
      <c r="E64" s="62">
        <f t="shared" si="2"/>
        <v>0</v>
      </c>
      <c r="F64" s="63">
        <f>'Прайс для расчета'!E528</f>
        <v>484.57500000000005</v>
      </c>
      <c r="G64" s="64">
        <f t="shared" si="3"/>
        <v>0</v>
      </c>
      <c r="I64" s="135">
        <f>'Прайс для расчета (М)'!E528</f>
        <v>242.28750000000002</v>
      </c>
      <c r="J64" s="36">
        <f t="shared" si="4"/>
        <v>0</v>
      </c>
    </row>
    <row r="65" spans="2:10" ht="15.6" x14ac:dyDescent="0.25">
      <c r="B65" s="59"/>
      <c r="C65" s="65" t="s">
        <v>587</v>
      </c>
      <c r="D65" s="61" t="s">
        <v>2</v>
      </c>
      <c r="E65" s="62">
        <f t="shared" si="2"/>
        <v>0</v>
      </c>
      <c r="F65" s="63">
        <f>'Прайс для расчета'!E529</f>
        <v>670.95</v>
      </c>
      <c r="G65" s="64">
        <f t="shared" ref="G65" si="5">F65*E65</f>
        <v>0</v>
      </c>
      <c r="I65" s="135">
        <f>'Прайс для расчета (М)'!E529</f>
        <v>335.47500000000002</v>
      </c>
      <c r="J65" s="36">
        <f t="shared" si="4"/>
        <v>0</v>
      </c>
    </row>
    <row r="66" spans="2:10" ht="15.6" x14ac:dyDescent="0.25">
      <c r="B66" s="59"/>
      <c r="C66" s="65" t="s">
        <v>172</v>
      </c>
      <c r="D66" s="61" t="s">
        <v>3</v>
      </c>
      <c r="E66" s="62">
        <f>$A$2</f>
        <v>0</v>
      </c>
      <c r="F66" s="63">
        <f>'Прайс для расчета'!E530</f>
        <v>74.55</v>
      </c>
      <c r="G66" s="64">
        <f t="shared" si="3"/>
        <v>0</v>
      </c>
      <c r="I66" s="135">
        <f>'Прайс для расчета (М)'!E530</f>
        <v>37.274999999999999</v>
      </c>
      <c r="J66" s="36">
        <f t="shared" si="4"/>
        <v>0</v>
      </c>
    </row>
    <row r="67" spans="2:10" ht="15.6" x14ac:dyDescent="0.25">
      <c r="B67" s="59"/>
      <c r="C67" s="65" t="s">
        <v>723</v>
      </c>
      <c r="D67" s="61" t="s">
        <v>0</v>
      </c>
      <c r="E67" s="62">
        <f>$A$4</f>
        <v>0</v>
      </c>
      <c r="F67" s="63">
        <f>'Прайс для расчета'!E531</f>
        <v>298.2</v>
      </c>
      <c r="G67" s="64">
        <f t="shared" si="3"/>
        <v>0</v>
      </c>
      <c r="I67" s="36">
        <f>'Прайс для расчета (М)'!E531</f>
        <v>149.1</v>
      </c>
      <c r="J67" s="36">
        <f t="shared" si="4"/>
        <v>0</v>
      </c>
    </row>
    <row r="68" spans="2:10" ht="15.6" x14ac:dyDescent="0.25">
      <c r="B68" s="59"/>
      <c r="C68" s="65" t="s">
        <v>763</v>
      </c>
      <c r="D68" s="61" t="s">
        <v>3</v>
      </c>
      <c r="E68" s="62">
        <f>$A$4</f>
        <v>0</v>
      </c>
      <c r="F68" s="63">
        <f>'Прайс для расчета'!E532</f>
        <v>805.14</v>
      </c>
      <c r="G68" s="64">
        <f t="shared" si="3"/>
        <v>0</v>
      </c>
      <c r="I68" s="135">
        <f>'Прайс для расчета (М)'!E532</f>
        <v>402.57</v>
      </c>
      <c r="J68" s="36">
        <f t="shared" si="4"/>
        <v>0</v>
      </c>
    </row>
    <row r="69" spans="2:10" ht="15.6" x14ac:dyDescent="0.25">
      <c r="B69" s="59"/>
      <c r="C69" s="65" t="s">
        <v>173</v>
      </c>
      <c r="D69" s="61" t="s">
        <v>0</v>
      </c>
      <c r="E69" s="62">
        <f t="shared" ref="E69:E112" si="6">$A$4</f>
        <v>0</v>
      </c>
      <c r="F69" s="63">
        <f>'Прайс для расчета'!E533</f>
        <v>372.75</v>
      </c>
      <c r="G69" s="64">
        <f t="shared" si="3"/>
        <v>0</v>
      </c>
      <c r="I69" s="135">
        <f>'Прайс для расчета (М)'!E533</f>
        <v>186.375</v>
      </c>
      <c r="J69" s="36">
        <f t="shared" si="4"/>
        <v>0</v>
      </c>
    </row>
    <row r="70" spans="2:10" ht="15.6" x14ac:dyDescent="0.25">
      <c r="B70" s="59"/>
      <c r="C70" s="65" t="s">
        <v>764</v>
      </c>
      <c r="D70" s="61" t="s">
        <v>765</v>
      </c>
      <c r="E70" s="62">
        <f t="shared" si="6"/>
        <v>0</v>
      </c>
      <c r="F70" s="63">
        <f>'Прайс для расчета'!E534</f>
        <v>149.1</v>
      </c>
      <c r="G70" s="64">
        <f t="shared" si="3"/>
        <v>0</v>
      </c>
      <c r="I70" s="135">
        <f>'Прайс для расчета (М)'!E534</f>
        <v>74.55</v>
      </c>
      <c r="J70" s="36">
        <f t="shared" si="4"/>
        <v>0</v>
      </c>
    </row>
    <row r="71" spans="2:10" ht="15.6" x14ac:dyDescent="0.25">
      <c r="B71" s="59"/>
      <c r="C71" s="65" t="s">
        <v>766</v>
      </c>
      <c r="D71" s="61" t="s">
        <v>765</v>
      </c>
      <c r="E71" s="62">
        <f t="shared" si="6"/>
        <v>0</v>
      </c>
      <c r="F71" s="63">
        <f>'Прайс для расчета'!E535</f>
        <v>149.1</v>
      </c>
      <c r="G71" s="64">
        <f t="shared" si="3"/>
        <v>0</v>
      </c>
      <c r="I71" s="36">
        <f>'Прайс для расчета (М)'!E535</f>
        <v>74.55</v>
      </c>
      <c r="J71" s="36">
        <f t="shared" si="4"/>
        <v>0</v>
      </c>
    </row>
    <row r="72" spans="2:10" ht="15.6" x14ac:dyDescent="0.25">
      <c r="B72" s="59"/>
      <c r="C72" s="65" t="s">
        <v>767</v>
      </c>
      <c r="D72" s="61" t="s">
        <v>765</v>
      </c>
      <c r="E72" s="62">
        <f t="shared" si="6"/>
        <v>0</v>
      </c>
      <c r="F72" s="63">
        <f>'Прайс для расчета'!E536</f>
        <v>745.5</v>
      </c>
      <c r="G72" s="64">
        <f t="shared" si="3"/>
        <v>0</v>
      </c>
      <c r="I72" s="36">
        <f>'Прайс для расчета (М)'!E536</f>
        <v>372.75</v>
      </c>
      <c r="J72" s="36">
        <f t="shared" si="4"/>
        <v>0</v>
      </c>
    </row>
    <row r="73" spans="2:10" ht="15.6" x14ac:dyDescent="0.25">
      <c r="B73" s="59"/>
      <c r="C73" s="65" t="s">
        <v>768</v>
      </c>
      <c r="D73" s="61" t="s">
        <v>765</v>
      </c>
      <c r="E73" s="62">
        <f t="shared" si="6"/>
        <v>0</v>
      </c>
      <c r="F73" s="63">
        <f>'Прайс для расчета'!E537</f>
        <v>670.95</v>
      </c>
      <c r="G73" s="64">
        <f t="shared" si="3"/>
        <v>0</v>
      </c>
      <c r="I73" s="36">
        <f>'Прайс для расчета (М)'!E537</f>
        <v>335.47500000000002</v>
      </c>
      <c r="J73" s="36">
        <f t="shared" si="4"/>
        <v>0</v>
      </c>
    </row>
    <row r="74" spans="2:10" ht="15.6" x14ac:dyDescent="0.25">
      <c r="B74" s="59"/>
      <c r="C74" s="65" t="s">
        <v>769</v>
      </c>
      <c r="D74" s="61" t="s">
        <v>0</v>
      </c>
      <c r="E74" s="62">
        <f t="shared" si="6"/>
        <v>0</v>
      </c>
      <c r="F74" s="63">
        <f>'Прайс для расчета'!E538</f>
        <v>372.75</v>
      </c>
      <c r="G74" s="64">
        <f t="shared" si="3"/>
        <v>0</v>
      </c>
      <c r="I74" s="36">
        <f>'Прайс для расчета (М)'!E538</f>
        <v>186.375</v>
      </c>
      <c r="J74" s="36">
        <f t="shared" si="4"/>
        <v>0</v>
      </c>
    </row>
    <row r="75" spans="2:10" ht="15.6" x14ac:dyDescent="0.25">
      <c r="B75" s="59"/>
      <c r="C75" s="65" t="s">
        <v>770</v>
      </c>
      <c r="D75" s="61" t="s">
        <v>0</v>
      </c>
      <c r="E75" s="62">
        <f t="shared" si="6"/>
        <v>0</v>
      </c>
      <c r="F75" s="63">
        <f>'Прайс для расчета'!E539</f>
        <v>805.14</v>
      </c>
      <c r="G75" s="64">
        <f t="shared" si="3"/>
        <v>0</v>
      </c>
      <c r="I75" s="36">
        <f>'Прайс для расчета (М)'!E539</f>
        <v>402.57</v>
      </c>
      <c r="J75" s="36">
        <f t="shared" si="4"/>
        <v>0</v>
      </c>
    </row>
    <row r="76" spans="2:10" ht="15.6" x14ac:dyDescent="0.25">
      <c r="B76" s="59"/>
      <c r="C76" s="65" t="s">
        <v>771</v>
      </c>
      <c r="D76" s="61" t="s">
        <v>0</v>
      </c>
      <c r="E76" s="62">
        <f t="shared" si="6"/>
        <v>0</v>
      </c>
      <c r="F76" s="63">
        <f>'Прайс для расчета'!E540</f>
        <v>1252.44</v>
      </c>
      <c r="G76" s="64">
        <f t="shared" si="3"/>
        <v>0</v>
      </c>
      <c r="I76" s="36">
        <f>'Прайс для расчета (М)'!E540</f>
        <v>626.22</v>
      </c>
      <c r="J76" s="36">
        <f t="shared" si="4"/>
        <v>0</v>
      </c>
    </row>
    <row r="77" spans="2:10" ht="15.6" x14ac:dyDescent="0.25">
      <c r="B77" s="59"/>
      <c r="C77" s="65" t="s">
        <v>772</v>
      </c>
      <c r="D77" s="61" t="s">
        <v>0</v>
      </c>
      <c r="E77" s="62">
        <f t="shared" si="6"/>
        <v>0</v>
      </c>
      <c r="F77" s="63">
        <f>'Прайс для расчета'!E541</f>
        <v>805.14</v>
      </c>
      <c r="G77" s="64">
        <f t="shared" si="3"/>
        <v>0</v>
      </c>
      <c r="I77" s="36">
        <f>'Прайс для расчета (М)'!E541</f>
        <v>402.57</v>
      </c>
      <c r="J77" s="36">
        <f t="shared" si="4"/>
        <v>0</v>
      </c>
    </row>
    <row r="78" spans="2:10" ht="15.6" x14ac:dyDescent="0.25">
      <c r="B78" s="59"/>
      <c r="C78" s="65" t="s">
        <v>773</v>
      </c>
      <c r="D78" s="61" t="s">
        <v>0</v>
      </c>
      <c r="E78" s="62">
        <f t="shared" si="6"/>
        <v>0</v>
      </c>
      <c r="F78" s="63">
        <f>'Прайс для расчета'!E542</f>
        <v>1073.52</v>
      </c>
      <c r="G78" s="64">
        <f t="shared" si="3"/>
        <v>0</v>
      </c>
      <c r="I78" s="36">
        <f>'Прайс для расчета (М)'!E542</f>
        <v>536.76</v>
      </c>
      <c r="J78" s="36">
        <f t="shared" si="4"/>
        <v>0</v>
      </c>
    </row>
    <row r="79" spans="2:10" ht="15.6" x14ac:dyDescent="0.25">
      <c r="B79" s="59"/>
      <c r="C79" s="65" t="s">
        <v>774</v>
      </c>
      <c r="D79" s="61" t="s">
        <v>0</v>
      </c>
      <c r="E79" s="62">
        <f t="shared" si="6"/>
        <v>0</v>
      </c>
      <c r="F79" s="63">
        <f>'Прайс для расчета'!E543</f>
        <v>246.01499999999999</v>
      </c>
      <c r="G79" s="64">
        <f t="shared" si="3"/>
        <v>0</v>
      </c>
      <c r="I79" s="36">
        <f>'Прайс для расчета (М)'!E543</f>
        <v>123.00749999999999</v>
      </c>
      <c r="J79" s="36">
        <f t="shared" si="4"/>
        <v>0</v>
      </c>
    </row>
    <row r="80" spans="2:10" ht="15.6" x14ac:dyDescent="0.25">
      <c r="B80" s="59"/>
      <c r="C80" s="65" t="s">
        <v>775</v>
      </c>
      <c r="D80" s="61" t="s">
        <v>0</v>
      </c>
      <c r="E80" s="62">
        <f t="shared" si="6"/>
        <v>0</v>
      </c>
      <c r="F80" s="63">
        <f>'Прайс для расчета'!E544</f>
        <v>805.14</v>
      </c>
      <c r="G80" s="64">
        <f t="shared" si="3"/>
        <v>0</v>
      </c>
      <c r="I80" s="36">
        <f>'Прайс для расчета (М)'!E544</f>
        <v>402.57</v>
      </c>
      <c r="J80" s="36">
        <f t="shared" si="4"/>
        <v>0</v>
      </c>
    </row>
    <row r="81" spans="2:10" ht="15.6" x14ac:dyDescent="0.25">
      <c r="B81" s="59"/>
      <c r="C81" s="65" t="s">
        <v>776</v>
      </c>
      <c r="D81" s="61" t="s">
        <v>0</v>
      </c>
      <c r="E81" s="62">
        <f t="shared" si="6"/>
        <v>0</v>
      </c>
      <c r="F81" s="63">
        <f>'Прайс для расчета'!E545</f>
        <v>2683.8</v>
      </c>
      <c r="G81" s="64">
        <f t="shared" si="3"/>
        <v>0</v>
      </c>
      <c r="I81" s="36">
        <f>'Прайс для расчета (М)'!E545</f>
        <v>1341.9</v>
      </c>
      <c r="J81" s="36">
        <f t="shared" si="4"/>
        <v>0</v>
      </c>
    </row>
    <row r="82" spans="2:10" ht="15.6" x14ac:dyDescent="0.25">
      <c r="B82" s="59"/>
      <c r="C82" s="65" t="s">
        <v>777</v>
      </c>
      <c r="D82" s="61" t="s">
        <v>0</v>
      </c>
      <c r="E82" s="62">
        <f t="shared" si="6"/>
        <v>0</v>
      </c>
      <c r="F82" s="63">
        <f>'Прайс для расчета'!E546</f>
        <v>596.4</v>
      </c>
      <c r="G82" s="64">
        <f t="shared" si="3"/>
        <v>0</v>
      </c>
      <c r="I82" s="36">
        <f>'Прайс для расчета (М)'!E546</f>
        <v>298.2</v>
      </c>
      <c r="J82" s="36">
        <f t="shared" si="4"/>
        <v>0</v>
      </c>
    </row>
    <row r="83" spans="2:10" ht="15.6" x14ac:dyDescent="0.25">
      <c r="B83" s="59"/>
      <c r="C83" s="65" t="s">
        <v>778</v>
      </c>
      <c r="D83" s="61" t="s">
        <v>0</v>
      </c>
      <c r="E83" s="62">
        <f t="shared" si="6"/>
        <v>0</v>
      </c>
      <c r="F83" s="63">
        <f>'Прайс для расчета'!E547</f>
        <v>670.95</v>
      </c>
      <c r="G83" s="64">
        <f t="shared" si="3"/>
        <v>0</v>
      </c>
      <c r="I83" s="36">
        <f>'Прайс для расчета (М)'!E547</f>
        <v>335.47500000000002</v>
      </c>
      <c r="J83" s="36">
        <f t="shared" si="4"/>
        <v>0</v>
      </c>
    </row>
    <row r="84" spans="2:10" ht="15.6" x14ac:dyDescent="0.25">
      <c r="B84" s="59"/>
      <c r="C84" s="65" t="s">
        <v>779</v>
      </c>
      <c r="D84" s="61" t="s">
        <v>0</v>
      </c>
      <c r="E84" s="62">
        <f t="shared" si="6"/>
        <v>0</v>
      </c>
      <c r="F84" s="63">
        <f>'Прайс для расчета'!E548</f>
        <v>298.2</v>
      </c>
      <c r="G84" s="64">
        <f t="shared" si="3"/>
        <v>0</v>
      </c>
      <c r="I84" s="36">
        <f>'Прайс для расчета (М)'!E548</f>
        <v>149.1</v>
      </c>
      <c r="J84" s="36">
        <f t="shared" si="4"/>
        <v>0</v>
      </c>
    </row>
    <row r="85" spans="2:10" ht="15.6" x14ac:dyDescent="0.25">
      <c r="B85" s="59"/>
      <c r="C85" s="65" t="s">
        <v>780</v>
      </c>
      <c r="D85" s="61" t="s">
        <v>0</v>
      </c>
      <c r="E85" s="62">
        <f t="shared" si="6"/>
        <v>0</v>
      </c>
      <c r="F85" s="63">
        <f>'Прайс для расчета'!E549</f>
        <v>149.1</v>
      </c>
      <c r="G85" s="64">
        <f t="shared" si="3"/>
        <v>0</v>
      </c>
      <c r="I85" s="36">
        <f>'Прайс для расчета (М)'!E549</f>
        <v>74.55</v>
      </c>
      <c r="J85" s="36">
        <f t="shared" si="4"/>
        <v>0</v>
      </c>
    </row>
    <row r="86" spans="2:10" ht="15.6" x14ac:dyDescent="0.25">
      <c r="B86" s="59"/>
      <c r="C86" s="65" t="s">
        <v>781</v>
      </c>
      <c r="D86" s="61" t="s">
        <v>765</v>
      </c>
      <c r="E86" s="62">
        <f t="shared" si="6"/>
        <v>0</v>
      </c>
      <c r="F86" s="63">
        <f>'Прайс для расчета'!E550</f>
        <v>745.5</v>
      </c>
      <c r="G86" s="64">
        <f t="shared" si="3"/>
        <v>0</v>
      </c>
      <c r="I86" s="36">
        <f>'Прайс для расчета (М)'!E550</f>
        <v>372.75</v>
      </c>
      <c r="J86" s="36">
        <f t="shared" si="4"/>
        <v>0</v>
      </c>
    </row>
    <row r="87" spans="2:10" ht="15.6" x14ac:dyDescent="0.25">
      <c r="B87" s="59"/>
      <c r="C87" s="65" t="s">
        <v>782</v>
      </c>
      <c r="D87" s="61" t="s">
        <v>765</v>
      </c>
      <c r="E87" s="62">
        <f t="shared" si="6"/>
        <v>0</v>
      </c>
      <c r="F87" s="63">
        <f>'Прайс для расчета'!E551</f>
        <v>805.14</v>
      </c>
      <c r="G87" s="64">
        <f t="shared" si="3"/>
        <v>0</v>
      </c>
      <c r="I87" s="36">
        <f>'Прайс для расчета (М)'!E551</f>
        <v>402.57</v>
      </c>
      <c r="J87" s="36">
        <f t="shared" si="4"/>
        <v>0</v>
      </c>
    </row>
    <row r="88" spans="2:10" ht="15.6" x14ac:dyDescent="0.25">
      <c r="B88" s="59"/>
      <c r="C88" s="65" t="s">
        <v>783</v>
      </c>
      <c r="D88" s="61" t="s">
        <v>765</v>
      </c>
      <c r="E88" s="62">
        <f t="shared" si="6"/>
        <v>0</v>
      </c>
      <c r="F88" s="63">
        <f>'Прайс для расчета'!E552</f>
        <v>268.38</v>
      </c>
      <c r="G88" s="64">
        <f t="shared" si="3"/>
        <v>0</v>
      </c>
      <c r="I88" s="36">
        <f>'Прайс для расчета (М)'!E552</f>
        <v>134.19</v>
      </c>
      <c r="J88" s="36">
        <f t="shared" si="4"/>
        <v>0</v>
      </c>
    </row>
    <row r="89" spans="2:10" ht="15.6" x14ac:dyDescent="0.25">
      <c r="B89" s="59"/>
      <c r="C89" s="65" t="s">
        <v>784</v>
      </c>
      <c r="D89" s="61" t="s">
        <v>0</v>
      </c>
      <c r="E89" s="62">
        <f t="shared" si="6"/>
        <v>0</v>
      </c>
      <c r="F89" s="63">
        <f>'Прайс для расчета'!E553</f>
        <v>1341.9</v>
      </c>
      <c r="G89" s="64">
        <f t="shared" si="3"/>
        <v>0</v>
      </c>
      <c r="I89" s="36">
        <f>'Прайс для расчета (М)'!E553</f>
        <v>670.95</v>
      </c>
      <c r="J89" s="36">
        <f t="shared" ref="J89:J112" si="7">I89*E89</f>
        <v>0</v>
      </c>
    </row>
    <row r="90" spans="2:10" ht="15.6" x14ac:dyDescent="0.25">
      <c r="B90" s="59"/>
      <c r="C90" s="65" t="s">
        <v>785</v>
      </c>
      <c r="D90" s="61" t="s">
        <v>765</v>
      </c>
      <c r="E90" s="62">
        <f t="shared" si="6"/>
        <v>0</v>
      </c>
      <c r="F90" s="63">
        <f>'Прайс для расчета'!E554</f>
        <v>2982</v>
      </c>
      <c r="G90" s="64">
        <f t="shared" si="3"/>
        <v>0</v>
      </c>
      <c r="I90" s="36">
        <f>'Прайс для расчета (М)'!E554</f>
        <v>1491</v>
      </c>
      <c r="J90" s="36">
        <f t="shared" si="7"/>
        <v>0</v>
      </c>
    </row>
    <row r="91" spans="2:10" ht="15.6" x14ac:dyDescent="0.25">
      <c r="B91" s="59"/>
      <c r="C91" s="65" t="s">
        <v>786</v>
      </c>
      <c r="D91" s="61" t="s">
        <v>765</v>
      </c>
      <c r="E91" s="62">
        <f t="shared" si="6"/>
        <v>0</v>
      </c>
      <c r="F91" s="63">
        <f>'Прайс для расчета'!E555</f>
        <v>4473</v>
      </c>
      <c r="G91" s="64">
        <f t="shared" si="3"/>
        <v>0</v>
      </c>
      <c r="I91" s="36">
        <f>'Прайс для расчета (М)'!E555</f>
        <v>2236.5</v>
      </c>
      <c r="J91" s="36">
        <f t="shared" si="7"/>
        <v>0</v>
      </c>
    </row>
    <row r="92" spans="2:10" ht="15.6" x14ac:dyDescent="0.25">
      <c r="B92" s="59"/>
      <c r="C92" s="65" t="s">
        <v>787</v>
      </c>
      <c r="D92" s="61" t="s">
        <v>765</v>
      </c>
      <c r="E92" s="62">
        <f t="shared" si="6"/>
        <v>0</v>
      </c>
      <c r="F92" s="63">
        <f>'Прайс для расчета'!E556</f>
        <v>8051.4000000000005</v>
      </c>
      <c r="G92" s="64">
        <f t="shared" si="3"/>
        <v>0</v>
      </c>
      <c r="I92" s="36">
        <f>'Прайс для расчета (М)'!E556</f>
        <v>4025.7000000000003</v>
      </c>
      <c r="J92" s="36">
        <f t="shared" si="7"/>
        <v>0</v>
      </c>
    </row>
    <row r="93" spans="2:10" ht="15.6" x14ac:dyDescent="0.25">
      <c r="B93" s="59"/>
      <c r="C93" s="65" t="s">
        <v>788</v>
      </c>
      <c r="D93" s="61" t="s">
        <v>0</v>
      </c>
      <c r="E93" s="62">
        <f t="shared" si="6"/>
        <v>0</v>
      </c>
      <c r="F93" s="63">
        <f>'Прайс для расчета'!E557</f>
        <v>2982</v>
      </c>
      <c r="G93" s="64">
        <f t="shared" si="3"/>
        <v>0</v>
      </c>
      <c r="I93" s="36">
        <f>'Прайс для расчета (М)'!E557</f>
        <v>1491</v>
      </c>
      <c r="J93" s="36">
        <f t="shared" si="7"/>
        <v>0</v>
      </c>
    </row>
    <row r="94" spans="2:10" ht="15.6" x14ac:dyDescent="0.25">
      <c r="B94" s="59"/>
      <c r="C94" s="65" t="s">
        <v>789</v>
      </c>
      <c r="D94" s="61" t="s">
        <v>0</v>
      </c>
      <c r="E94" s="62">
        <f t="shared" si="6"/>
        <v>0</v>
      </c>
      <c r="F94" s="63">
        <f>'Прайс для расчета'!E558</f>
        <v>8051.4000000000005</v>
      </c>
      <c r="G94" s="64">
        <f t="shared" si="3"/>
        <v>0</v>
      </c>
      <c r="I94" s="36">
        <f>'Прайс для расчета (М)'!E558</f>
        <v>4025.7000000000003</v>
      </c>
      <c r="J94" s="36">
        <f t="shared" si="7"/>
        <v>0</v>
      </c>
    </row>
    <row r="95" spans="2:10" ht="15.6" x14ac:dyDescent="0.25">
      <c r="B95" s="59"/>
      <c r="C95" s="65" t="s">
        <v>790</v>
      </c>
      <c r="D95" s="61" t="s">
        <v>765</v>
      </c>
      <c r="E95" s="62">
        <f t="shared" si="6"/>
        <v>0</v>
      </c>
      <c r="F95" s="63">
        <f>'Прайс для расчета'!E559</f>
        <v>5069.4000000000005</v>
      </c>
      <c r="G95" s="64">
        <f t="shared" si="3"/>
        <v>0</v>
      </c>
      <c r="I95" s="36">
        <f>'Прайс для расчета (М)'!E559</f>
        <v>2534.7000000000003</v>
      </c>
      <c r="J95" s="36">
        <f t="shared" si="7"/>
        <v>0</v>
      </c>
    </row>
    <row r="96" spans="2:10" ht="15.6" x14ac:dyDescent="0.25">
      <c r="B96" s="59"/>
      <c r="C96" s="65" t="s">
        <v>791</v>
      </c>
      <c r="D96" s="61" t="s">
        <v>765</v>
      </c>
      <c r="E96" s="62">
        <f t="shared" si="6"/>
        <v>0</v>
      </c>
      <c r="F96" s="63">
        <f>'Прайс для расчета'!E560</f>
        <v>6262.2</v>
      </c>
      <c r="G96" s="64">
        <f t="shared" si="3"/>
        <v>0</v>
      </c>
      <c r="I96" s="36">
        <f>'Прайс для расчета (М)'!E560</f>
        <v>3131.1</v>
      </c>
      <c r="J96" s="36">
        <f t="shared" si="7"/>
        <v>0</v>
      </c>
    </row>
    <row r="97" spans="2:10" ht="15.6" x14ac:dyDescent="0.25">
      <c r="B97" s="59"/>
      <c r="C97" s="65" t="s">
        <v>792</v>
      </c>
      <c r="D97" s="61" t="s">
        <v>765</v>
      </c>
      <c r="E97" s="62">
        <f t="shared" si="6"/>
        <v>0</v>
      </c>
      <c r="F97" s="63">
        <f>'Прайс для расчета'!E561</f>
        <v>6262.2</v>
      </c>
      <c r="G97" s="64">
        <f t="shared" si="3"/>
        <v>0</v>
      </c>
      <c r="I97" s="36">
        <f>'Прайс для расчета (М)'!E561</f>
        <v>3131.1</v>
      </c>
      <c r="J97" s="36">
        <f t="shared" si="7"/>
        <v>0</v>
      </c>
    </row>
    <row r="98" spans="2:10" ht="15.6" x14ac:dyDescent="0.25">
      <c r="B98" s="59"/>
      <c r="C98" s="65" t="s">
        <v>793</v>
      </c>
      <c r="D98" s="61" t="s">
        <v>765</v>
      </c>
      <c r="E98" s="62">
        <f t="shared" si="6"/>
        <v>0</v>
      </c>
      <c r="F98" s="63">
        <f>'Прайс для расчета'!E562</f>
        <v>8051.4000000000005</v>
      </c>
      <c r="G98" s="64">
        <f t="shared" si="3"/>
        <v>0</v>
      </c>
      <c r="I98" s="36">
        <f>'Прайс для расчета (М)'!E562</f>
        <v>4025.7000000000003</v>
      </c>
      <c r="J98" s="36">
        <f t="shared" si="7"/>
        <v>0</v>
      </c>
    </row>
    <row r="99" spans="2:10" ht="15.6" x14ac:dyDescent="0.25">
      <c r="B99" s="59"/>
      <c r="C99" s="65" t="s">
        <v>794</v>
      </c>
      <c r="D99" s="61" t="s">
        <v>765</v>
      </c>
      <c r="E99" s="62">
        <f t="shared" si="6"/>
        <v>0</v>
      </c>
      <c r="F99" s="63">
        <f>'Прайс для расчета'!E563</f>
        <v>2982</v>
      </c>
      <c r="G99" s="64">
        <f t="shared" si="3"/>
        <v>0</v>
      </c>
      <c r="I99" s="36">
        <f>'Прайс для расчета (М)'!E563</f>
        <v>1491</v>
      </c>
      <c r="J99" s="36">
        <f t="shared" si="7"/>
        <v>0</v>
      </c>
    </row>
    <row r="100" spans="2:10" ht="15.6" x14ac:dyDescent="0.25">
      <c r="B100" s="59"/>
      <c r="C100" s="65" t="s">
        <v>795</v>
      </c>
      <c r="D100" s="61" t="s">
        <v>765</v>
      </c>
      <c r="E100" s="62">
        <f t="shared" si="6"/>
        <v>0</v>
      </c>
      <c r="F100" s="63">
        <f>'Прайс для расчета'!E564</f>
        <v>4473</v>
      </c>
      <c r="G100" s="64">
        <f t="shared" si="3"/>
        <v>0</v>
      </c>
      <c r="I100" s="36">
        <f>'Прайс для расчета (М)'!E564</f>
        <v>2236.5</v>
      </c>
      <c r="J100" s="36">
        <f t="shared" si="7"/>
        <v>0</v>
      </c>
    </row>
    <row r="101" spans="2:10" ht="15.6" x14ac:dyDescent="0.25">
      <c r="B101" s="59"/>
      <c r="C101" s="65" t="s">
        <v>796</v>
      </c>
      <c r="D101" s="61" t="s">
        <v>765</v>
      </c>
      <c r="E101" s="62">
        <f t="shared" si="6"/>
        <v>0</v>
      </c>
      <c r="F101" s="63">
        <f>'Прайс для расчета'!E565</f>
        <v>2982</v>
      </c>
      <c r="G101" s="64">
        <f t="shared" si="3"/>
        <v>0</v>
      </c>
      <c r="I101" s="36">
        <f>'Прайс для расчета (М)'!E565</f>
        <v>1491</v>
      </c>
      <c r="J101" s="36">
        <f t="shared" si="7"/>
        <v>0</v>
      </c>
    </row>
    <row r="102" spans="2:10" ht="15.6" x14ac:dyDescent="0.25">
      <c r="B102" s="59"/>
      <c r="C102" s="65" t="s">
        <v>797</v>
      </c>
      <c r="D102" s="61" t="s">
        <v>765</v>
      </c>
      <c r="E102" s="62">
        <f t="shared" si="6"/>
        <v>0</v>
      </c>
      <c r="F102" s="63">
        <f>'Прайс для расчета'!E566</f>
        <v>4473</v>
      </c>
      <c r="G102" s="64">
        <f t="shared" si="3"/>
        <v>0</v>
      </c>
      <c r="I102" s="36">
        <f>'Прайс для расчета (М)'!E566</f>
        <v>2236.5</v>
      </c>
      <c r="J102" s="36">
        <f t="shared" si="7"/>
        <v>0</v>
      </c>
    </row>
    <row r="103" spans="2:10" ht="15.6" x14ac:dyDescent="0.25">
      <c r="B103" s="59"/>
      <c r="C103" s="65" t="s">
        <v>798</v>
      </c>
      <c r="D103" s="61" t="s">
        <v>765</v>
      </c>
      <c r="E103" s="62">
        <f t="shared" si="6"/>
        <v>0</v>
      </c>
      <c r="F103" s="63">
        <f>'Прайс для расчета'!E567</f>
        <v>8051.4000000000005</v>
      </c>
      <c r="G103" s="64">
        <f t="shared" si="3"/>
        <v>0</v>
      </c>
      <c r="I103" s="36">
        <f>'Прайс для расчета (М)'!E567</f>
        <v>4025.7000000000003</v>
      </c>
      <c r="J103" s="36">
        <f t="shared" si="7"/>
        <v>0</v>
      </c>
    </row>
    <row r="104" spans="2:10" ht="15.6" x14ac:dyDescent="0.25">
      <c r="B104" s="59"/>
      <c r="C104" s="65" t="s">
        <v>799</v>
      </c>
      <c r="D104" s="61" t="s">
        <v>765</v>
      </c>
      <c r="E104" s="62">
        <f t="shared" si="6"/>
        <v>0</v>
      </c>
      <c r="F104" s="63">
        <f>'Прайс для расчета'!E568</f>
        <v>8051.4000000000005</v>
      </c>
      <c r="G104" s="64">
        <f t="shared" si="3"/>
        <v>0</v>
      </c>
      <c r="I104" s="36">
        <f>'Прайс для расчета (М)'!E568</f>
        <v>4025.7000000000003</v>
      </c>
      <c r="J104" s="36">
        <f t="shared" si="7"/>
        <v>0</v>
      </c>
    </row>
    <row r="105" spans="2:10" ht="15.6" x14ac:dyDescent="0.25">
      <c r="B105" s="59"/>
      <c r="C105" s="65" t="s">
        <v>800</v>
      </c>
      <c r="D105" s="61" t="s">
        <v>0</v>
      </c>
      <c r="E105" s="62">
        <f t="shared" si="6"/>
        <v>0</v>
      </c>
      <c r="F105" s="63">
        <f>'Прайс для расчета'!E569</f>
        <v>2683.8</v>
      </c>
      <c r="G105" s="64">
        <f t="shared" si="3"/>
        <v>0</v>
      </c>
      <c r="I105" s="36">
        <f>'Прайс для расчета (М)'!E569</f>
        <v>1341.9</v>
      </c>
      <c r="J105" s="36">
        <f t="shared" si="7"/>
        <v>0</v>
      </c>
    </row>
    <row r="106" spans="2:10" ht="15.6" x14ac:dyDescent="0.25">
      <c r="B106" s="59"/>
      <c r="C106" s="65" t="s">
        <v>801</v>
      </c>
      <c r="D106" s="61" t="s">
        <v>0</v>
      </c>
      <c r="E106" s="62">
        <f t="shared" si="6"/>
        <v>0</v>
      </c>
      <c r="F106" s="63">
        <f>'Прайс для расчета'!E570</f>
        <v>8051.4000000000005</v>
      </c>
      <c r="G106" s="64">
        <f t="shared" si="3"/>
        <v>0</v>
      </c>
      <c r="I106" s="36">
        <f>'Прайс для расчета (М)'!E570</f>
        <v>4025.7000000000003</v>
      </c>
      <c r="J106" s="36">
        <f t="shared" si="7"/>
        <v>0</v>
      </c>
    </row>
    <row r="107" spans="2:10" ht="15.6" x14ac:dyDescent="0.25">
      <c r="B107" s="59"/>
      <c r="C107" s="65" t="s">
        <v>802</v>
      </c>
      <c r="D107" s="61" t="s">
        <v>0</v>
      </c>
      <c r="E107" s="62">
        <f t="shared" si="6"/>
        <v>0</v>
      </c>
      <c r="F107" s="63">
        <f>'Прайс для расчета'!E571</f>
        <v>2683.8</v>
      </c>
      <c r="G107" s="64">
        <f t="shared" si="3"/>
        <v>0</v>
      </c>
      <c r="I107" s="36">
        <f>'Прайс для расчета (М)'!E571</f>
        <v>1341.9</v>
      </c>
      <c r="J107" s="36">
        <f t="shared" si="7"/>
        <v>0</v>
      </c>
    </row>
    <row r="108" spans="2:10" ht="15.6" x14ac:dyDescent="0.25">
      <c r="B108" s="59"/>
      <c r="C108" s="65" t="s">
        <v>803</v>
      </c>
      <c r="D108" s="61" t="s">
        <v>164</v>
      </c>
      <c r="E108" s="62">
        <f t="shared" si="6"/>
        <v>0</v>
      </c>
      <c r="F108" s="63">
        <f>'Прайс для расчета'!E572</f>
        <v>111.825</v>
      </c>
      <c r="G108" s="64">
        <f t="shared" si="3"/>
        <v>0</v>
      </c>
      <c r="I108" s="36">
        <f>'Прайс для расчета (М)'!E572</f>
        <v>55.912500000000001</v>
      </c>
      <c r="J108" s="36">
        <f t="shared" si="7"/>
        <v>0</v>
      </c>
    </row>
    <row r="109" spans="2:10" ht="15.6" x14ac:dyDescent="0.25">
      <c r="B109" s="59"/>
      <c r="C109" s="65" t="s">
        <v>804</v>
      </c>
      <c r="D109" s="61" t="s">
        <v>765</v>
      </c>
      <c r="E109" s="62">
        <f t="shared" si="6"/>
        <v>0</v>
      </c>
      <c r="F109" s="63">
        <f>'Прайс для расчета'!E573</f>
        <v>89.46</v>
      </c>
      <c r="G109" s="64">
        <f t="shared" si="3"/>
        <v>0</v>
      </c>
      <c r="I109" s="36">
        <f>'Прайс для расчета (М)'!E573</f>
        <v>44.73</v>
      </c>
      <c r="J109" s="36">
        <f t="shared" si="7"/>
        <v>0</v>
      </c>
    </row>
    <row r="110" spans="2:10" ht="15.6" x14ac:dyDescent="0.25">
      <c r="B110" s="59"/>
      <c r="C110" s="65" t="s">
        <v>805</v>
      </c>
      <c r="D110" s="61" t="s">
        <v>806</v>
      </c>
      <c r="E110" s="62">
        <f t="shared" si="6"/>
        <v>0</v>
      </c>
      <c r="F110" s="63">
        <f>'Прайс для расчета'!E574</f>
        <v>44.73</v>
      </c>
      <c r="G110" s="64">
        <f t="shared" si="3"/>
        <v>0</v>
      </c>
      <c r="I110" s="36">
        <f>'Прайс для расчета (М)'!E574</f>
        <v>22.364999999999998</v>
      </c>
      <c r="J110" s="36">
        <f t="shared" si="7"/>
        <v>0</v>
      </c>
    </row>
    <row r="111" spans="2:10" ht="15.6" x14ac:dyDescent="0.25">
      <c r="B111" s="59"/>
      <c r="C111" s="65" t="s">
        <v>168</v>
      </c>
      <c r="D111" s="61" t="s">
        <v>765</v>
      </c>
      <c r="E111" s="62">
        <f t="shared" si="6"/>
        <v>0</v>
      </c>
      <c r="F111" s="63">
        <f>'Прайс для расчета'!E575</f>
        <v>223.65</v>
      </c>
      <c r="G111" s="64">
        <f t="shared" si="3"/>
        <v>0</v>
      </c>
      <c r="I111" s="36">
        <f>'Прайс для расчета (М)'!E575</f>
        <v>111.825</v>
      </c>
      <c r="J111" s="36">
        <f t="shared" si="7"/>
        <v>0</v>
      </c>
    </row>
    <row r="112" spans="2:10" ht="15.6" x14ac:dyDescent="0.25">
      <c r="B112" s="59"/>
      <c r="C112" s="65" t="s">
        <v>807</v>
      </c>
      <c r="D112" s="61" t="s">
        <v>0</v>
      </c>
      <c r="E112" s="62">
        <f t="shared" si="6"/>
        <v>0</v>
      </c>
      <c r="F112" s="63">
        <f>'Прайс для расчета'!E576</f>
        <v>2683.8</v>
      </c>
      <c r="G112" s="64">
        <f t="shared" si="3"/>
        <v>0</v>
      </c>
      <c r="I112" s="135">
        <f>'Прайс для расчета (М)'!E576</f>
        <v>1341.9</v>
      </c>
      <c r="J112" s="36">
        <f t="shared" si="7"/>
        <v>0</v>
      </c>
    </row>
    <row r="113" spans="2:10" ht="15.6" x14ac:dyDescent="0.25">
      <c r="B113" s="110">
        <f>IF(SUM(B57:B112)&gt;0,1,0)</f>
        <v>0</v>
      </c>
      <c r="C113" s="266" t="s">
        <v>194</v>
      </c>
      <c r="D113" s="266"/>
      <c r="E113" s="266"/>
      <c r="F113" s="266"/>
      <c r="G113" s="157">
        <f>SUMIF(B57:B112,1,G57:G112)</f>
        <v>0</v>
      </c>
      <c r="J113" s="36">
        <f>SUMIF(B57:B112,1,J57:J112)</f>
        <v>0</v>
      </c>
    </row>
    <row r="114" spans="2:10" ht="15.6" x14ac:dyDescent="0.25">
      <c r="B114" s="153">
        <f>IF(SUM(B115:B119)&gt;0,1,0)</f>
        <v>0</v>
      </c>
      <c r="C114" s="164" t="s">
        <v>144</v>
      </c>
      <c r="D114" s="154" t="s">
        <v>179</v>
      </c>
      <c r="E114" s="154" t="s">
        <v>180</v>
      </c>
      <c r="F114" s="154" t="s">
        <v>1</v>
      </c>
      <c r="G114" s="154" t="s">
        <v>181</v>
      </c>
      <c r="I114" s="36" t="s">
        <v>1</v>
      </c>
      <c r="J114" s="36" t="s">
        <v>181</v>
      </c>
    </row>
    <row r="115" spans="2:10" ht="15.6" x14ac:dyDescent="0.25">
      <c r="B115" s="59"/>
      <c r="C115" s="65" t="s">
        <v>929</v>
      </c>
      <c r="D115" s="61" t="s">
        <v>2</v>
      </c>
      <c r="E115" s="62">
        <v>1</v>
      </c>
      <c r="F115" s="63">
        <f>'Прайс для расчета'!E577</f>
        <v>1491</v>
      </c>
      <c r="G115" s="64">
        <f>F115*E115</f>
        <v>1491</v>
      </c>
      <c r="I115" s="135">
        <f>'Прайс для расчета (М)'!E577</f>
        <v>745.5</v>
      </c>
      <c r="J115" s="36">
        <f>I115*E115</f>
        <v>745.5</v>
      </c>
    </row>
    <row r="116" spans="2:10" ht="31.2" x14ac:dyDescent="0.25">
      <c r="B116" s="59"/>
      <c r="C116" s="65" t="s">
        <v>927</v>
      </c>
      <c r="D116" s="61" t="s">
        <v>267</v>
      </c>
      <c r="E116" s="62">
        <v>1</v>
      </c>
      <c r="F116" s="63">
        <f>'Прайс для расчета'!E578</f>
        <v>46593.75</v>
      </c>
      <c r="G116" s="64">
        <f>F116*E116</f>
        <v>46593.75</v>
      </c>
      <c r="I116" s="135">
        <f>'Прайс для расчета (М)'!E578</f>
        <v>23296.875</v>
      </c>
      <c r="J116" s="36">
        <f>I116*E116</f>
        <v>23296.875</v>
      </c>
    </row>
    <row r="117" spans="2:10" ht="15.6" x14ac:dyDescent="0.25">
      <c r="B117" s="59"/>
      <c r="C117" s="65" t="s">
        <v>245</v>
      </c>
      <c r="D117" s="61" t="s">
        <v>2</v>
      </c>
      <c r="E117" s="62">
        <v>1</v>
      </c>
      <c r="F117" s="63">
        <f>'Прайс для расчета'!E579</f>
        <v>178.92</v>
      </c>
      <c r="G117" s="64">
        <f>F117*E117</f>
        <v>178.92</v>
      </c>
      <c r="I117" s="135">
        <f>'Прайс для расчета (М)'!E579</f>
        <v>89.46</v>
      </c>
      <c r="J117" s="36">
        <f>I117*E117</f>
        <v>89.46</v>
      </c>
    </row>
    <row r="118" spans="2:10" ht="15.6" x14ac:dyDescent="0.25">
      <c r="B118" s="59"/>
      <c r="C118" s="65" t="s">
        <v>246</v>
      </c>
      <c r="D118" s="61" t="s">
        <v>2</v>
      </c>
      <c r="E118" s="62">
        <v>1</v>
      </c>
      <c r="F118" s="63">
        <f>'Прайс для расчета'!E580</f>
        <v>447.3</v>
      </c>
      <c r="G118" s="64">
        <f>F118*E118</f>
        <v>447.3</v>
      </c>
      <c r="I118" s="135">
        <f>'Прайс для расчета (М)'!E580</f>
        <v>223.65</v>
      </c>
      <c r="J118" s="36">
        <f>I118*E118</f>
        <v>223.65</v>
      </c>
    </row>
    <row r="119" spans="2:10" ht="15.6" x14ac:dyDescent="0.25">
      <c r="B119" s="59"/>
      <c r="C119" s="65" t="s">
        <v>209</v>
      </c>
      <c r="D119" s="61" t="s">
        <v>247</v>
      </c>
      <c r="E119" s="62">
        <v>1</v>
      </c>
      <c r="F119" s="63">
        <f>'Прайс для расчета'!E581</f>
        <v>11182.5</v>
      </c>
      <c r="G119" s="64">
        <f>F119*E119</f>
        <v>11182.5</v>
      </c>
      <c r="I119" s="135">
        <f>'Прайс для расчета (М)'!E581</f>
        <v>5591.25</v>
      </c>
      <c r="J119" s="36">
        <f>I119*E119</f>
        <v>5591.25</v>
      </c>
    </row>
    <row r="120" spans="2:10" ht="15.6" x14ac:dyDescent="0.25">
      <c r="B120" s="110">
        <f>IF(SUM(B115:B119)&gt;0,1,0)</f>
        <v>0</v>
      </c>
      <c r="C120" s="266" t="s">
        <v>195</v>
      </c>
      <c r="D120" s="266"/>
      <c r="E120" s="266"/>
      <c r="F120" s="266"/>
      <c r="G120" s="157">
        <f>SUMIF(B115:B119,1,G115:G119)</f>
        <v>0</v>
      </c>
      <c r="J120" s="36">
        <f>SUMIF(B115:B119,1,J115:J119)</f>
        <v>0</v>
      </c>
    </row>
    <row r="121" spans="2:10" ht="15.6" x14ac:dyDescent="0.25">
      <c r="B121" s="153">
        <f>IF(SUM(B122:B127)&gt;0,1,0)</f>
        <v>0</v>
      </c>
      <c r="C121" s="164" t="s">
        <v>5</v>
      </c>
      <c r="D121" s="154" t="s">
        <v>179</v>
      </c>
      <c r="E121" s="154" t="s">
        <v>180</v>
      </c>
      <c r="F121" s="154" t="s">
        <v>1</v>
      </c>
      <c r="G121" s="154" t="s">
        <v>181</v>
      </c>
      <c r="I121" s="36" t="s">
        <v>1</v>
      </c>
      <c r="J121" s="36" t="s">
        <v>181</v>
      </c>
    </row>
    <row r="122" spans="2:10" ht="15.6" x14ac:dyDescent="0.25">
      <c r="B122" s="59"/>
      <c r="C122" s="65" t="s">
        <v>265</v>
      </c>
      <c r="D122" s="61" t="s">
        <v>0</v>
      </c>
      <c r="E122" s="62">
        <v>1</v>
      </c>
      <c r="F122" s="63">
        <f>'Прайс для расчета'!E582</f>
        <v>18637.5</v>
      </c>
      <c r="G122" s="64">
        <f>F122*E122</f>
        <v>18637.5</v>
      </c>
      <c r="I122" s="135">
        <f>'Прайс для расчета (М)'!E582</f>
        <v>9318.75</v>
      </c>
      <c r="J122" s="36">
        <f t="shared" ref="J122:J127" si="8">I122*E122</f>
        <v>9318.75</v>
      </c>
    </row>
    <row r="123" spans="2:10" ht="15.6" x14ac:dyDescent="0.25">
      <c r="B123" s="59"/>
      <c r="C123" s="65" t="s">
        <v>907</v>
      </c>
      <c r="D123" s="61" t="s">
        <v>0</v>
      </c>
      <c r="E123" s="62">
        <v>1</v>
      </c>
      <c r="F123" s="63">
        <f>'Прайс для расчета'!E583</f>
        <v>19383</v>
      </c>
      <c r="G123" s="64">
        <f t="shared" ref="G123:G127" si="9">F123*E123</f>
        <v>19383</v>
      </c>
      <c r="I123" s="135">
        <f>'Прайс для расчета (М)'!E583</f>
        <v>9691.5</v>
      </c>
      <c r="J123" s="36">
        <f t="shared" si="8"/>
        <v>9691.5</v>
      </c>
    </row>
    <row r="124" spans="2:10" ht="15.6" x14ac:dyDescent="0.25">
      <c r="B124" s="59"/>
      <c r="C124" s="65" t="s">
        <v>908</v>
      </c>
      <c r="D124" s="61" t="s">
        <v>0</v>
      </c>
      <c r="E124" s="62">
        <v>1</v>
      </c>
      <c r="F124" s="63">
        <f>'Прайс для расчета'!E584</f>
        <v>20128.5</v>
      </c>
      <c r="G124" s="64">
        <f t="shared" si="9"/>
        <v>20128.5</v>
      </c>
      <c r="I124" s="135">
        <f>'Прайс для расчета (М)'!E584</f>
        <v>10064.25</v>
      </c>
      <c r="J124" s="36">
        <f t="shared" si="8"/>
        <v>10064.25</v>
      </c>
    </row>
    <row r="125" spans="2:10" ht="15.6" x14ac:dyDescent="0.25">
      <c r="B125" s="59"/>
      <c r="C125" s="65" t="s">
        <v>909</v>
      </c>
      <c r="D125" s="61" t="s">
        <v>0</v>
      </c>
      <c r="E125" s="62">
        <v>1</v>
      </c>
      <c r="F125" s="63">
        <f>'Прайс для расчета'!E585</f>
        <v>20874</v>
      </c>
      <c r="G125" s="64">
        <f t="shared" si="9"/>
        <v>20874</v>
      </c>
      <c r="I125" s="135">
        <f>'Прайс для расчета (М)'!E585</f>
        <v>10437</v>
      </c>
      <c r="J125" s="36">
        <f t="shared" si="8"/>
        <v>10437</v>
      </c>
    </row>
    <row r="126" spans="2:10" ht="15.6" x14ac:dyDescent="0.25">
      <c r="B126" s="59"/>
      <c r="C126" s="65" t="s">
        <v>910</v>
      </c>
      <c r="D126" s="61" t="s">
        <v>0</v>
      </c>
      <c r="E126" s="62">
        <v>1</v>
      </c>
      <c r="F126" s="63">
        <f>'Прайс для расчета'!E586</f>
        <v>20128.5</v>
      </c>
      <c r="G126" s="64">
        <f t="shared" si="9"/>
        <v>20128.5</v>
      </c>
      <c r="I126" s="135">
        <f>'Прайс для расчета (М)'!E586</f>
        <v>10064.25</v>
      </c>
      <c r="J126" s="36">
        <f t="shared" si="8"/>
        <v>10064.25</v>
      </c>
    </row>
    <row r="127" spans="2:10" ht="15.6" x14ac:dyDescent="0.25">
      <c r="B127" s="59"/>
      <c r="C127" s="65" t="s">
        <v>216</v>
      </c>
      <c r="D127" s="61" t="s">
        <v>0</v>
      </c>
      <c r="E127" s="62">
        <v>1</v>
      </c>
      <c r="F127" s="63">
        <f>'Прайс для расчета'!E587</f>
        <v>14910</v>
      </c>
      <c r="G127" s="64">
        <f t="shared" si="9"/>
        <v>14910</v>
      </c>
      <c r="I127" s="135">
        <f>'Прайс для расчета (М)'!E587</f>
        <v>7455</v>
      </c>
      <c r="J127" s="36">
        <f t="shared" si="8"/>
        <v>7455</v>
      </c>
    </row>
    <row r="128" spans="2:10" ht="15.6" x14ac:dyDescent="0.25">
      <c r="B128" s="110">
        <f>IF(SUM(B122:B127)&gt;0,1,0)</f>
        <v>0</v>
      </c>
      <c r="C128" s="266" t="s">
        <v>196</v>
      </c>
      <c r="D128" s="266"/>
      <c r="E128" s="266"/>
      <c r="F128" s="266"/>
      <c r="G128" s="157">
        <f>SUMIF(B122:B127,1,G122:G127)</f>
        <v>0</v>
      </c>
      <c r="J128" s="36">
        <f>SUMIF(B122:B127,1,J122:J127)</f>
        <v>0</v>
      </c>
    </row>
    <row r="129" spans="2:10" ht="15.6" x14ac:dyDescent="0.25">
      <c r="B129" s="153">
        <f>IF(SUM(B130:B135)&gt;0,1,0)</f>
        <v>0</v>
      </c>
      <c r="C129" s="164" t="s">
        <v>242</v>
      </c>
      <c r="D129" s="154" t="s">
        <v>179</v>
      </c>
      <c r="E129" s="154" t="s">
        <v>180</v>
      </c>
      <c r="F129" s="154" t="s">
        <v>1</v>
      </c>
      <c r="G129" s="154" t="s">
        <v>181</v>
      </c>
      <c r="I129" s="36" t="s">
        <v>1</v>
      </c>
      <c r="J129" s="36" t="s">
        <v>181</v>
      </c>
    </row>
    <row r="130" spans="2:10" ht="15.6" x14ac:dyDescent="0.25">
      <c r="B130" s="59"/>
      <c r="C130" s="65" t="s">
        <v>911</v>
      </c>
      <c r="D130" s="61" t="s">
        <v>0</v>
      </c>
      <c r="E130" s="62">
        <v>1</v>
      </c>
      <c r="F130" s="63">
        <f>'Прайс для расчета'!E588</f>
        <v>10437</v>
      </c>
      <c r="G130" s="64">
        <f t="shared" ref="G130:G135" si="10">F130*E130</f>
        <v>10437</v>
      </c>
      <c r="I130" s="135">
        <f>'Прайс для расчета (М)'!E588</f>
        <v>5218.5</v>
      </c>
      <c r="J130" s="36">
        <f t="shared" ref="J130:J135" si="11">I130*E130</f>
        <v>5218.5</v>
      </c>
    </row>
    <row r="131" spans="2:10" ht="15.6" x14ac:dyDescent="0.25">
      <c r="B131" s="59"/>
      <c r="C131" s="65" t="s">
        <v>6</v>
      </c>
      <c r="D131" s="61" t="s">
        <v>0</v>
      </c>
      <c r="E131" s="62">
        <v>1</v>
      </c>
      <c r="F131" s="63">
        <f>'Прайс для расчета'!E589</f>
        <v>2236.5</v>
      </c>
      <c r="G131" s="64">
        <f t="shared" si="10"/>
        <v>2236.5</v>
      </c>
      <c r="I131" s="135">
        <f>'Прайс для расчета (М)'!E589</f>
        <v>1118.25</v>
      </c>
      <c r="J131" s="36">
        <f t="shared" si="11"/>
        <v>1118.25</v>
      </c>
    </row>
    <row r="132" spans="2:10" ht="15.6" x14ac:dyDescent="0.25">
      <c r="B132" s="59"/>
      <c r="C132" s="65" t="s">
        <v>7</v>
      </c>
      <c r="D132" s="61" t="s">
        <v>0</v>
      </c>
      <c r="E132" s="62">
        <v>1</v>
      </c>
      <c r="F132" s="63">
        <f>'Прайс для расчета'!E590</f>
        <v>1043.7</v>
      </c>
      <c r="G132" s="64">
        <f t="shared" si="10"/>
        <v>1043.7</v>
      </c>
      <c r="I132" s="135">
        <f>'Прайс для расчета (М)'!E590</f>
        <v>521.85</v>
      </c>
      <c r="J132" s="36">
        <f t="shared" si="11"/>
        <v>521.85</v>
      </c>
    </row>
    <row r="133" spans="2:10" ht="15.6" x14ac:dyDescent="0.25">
      <c r="B133" s="59"/>
      <c r="C133" s="65" t="s">
        <v>912</v>
      </c>
      <c r="D133" s="61" t="s">
        <v>0</v>
      </c>
      <c r="E133" s="62">
        <v>1</v>
      </c>
      <c r="F133" s="63">
        <f>'Прайс для расчета'!E591</f>
        <v>1043.7</v>
      </c>
      <c r="G133" s="64">
        <f t="shared" ref="G133:G134" si="12">F133*E133</f>
        <v>1043.7</v>
      </c>
      <c r="I133" s="135">
        <f>'Прайс для расчета (М)'!E591</f>
        <v>521.85</v>
      </c>
      <c r="J133" s="36">
        <f t="shared" si="11"/>
        <v>521.85</v>
      </c>
    </row>
    <row r="134" spans="2:10" ht="15.6" x14ac:dyDescent="0.25">
      <c r="B134" s="59"/>
      <c r="C134" s="65" t="s">
        <v>913</v>
      </c>
      <c r="D134" s="61" t="s">
        <v>0</v>
      </c>
      <c r="E134" s="62">
        <v>1</v>
      </c>
      <c r="F134" s="63">
        <f>'Прайс для расчета'!E592</f>
        <v>2907.4500000000003</v>
      </c>
      <c r="G134" s="64">
        <f t="shared" si="12"/>
        <v>2907.4500000000003</v>
      </c>
      <c r="I134" s="135">
        <f>'Прайс для расчета (М)'!E592</f>
        <v>1453.7250000000001</v>
      </c>
      <c r="J134" s="36">
        <f t="shared" si="11"/>
        <v>1453.7250000000001</v>
      </c>
    </row>
    <row r="135" spans="2:10" ht="18" customHeight="1" x14ac:dyDescent="0.25">
      <c r="B135" s="59"/>
      <c r="C135" s="65" t="s">
        <v>9</v>
      </c>
      <c r="D135" s="61" t="s">
        <v>0</v>
      </c>
      <c r="E135" s="62">
        <v>1</v>
      </c>
      <c r="F135" s="63">
        <f>'Прайс для расчета'!E593</f>
        <v>1491</v>
      </c>
      <c r="G135" s="64">
        <f t="shared" si="10"/>
        <v>1491</v>
      </c>
      <c r="I135" s="135">
        <f>'Прайс для расчета (М)'!E593</f>
        <v>745.5</v>
      </c>
      <c r="J135" s="36">
        <f t="shared" si="11"/>
        <v>745.5</v>
      </c>
    </row>
    <row r="136" spans="2:10" ht="15.6" x14ac:dyDescent="0.25">
      <c r="B136" s="110">
        <f>IF(SUM(B130:B135)&gt;0,1,0)</f>
        <v>0</v>
      </c>
      <c r="C136" s="266" t="s">
        <v>197</v>
      </c>
      <c r="D136" s="266"/>
      <c r="E136" s="266"/>
      <c r="F136" s="266"/>
      <c r="G136" s="157">
        <f>SUMIF(B130:B135,1,G130:G135)</f>
        <v>0</v>
      </c>
      <c r="J136" s="36">
        <f>SUMIF(B130:B135,1,J130:J135)</f>
        <v>0</v>
      </c>
    </row>
    <row r="137" spans="2:10" ht="15.6" x14ac:dyDescent="0.25">
      <c r="B137" s="153">
        <f>IF(SUM(B138:B156)&gt;0,1,0)</f>
        <v>0</v>
      </c>
      <c r="C137" s="164" t="s">
        <v>104</v>
      </c>
      <c r="D137" s="154"/>
      <c r="E137" s="154"/>
      <c r="F137" s="154"/>
      <c r="G137" s="154"/>
    </row>
    <row r="138" spans="2:10" ht="15.6" x14ac:dyDescent="0.25">
      <c r="B138" s="153">
        <f>IF(SUM(B139:B141)&gt;0,1,0)</f>
        <v>0</v>
      </c>
      <c r="C138" s="164" t="s">
        <v>105</v>
      </c>
      <c r="D138" s="154" t="s">
        <v>179</v>
      </c>
      <c r="E138" s="154" t="s">
        <v>180</v>
      </c>
      <c r="F138" s="154" t="s">
        <v>1</v>
      </c>
      <c r="G138" s="154" t="s">
        <v>181</v>
      </c>
      <c r="I138" s="36" t="s">
        <v>1</v>
      </c>
      <c r="J138" s="36" t="s">
        <v>181</v>
      </c>
    </row>
    <row r="139" spans="2:10" ht="15.6" x14ac:dyDescent="0.25">
      <c r="B139" s="59"/>
      <c r="C139" s="65" t="s">
        <v>106</v>
      </c>
      <c r="D139" s="61" t="s">
        <v>0</v>
      </c>
      <c r="E139" s="62">
        <v>1</v>
      </c>
      <c r="F139" s="63">
        <f>'Прайс для расчета'!E594</f>
        <v>11928</v>
      </c>
      <c r="G139" s="64">
        <f>F139*E139</f>
        <v>11928</v>
      </c>
      <c r="I139" s="135">
        <f>'Прайс для расчета (М)'!E594</f>
        <v>5964</v>
      </c>
      <c r="J139" s="36">
        <f>I139*E139</f>
        <v>5964</v>
      </c>
    </row>
    <row r="140" spans="2:10" ht="15.6" x14ac:dyDescent="0.25">
      <c r="B140" s="59"/>
      <c r="C140" s="65" t="s">
        <v>234</v>
      </c>
      <c r="D140" s="61" t="s">
        <v>0</v>
      </c>
      <c r="E140" s="62">
        <v>1</v>
      </c>
      <c r="F140" s="63">
        <f>'Прайс для расчета'!E595</f>
        <v>2236.5</v>
      </c>
      <c r="G140" s="64">
        <f>F140*E140</f>
        <v>2236.5</v>
      </c>
      <c r="I140" s="135">
        <f>'Прайс для расчета (М)'!E595</f>
        <v>1118.25</v>
      </c>
      <c r="J140" s="36">
        <f>I140*E140</f>
        <v>1118.25</v>
      </c>
    </row>
    <row r="141" spans="2:10" ht="15.6" x14ac:dyDescent="0.25">
      <c r="B141" s="59"/>
      <c r="C141" s="65" t="s">
        <v>236</v>
      </c>
      <c r="D141" s="61" t="s">
        <v>0</v>
      </c>
      <c r="E141" s="62">
        <v>1</v>
      </c>
      <c r="F141" s="63">
        <f>'Прайс для расчета'!E596</f>
        <v>894.6</v>
      </c>
      <c r="G141" s="64">
        <f>F141*E141</f>
        <v>894.6</v>
      </c>
      <c r="I141" s="135">
        <f>'Прайс для расчета (М)'!E596</f>
        <v>447.3</v>
      </c>
      <c r="J141" s="36">
        <f>I141*E141</f>
        <v>447.3</v>
      </c>
    </row>
    <row r="142" spans="2:10" ht="15.6" x14ac:dyDescent="0.25">
      <c r="B142" s="56">
        <f>IF(SUM(B143:B146)&gt;0,1,0)</f>
        <v>0</v>
      </c>
      <c r="C142" s="57" t="s">
        <v>107</v>
      </c>
      <c r="D142" s="58" t="s">
        <v>179</v>
      </c>
      <c r="E142" s="58" t="s">
        <v>180</v>
      </c>
      <c r="F142" s="58" t="s">
        <v>1</v>
      </c>
      <c r="G142" s="58" t="s">
        <v>181</v>
      </c>
      <c r="I142" s="36" t="s">
        <v>1</v>
      </c>
      <c r="J142" s="36" t="s">
        <v>181</v>
      </c>
    </row>
    <row r="143" spans="2:10" ht="15.6" x14ac:dyDescent="0.25">
      <c r="B143" s="59"/>
      <c r="C143" s="65" t="s">
        <v>108</v>
      </c>
      <c r="D143" s="61" t="s">
        <v>0</v>
      </c>
      <c r="E143" s="62">
        <v>1</v>
      </c>
      <c r="F143" s="63">
        <f>'Прайс для расчета'!E597</f>
        <v>22365</v>
      </c>
      <c r="G143" s="64">
        <f>F143*E143</f>
        <v>22365</v>
      </c>
      <c r="I143" s="135">
        <f>'Прайс для расчета (М)'!E597</f>
        <v>11182.5</v>
      </c>
      <c r="J143" s="36">
        <f>I143*E143</f>
        <v>11182.5</v>
      </c>
    </row>
    <row r="144" spans="2:10" ht="15.6" x14ac:dyDescent="0.25">
      <c r="B144" s="59"/>
      <c r="C144" s="65" t="s">
        <v>235</v>
      </c>
      <c r="D144" s="61" t="s">
        <v>0</v>
      </c>
      <c r="E144" s="62">
        <v>1</v>
      </c>
      <c r="F144" s="63">
        <f>'Прайс для расчета'!E598</f>
        <v>2236.5</v>
      </c>
      <c r="G144" s="64">
        <f>F144*E144</f>
        <v>2236.5</v>
      </c>
      <c r="I144" s="135">
        <f>'Прайс для расчета (М)'!E598</f>
        <v>1118.25</v>
      </c>
      <c r="J144" s="36">
        <f>I144*E144</f>
        <v>1118.25</v>
      </c>
    </row>
    <row r="145" spans="2:10" ht="15.6" x14ac:dyDescent="0.25">
      <c r="B145" s="59"/>
      <c r="C145" s="65" t="s">
        <v>237</v>
      </c>
      <c r="D145" s="61" t="s">
        <v>0</v>
      </c>
      <c r="E145" s="62">
        <v>1</v>
      </c>
      <c r="F145" s="63">
        <f>'Прайс для расчета'!E599</f>
        <v>894.6</v>
      </c>
      <c r="G145" s="64">
        <f>F145*E145</f>
        <v>894.6</v>
      </c>
      <c r="I145" s="135">
        <f>'Прайс для расчета (М)'!E599</f>
        <v>447.3</v>
      </c>
      <c r="J145" s="36">
        <f>I145*E145</f>
        <v>447.3</v>
      </c>
    </row>
    <row r="146" spans="2:10" ht="15.6" x14ac:dyDescent="0.25">
      <c r="B146" s="59"/>
      <c r="C146" s="65" t="s">
        <v>109</v>
      </c>
      <c r="D146" s="61" t="s">
        <v>0</v>
      </c>
      <c r="E146" s="62">
        <v>1</v>
      </c>
      <c r="F146" s="63">
        <f>'Прайс для расчета'!E600</f>
        <v>1118.25</v>
      </c>
      <c r="G146" s="64">
        <f>F146*E146</f>
        <v>1118.25</v>
      </c>
      <c r="I146" s="135">
        <f>'Прайс для расчета (М)'!E600</f>
        <v>559.125</v>
      </c>
      <c r="J146" s="36">
        <f>I146*E146</f>
        <v>559.125</v>
      </c>
    </row>
    <row r="147" spans="2:10" ht="15.6" x14ac:dyDescent="0.25">
      <c r="B147" s="56">
        <f>IF(SUM(B148:B156)&gt;0,1,0)</f>
        <v>0</v>
      </c>
      <c r="C147" s="57" t="s">
        <v>110</v>
      </c>
      <c r="D147" s="58" t="s">
        <v>179</v>
      </c>
      <c r="E147" s="58" t="s">
        <v>180</v>
      </c>
      <c r="F147" s="58" t="s">
        <v>1</v>
      </c>
      <c r="G147" s="58" t="s">
        <v>181</v>
      </c>
      <c r="I147" s="36" t="s">
        <v>1</v>
      </c>
      <c r="J147" s="36" t="s">
        <v>181</v>
      </c>
    </row>
    <row r="148" spans="2:10" ht="15.6" x14ac:dyDescent="0.25">
      <c r="B148" s="59"/>
      <c r="C148" s="65" t="s">
        <v>111</v>
      </c>
      <c r="D148" s="61" t="s">
        <v>0</v>
      </c>
      <c r="E148" s="62">
        <v>1</v>
      </c>
      <c r="F148" s="63">
        <f>'Прайс для расчета'!E601</f>
        <v>9691.5</v>
      </c>
      <c r="G148" s="64">
        <f>F148*E148</f>
        <v>9691.5</v>
      </c>
      <c r="I148" s="135">
        <f>'Прайс для расчета (М)'!E601</f>
        <v>4845.75</v>
      </c>
      <c r="J148" s="36">
        <f t="shared" ref="J148:J156" si="13">I148*E148</f>
        <v>4845.75</v>
      </c>
    </row>
    <row r="149" spans="2:10" ht="15.6" x14ac:dyDescent="0.25">
      <c r="B149" s="59"/>
      <c r="C149" s="65" t="s">
        <v>112</v>
      </c>
      <c r="D149" s="61" t="s">
        <v>0</v>
      </c>
      <c r="E149" s="62">
        <v>1</v>
      </c>
      <c r="F149" s="63">
        <f>'Прайс для расчета'!E602</f>
        <v>8200.5</v>
      </c>
      <c r="G149" s="64">
        <f>F149*E149</f>
        <v>8200.5</v>
      </c>
      <c r="I149" s="135">
        <f>'Прайс для расчета (М)'!E602</f>
        <v>4100.25</v>
      </c>
      <c r="J149" s="36">
        <f t="shared" si="13"/>
        <v>4100.25</v>
      </c>
    </row>
    <row r="150" spans="2:10" ht="15.6" x14ac:dyDescent="0.25">
      <c r="B150" s="59"/>
      <c r="C150" s="65" t="s">
        <v>914</v>
      </c>
      <c r="D150" s="61" t="s">
        <v>0</v>
      </c>
      <c r="E150" s="62">
        <v>1</v>
      </c>
      <c r="F150" s="63">
        <f>'Прайс для расчета'!E603</f>
        <v>10437</v>
      </c>
      <c r="G150" s="64">
        <f t="shared" ref="G150:G154" si="14">F150*E150</f>
        <v>10437</v>
      </c>
      <c r="I150" s="135">
        <f>'Прайс для расчета (М)'!E603</f>
        <v>5218.5</v>
      </c>
      <c r="J150" s="36">
        <f t="shared" si="13"/>
        <v>5218.5</v>
      </c>
    </row>
    <row r="151" spans="2:10" ht="15.6" x14ac:dyDescent="0.25">
      <c r="B151" s="59"/>
      <c r="C151" s="65" t="s">
        <v>915</v>
      </c>
      <c r="D151" s="61" t="s">
        <v>0</v>
      </c>
      <c r="E151" s="62">
        <v>1</v>
      </c>
      <c r="F151" s="63">
        <f>'Прайс для расчета'!E604</f>
        <v>8946</v>
      </c>
      <c r="G151" s="64">
        <f t="shared" si="14"/>
        <v>8946</v>
      </c>
      <c r="I151" s="135">
        <f>'Прайс для расчета (М)'!E604</f>
        <v>4473</v>
      </c>
      <c r="J151" s="36">
        <f t="shared" si="13"/>
        <v>4473</v>
      </c>
    </row>
    <row r="152" spans="2:10" ht="15.6" x14ac:dyDescent="0.25">
      <c r="B152" s="59"/>
      <c r="C152" s="65" t="s">
        <v>916</v>
      </c>
      <c r="D152" s="61" t="s">
        <v>0</v>
      </c>
      <c r="E152" s="62">
        <v>1</v>
      </c>
      <c r="F152" s="63">
        <f>'Прайс для расчета'!E605</f>
        <v>6709.5</v>
      </c>
      <c r="G152" s="64">
        <f t="shared" si="14"/>
        <v>6709.5</v>
      </c>
      <c r="I152" s="135">
        <f>'Прайс для расчета (М)'!E605</f>
        <v>3354.75</v>
      </c>
      <c r="J152" s="36">
        <f t="shared" si="13"/>
        <v>3354.75</v>
      </c>
    </row>
    <row r="153" spans="2:10" ht="15.6" x14ac:dyDescent="0.25">
      <c r="B153" s="59"/>
      <c r="C153" s="65" t="s">
        <v>917</v>
      </c>
      <c r="D153" s="61" t="s">
        <v>0</v>
      </c>
      <c r="E153" s="62">
        <v>1</v>
      </c>
      <c r="F153" s="63">
        <f>'Прайс для расчета'!E606</f>
        <v>6709.5</v>
      </c>
      <c r="G153" s="64">
        <f t="shared" si="14"/>
        <v>6709.5</v>
      </c>
      <c r="I153" s="135">
        <f>'Прайс для расчета (М)'!E606</f>
        <v>3354.75</v>
      </c>
      <c r="J153" s="36">
        <f t="shared" si="13"/>
        <v>3354.75</v>
      </c>
    </row>
    <row r="154" spans="2:10" ht="15.6" x14ac:dyDescent="0.25">
      <c r="B154" s="59"/>
      <c r="C154" s="65" t="s">
        <v>918</v>
      </c>
      <c r="D154" s="61" t="s">
        <v>0</v>
      </c>
      <c r="E154" s="62">
        <v>1</v>
      </c>
      <c r="F154" s="63">
        <f>'Прайс для расчета'!E607</f>
        <v>2236.5</v>
      </c>
      <c r="G154" s="64">
        <f t="shared" si="14"/>
        <v>2236.5</v>
      </c>
      <c r="I154" s="135">
        <f>'Прайс для расчета (М)'!E607</f>
        <v>1118.25</v>
      </c>
      <c r="J154" s="36">
        <f t="shared" si="13"/>
        <v>1118.25</v>
      </c>
    </row>
    <row r="155" spans="2:10" ht="15.6" x14ac:dyDescent="0.25">
      <c r="B155" s="59"/>
      <c r="C155" s="65" t="s">
        <v>278</v>
      </c>
      <c r="D155" s="61" t="s">
        <v>0</v>
      </c>
      <c r="E155" s="62">
        <v>1</v>
      </c>
      <c r="F155" s="63">
        <f>'Прайс для расчета'!E608</f>
        <v>1341.9</v>
      </c>
      <c r="G155" s="64">
        <f>F155*E155</f>
        <v>1341.9</v>
      </c>
      <c r="I155" s="135">
        <f>'Прайс для расчета (М)'!E608</f>
        <v>670.95</v>
      </c>
      <c r="J155" s="36">
        <f t="shared" si="13"/>
        <v>670.95</v>
      </c>
    </row>
    <row r="156" spans="2:10" ht="15.6" x14ac:dyDescent="0.25">
      <c r="B156" s="59"/>
      <c r="C156" s="65" t="s">
        <v>113</v>
      </c>
      <c r="D156" s="61" t="s">
        <v>0</v>
      </c>
      <c r="E156" s="62">
        <v>1</v>
      </c>
      <c r="F156" s="63">
        <f>'Прайс для расчета'!E609</f>
        <v>1118.25</v>
      </c>
      <c r="G156" s="64">
        <f>F156*E156</f>
        <v>1118.25</v>
      </c>
      <c r="I156" s="135">
        <f>'Прайс для расчета (М)'!E609</f>
        <v>559.125</v>
      </c>
      <c r="J156" s="36">
        <f t="shared" si="13"/>
        <v>559.125</v>
      </c>
    </row>
    <row r="157" spans="2:10" ht="15.6" x14ac:dyDescent="0.25">
      <c r="B157" s="110">
        <f>IF(SUM(B138:B156)&gt;0,1,0)</f>
        <v>0</v>
      </c>
      <c r="C157" s="266" t="s">
        <v>198</v>
      </c>
      <c r="D157" s="266"/>
      <c r="E157" s="266"/>
      <c r="F157" s="266"/>
      <c r="G157" s="157">
        <f>SUMIF(B139:B156,1,G139:G156)</f>
        <v>0</v>
      </c>
      <c r="J157" s="36">
        <f>SUMIF(B139:B156,1,J139:J156)</f>
        <v>0</v>
      </c>
    </row>
    <row r="158" spans="2:10" ht="15.6" x14ac:dyDescent="0.25">
      <c r="B158" s="153">
        <f>IF(SUM(B159:B230)&gt;0,1,0)</f>
        <v>0</v>
      </c>
      <c r="C158" s="164" t="s">
        <v>65</v>
      </c>
      <c r="D158" s="154"/>
      <c r="E158" s="154"/>
      <c r="F158" s="154"/>
      <c r="G158" s="154"/>
    </row>
    <row r="159" spans="2:10" ht="15.6" x14ac:dyDescent="0.25">
      <c r="B159" s="153">
        <f>IF(SUM(B160:B184)&gt;0,1,0)</f>
        <v>0</v>
      </c>
      <c r="C159" s="164" t="s">
        <v>168</v>
      </c>
      <c r="D159" s="154" t="s">
        <v>179</v>
      </c>
      <c r="E159" s="154" t="s">
        <v>180</v>
      </c>
      <c r="F159" s="154" t="s">
        <v>1</v>
      </c>
      <c r="G159" s="154" t="s">
        <v>181</v>
      </c>
      <c r="I159" s="36" t="s">
        <v>1</v>
      </c>
      <c r="J159" s="36" t="s">
        <v>181</v>
      </c>
    </row>
    <row r="160" spans="2:10" ht="15.6" x14ac:dyDescent="0.25">
      <c r="B160" s="59"/>
      <c r="C160" s="65" t="s">
        <v>243</v>
      </c>
      <c r="D160" s="61" t="s">
        <v>0</v>
      </c>
      <c r="E160" s="62">
        <v>1</v>
      </c>
      <c r="F160" s="63">
        <f>'Прайс для расчета'!E610</f>
        <v>1968.12</v>
      </c>
      <c r="G160" s="64">
        <f t="shared" ref="G160:G179" si="15">F160*E160</f>
        <v>1968.12</v>
      </c>
      <c r="I160" s="135">
        <f>'Прайс для расчета (М)'!E610</f>
        <v>984.06</v>
      </c>
      <c r="J160" s="36">
        <f t="shared" ref="J160:J179" si="16">I160*E160</f>
        <v>984.06</v>
      </c>
    </row>
    <row r="161" spans="2:10" ht="15.6" x14ac:dyDescent="0.25">
      <c r="B161" s="59"/>
      <c r="C161" s="65" t="s">
        <v>244</v>
      </c>
      <c r="D161" s="61" t="s">
        <v>0</v>
      </c>
      <c r="E161" s="62">
        <v>1</v>
      </c>
      <c r="F161" s="63">
        <f>'Прайс для расчета'!E611</f>
        <v>1431.36</v>
      </c>
      <c r="G161" s="64">
        <f t="shared" si="15"/>
        <v>1431.36</v>
      </c>
      <c r="I161" s="135">
        <f>'Прайс для расчета (М)'!E611</f>
        <v>715.68</v>
      </c>
      <c r="J161" s="36">
        <f t="shared" si="16"/>
        <v>715.68</v>
      </c>
    </row>
    <row r="162" spans="2:10" ht="15.6" x14ac:dyDescent="0.25">
      <c r="B162" s="59"/>
      <c r="C162" s="65" t="s">
        <v>725</v>
      </c>
      <c r="D162" s="61" t="s">
        <v>0</v>
      </c>
      <c r="E162" s="62">
        <v>1</v>
      </c>
      <c r="F162" s="63">
        <f>'Прайс для расчета'!E612</f>
        <v>894.6</v>
      </c>
      <c r="G162" s="64">
        <f t="shared" si="15"/>
        <v>894.6</v>
      </c>
      <c r="I162" s="135">
        <f>'Прайс для расчета (М)'!E612</f>
        <v>447.3</v>
      </c>
      <c r="J162" s="36">
        <f t="shared" si="16"/>
        <v>447.3</v>
      </c>
    </row>
    <row r="163" spans="2:10" ht="15.6" x14ac:dyDescent="0.25">
      <c r="B163" s="59"/>
      <c r="C163" s="65" t="s">
        <v>66</v>
      </c>
      <c r="D163" s="61" t="s">
        <v>0</v>
      </c>
      <c r="E163" s="62">
        <v>1</v>
      </c>
      <c r="F163" s="63">
        <f>'Прайс для расчета'!E613</f>
        <v>3578.4</v>
      </c>
      <c r="G163" s="64">
        <f t="shared" si="15"/>
        <v>3578.4</v>
      </c>
      <c r="I163" s="135">
        <f>'Прайс для расчета (М)'!E613</f>
        <v>1789.2</v>
      </c>
      <c r="J163" s="36">
        <f t="shared" si="16"/>
        <v>1789.2</v>
      </c>
    </row>
    <row r="164" spans="2:10" ht="15.6" x14ac:dyDescent="0.25">
      <c r="B164" s="59"/>
      <c r="C164" s="65" t="s">
        <v>67</v>
      </c>
      <c r="D164" s="61" t="s">
        <v>0</v>
      </c>
      <c r="E164" s="62">
        <v>1</v>
      </c>
      <c r="F164" s="63">
        <f>'Прайс для расчета'!E614</f>
        <v>1789.2</v>
      </c>
      <c r="G164" s="64">
        <f t="shared" si="15"/>
        <v>1789.2</v>
      </c>
      <c r="I164" s="135">
        <f>'Прайс для расчета (М)'!E614</f>
        <v>894.6</v>
      </c>
      <c r="J164" s="36">
        <f t="shared" si="16"/>
        <v>894.6</v>
      </c>
    </row>
    <row r="165" spans="2:10" ht="15.6" x14ac:dyDescent="0.25">
      <c r="B165" s="59"/>
      <c r="C165" s="65" t="s">
        <v>210</v>
      </c>
      <c r="D165" s="61" t="s">
        <v>0</v>
      </c>
      <c r="E165" s="62">
        <v>1</v>
      </c>
      <c r="F165" s="63">
        <f>'Прайс для расчета'!E615</f>
        <v>1043.7</v>
      </c>
      <c r="G165" s="64">
        <f t="shared" si="15"/>
        <v>1043.7</v>
      </c>
      <c r="I165" s="135">
        <f>'Прайс для расчета (М)'!E615</f>
        <v>521.85</v>
      </c>
      <c r="J165" s="36">
        <f t="shared" si="16"/>
        <v>521.85</v>
      </c>
    </row>
    <row r="166" spans="2:10" ht="15.6" x14ac:dyDescent="0.25">
      <c r="B166" s="59"/>
      <c r="C166" s="65" t="s">
        <v>273</v>
      </c>
      <c r="D166" s="61" t="s">
        <v>0</v>
      </c>
      <c r="E166" s="62">
        <v>1</v>
      </c>
      <c r="F166" s="63">
        <f>'Прайс для расчета'!E616</f>
        <v>2982</v>
      </c>
      <c r="G166" s="64">
        <f t="shared" si="15"/>
        <v>2982</v>
      </c>
      <c r="I166" s="135">
        <f>'Прайс для расчета (М)'!E616</f>
        <v>1491</v>
      </c>
      <c r="J166" s="36">
        <f t="shared" si="16"/>
        <v>1491</v>
      </c>
    </row>
    <row r="167" spans="2:10" ht="15.6" x14ac:dyDescent="0.25">
      <c r="B167" s="59"/>
      <c r="C167" s="65" t="s">
        <v>211</v>
      </c>
      <c r="D167" s="61" t="s">
        <v>0</v>
      </c>
      <c r="E167" s="62">
        <v>1</v>
      </c>
      <c r="F167" s="63">
        <f>'Прайс для расчета'!E617</f>
        <v>1491</v>
      </c>
      <c r="G167" s="64">
        <f t="shared" si="15"/>
        <v>1491</v>
      </c>
      <c r="I167" s="135">
        <f>'Прайс для расчета (М)'!E617</f>
        <v>745.5</v>
      </c>
      <c r="J167" s="36">
        <f t="shared" si="16"/>
        <v>745.5</v>
      </c>
    </row>
    <row r="168" spans="2:10" ht="15.6" x14ac:dyDescent="0.25">
      <c r="B168" s="59"/>
      <c r="C168" s="65" t="s">
        <v>275</v>
      </c>
      <c r="D168" s="61" t="s">
        <v>0</v>
      </c>
      <c r="E168" s="62">
        <v>1</v>
      </c>
      <c r="F168" s="63">
        <f>'Прайс для расчета'!E618</f>
        <v>596.4</v>
      </c>
      <c r="G168" s="64">
        <f t="shared" si="15"/>
        <v>596.4</v>
      </c>
      <c r="I168" s="135">
        <f>'Прайс для расчета (М)'!E618</f>
        <v>298.2</v>
      </c>
      <c r="J168" s="36">
        <f t="shared" si="16"/>
        <v>298.2</v>
      </c>
    </row>
    <row r="169" spans="2:10" ht="15.6" x14ac:dyDescent="0.25">
      <c r="B169" s="59"/>
      <c r="C169" s="65" t="s">
        <v>276</v>
      </c>
      <c r="D169" s="61" t="s">
        <v>0</v>
      </c>
      <c r="E169" s="62">
        <v>1</v>
      </c>
      <c r="F169" s="63">
        <f>'Прайс для расчета'!E619</f>
        <v>1118.25</v>
      </c>
      <c r="G169" s="64">
        <f t="shared" si="15"/>
        <v>1118.25</v>
      </c>
      <c r="I169" s="135">
        <f>'Прайс для расчета (М)'!E619</f>
        <v>559.125</v>
      </c>
      <c r="J169" s="36">
        <f t="shared" si="16"/>
        <v>559.125</v>
      </c>
    </row>
    <row r="170" spans="2:10" ht="15.6" x14ac:dyDescent="0.25">
      <c r="B170" s="59"/>
      <c r="C170" s="65" t="s">
        <v>277</v>
      </c>
      <c r="D170" s="61" t="s">
        <v>0</v>
      </c>
      <c r="E170" s="62">
        <v>1</v>
      </c>
      <c r="F170" s="63">
        <f>'Прайс для расчета'!E620</f>
        <v>447.3</v>
      </c>
      <c r="G170" s="64">
        <f t="shared" si="15"/>
        <v>447.3</v>
      </c>
      <c r="I170" s="135">
        <f>'Прайс для расчета (М)'!E620</f>
        <v>223.65</v>
      </c>
      <c r="J170" s="36">
        <f t="shared" si="16"/>
        <v>223.65</v>
      </c>
    </row>
    <row r="171" spans="2:10" ht="15.6" x14ac:dyDescent="0.25">
      <c r="B171" s="59"/>
      <c r="C171" s="65" t="s">
        <v>251</v>
      </c>
      <c r="D171" s="61" t="s">
        <v>0</v>
      </c>
      <c r="E171" s="62">
        <v>1</v>
      </c>
      <c r="F171" s="63">
        <f>'Прайс для расчета'!E621</f>
        <v>596.4</v>
      </c>
      <c r="G171" s="64">
        <f t="shared" si="15"/>
        <v>596.4</v>
      </c>
      <c r="I171" s="135">
        <f>'Прайс для расчета (М)'!E621</f>
        <v>298.2</v>
      </c>
      <c r="J171" s="36">
        <f t="shared" si="16"/>
        <v>298.2</v>
      </c>
    </row>
    <row r="172" spans="2:10" ht="15.6" x14ac:dyDescent="0.25">
      <c r="B172" s="59"/>
      <c r="C172" s="65" t="s">
        <v>252</v>
      </c>
      <c r="D172" s="61" t="s">
        <v>0</v>
      </c>
      <c r="E172" s="62">
        <v>1</v>
      </c>
      <c r="F172" s="63">
        <f>'Прайс для расчета'!E622</f>
        <v>1192.8</v>
      </c>
      <c r="G172" s="64">
        <f t="shared" si="15"/>
        <v>1192.8</v>
      </c>
      <c r="I172" s="135">
        <f>'Прайс для расчета (М)'!E622</f>
        <v>596.4</v>
      </c>
      <c r="J172" s="36">
        <f t="shared" si="16"/>
        <v>596.4</v>
      </c>
    </row>
    <row r="173" spans="2:10" ht="15.6" x14ac:dyDescent="0.25">
      <c r="B173" s="59"/>
      <c r="C173" s="65" t="s">
        <v>68</v>
      </c>
      <c r="D173" s="61" t="s">
        <v>0</v>
      </c>
      <c r="E173" s="62">
        <v>1</v>
      </c>
      <c r="F173" s="63">
        <f>'Прайс для расчета'!E623</f>
        <v>447.3</v>
      </c>
      <c r="G173" s="64">
        <f t="shared" si="15"/>
        <v>447.3</v>
      </c>
      <c r="I173" s="135">
        <f>'Прайс для расчета (М)'!E623</f>
        <v>223.65</v>
      </c>
      <c r="J173" s="36">
        <f t="shared" si="16"/>
        <v>223.65</v>
      </c>
    </row>
    <row r="174" spans="2:10" ht="15.6" x14ac:dyDescent="0.25">
      <c r="B174" s="59"/>
      <c r="C174" s="65" t="s">
        <v>69</v>
      </c>
      <c r="D174" s="61" t="s">
        <v>0</v>
      </c>
      <c r="E174" s="62">
        <v>1</v>
      </c>
      <c r="F174" s="63">
        <f>'Прайс для расчета'!E624</f>
        <v>357.84</v>
      </c>
      <c r="G174" s="64">
        <f t="shared" si="15"/>
        <v>357.84</v>
      </c>
      <c r="I174" s="135">
        <f>'Прайс для расчета (М)'!E624</f>
        <v>178.92</v>
      </c>
      <c r="J174" s="36">
        <f t="shared" si="16"/>
        <v>178.92</v>
      </c>
    </row>
    <row r="175" spans="2:10" ht="15.6" x14ac:dyDescent="0.25">
      <c r="B175" s="59"/>
      <c r="C175" s="65" t="s">
        <v>70</v>
      </c>
      <c r="D175" s="61" t="s">
        <v>0</v>
      </c>
      <c r="E175" s="62">
        <v>1</v>
      </c>
      <c r="F175" s="63">
        <f>'Прайс для расчета'!E625</f>
        <v>208.73999999999998</v>
      </c>
      <c r="G175" s="64">
        <f t="shared" si="15"/>
        <v>208.73999999999998</v>
      </c>
      <c r="I175" s="135">
        <f>'Прайс для расчета (М)'!E625</f>
        <v>104.36999999999999</v>
      </c>
      <c r="J175" s="36">
        <f t="shared" si="16"/>
        <v>104.36999999999999</v>
      </c>
    </row>
    <row r="176" spans="2:10" ht="15.6" x14ac:dyDescent="0.25">
      <c r="B176" s="59"/>
      <c r="C176" s="65" t="s">
        <v>71</v>
      </c>
      <c r="D176" s="61" t="s">
        <v>0</v>
      </c>
      <c r="E176" s="62">
        <v>1</v>
      </c>
      <c r="F176" s="63">
        <f>'Прайс для расчета'!E626</f>
        <v>6709.5</v>
      </c>
      <c r="G176" s="64">
        <f t="shared" si="15"/>
        <v>6709.5</v>
      </c>
      <c r="I176" s="135">
        <f>'Прайс для расчета (М)'!E626</f>
        <v>3354.75</v>
      </c>
      <c r="J176" s="36">
        <f t="shared" si="16"/>
        <v>3354.75</v>
      </c>
    </row>
    <row r="177" spans="2:10" ht="15.6" x14ac:dyDescent="0.25">
      <c r="B177" s="59"/>
      <c r="C177" s="65" t="s">
        <v>72</v>
      </c>
      <c r="D177" s="61" t="s">
        <v>0</v>
      </c>
      <c r="E177" s="62">
        <v>1</v>
      </c>
      <c r="F177" s="63">
        <f>'Прайс для расчета'!E627</f>
        <v>7455</v>
      </c>
      <c r="G177" s="64">
        <f t="shared" si="15"/>
        <v>7455</v>
      </c>
      <c r="I177" s="135">
        <f>'Прайс для расчета (М)'!E627</f>
        <v>3727.5</v>
      </c>
      <c r="J177" s="36">
        <f t="shared" si="16"/>
        <v>3727.5</v>
      </c>
    </row>
    <row r="178" spans="2:10" ht="15.6" x14ac:dyDescent="0.25">
      <c r="B178" s="59"/>
      <c r="C178" s="65" t="s">
        <v>73</v>
      </c>
      <c r="D178" s="61" t="s">
        <v>0</v>
      </c>
      <c r="E178" s="62">
        <v>1</v>
      </c>
      <c r="F178" s="63">
        <f>'Прайс для расчета'!E628</f>
        <v>8200.5</v>
      </c>
      <c r="G178" s="64">
        <f t="shared" si="15"/>
        <v>8200.5</v>
      </c>
      <c r="I178" s="135">
        <f>'Прайс для расчета (М)'!E628</f>
        <v>4100.25</v>
      </c>
      <c r="J178" s="36">
        <f t="shared" si="16"/>
        <v>4100.25</v>
      </c>
    </row>
    <row r="179" spans="2:10" ht="15.6" x14ac:dyDescent="0.25">
      <c r="B179" s="59"/>
      <c r="C179" s="65" t="s">
        <v>74</v>
      </c>
      <c r="D179" s="61" t="s">
        <v>0</v>
      </c>
      <c r="E179" s="62">
        <v>1</v>
      </c>
      <c r="F179" s="63">
        <f>'Прайс для расчета'!E629</f>
        <v>8946</v>
      </c>
      <c r="G179" s="64">
        <f t="shared" si="15"/>
        <v>8946</v>
      </c>
      <c r="I179" s="135">
        <f>'Прайс для расчета (М)'!E629</f>
        <v>4473</v>
      </c>
      <c r="J179" s="36">
        <f t="shared" si="16"/>
        <v>4473</v>
      </c>
    </row>
    <row r="180" spans="2:10" ht="15.6" x14ac:dyDescent="0.25">
      <c r="B180" s="59"/>
      <c r="C180" s="65" t="s">
        <v>75</v>
      </c>
      <c r="D180" s="61" t="s">
        <v>0</v>
      </c>
      <c r="E180" s="62">
        <v>1</v>
      </c>
      <c r="F180" s="63">
        <f>'Прайс для расчета'!E630</f>
        <v>8946</v>
      </c>
      <c r="G180" s="64">
        <v>7000</v>
      </c>
      <c r="I180" s="135">
        <f>'Прайс для расчета (М)'!E630</f>
        <v>4473</v>
      </c>
      <c r="J180" s="36">
        <v>7000</v>
      </c>
    </row>
    <row r="181" spans="2:10" ht="15.6" x14ac:dyDescent="0.25">
      <c r="B181" s="59"/>
      <c r="C181" s="65" t="s">
        <v>76</v>
      </c>
      <c r="D181" s="61" t="s">
        <v>0</v>
      </c>
      <c r="E181" s="62">
        <v>1</v>
      </c>
      <c r="F181" s="63">
        <f>'Прайс для расчета'!E631</f>
        <v>8946</v>
      </c>
      <c r="G181" s="64">
        <v>8000</v>
      </c>
      <c r="I181" s="135">
        <f>'Прайс для расчета (М)'!E631</f>
        <v>4473</v>
      </c>
      <c r="J181" s="36">
        <v>8000</v>
      </c>
    </row>
    <row r="182" spans="2:10" ht="15.6" x14ac:dyDescent="0.25">
      <c r="B182" s="59"/>
      <c r="C182" s="65" t="s">
        <v>77</v>
      </c>
      <c r="D182" s="61" t="s">
        <v>0</v>
      </c>
      <c r="E182" s="62">
        <v>1</v>
      </c>
      <c r="F182" s="63">
        <f>'Прайс для расчета'!E632</f>
        <v>10735.2</v>
      </c>
      <c r="G182" s="64">
        <v>9000</v>
      </c>
      <c r="I182" s="135">
        <f>'Прайс для расчета (М)'!E632</f>
        <v>5367.6</v>
      </c>
      <c r="J182" s="36">
        <v>9000</v>
      </c>
    </row>
    <row r="183" spans="2:10" ht="15.6" x14ac:dyDescent="0.25">
      <c r="B183" s="59"/>
      <c r="C183" s="65" t="s">
        <v>253</v>
      </c>
      <c r="D183" s="61" t="s">
        <v>0</v>
      </c>
      <c r="E183" s="62">
        <v>1</v>
      </c>
      <c r="F183" s="63">
        <f>'Прайс для расчета'!E633</f>
        <v>5218.5</v>
      </c>
      <c r="G183" s="64">
        <v>3500</v>
      </c>
      <c r="I183" s="135">
        <f>'Прайс для расчета (М)'!E633</f>
        <v>2609.25</v>
      </c>
      <c r="J183" s="36">
        <v>3500</v>
      </c>
    </row>
    <row r="184" spans="2:10" ht="15.6" x14ac:dyDescent="0.25">
      <c r="B184" s="59"/>
      <c r="C184" s="65" t="s">
        <v>78</v>
      </c>
      <c r="D184" s="61" t="s">
        <v>0</v>
      </c>
      <c r="E184" s="62">
        <v>1</v>
      </c>
      <c r="F184" s="63">
        <f>'Прайс для расчета'!E634</f>
        <v>5218.5</v>
      </c>
      <c r="G184" s="64">
        <f>F184*E184</f>
        <v>5218.5</v>
      </c>
      <c r="I184" s="135">
        <f>'Прайс для расчета (М)'!E634</f>
        <v>2609.25</v>
      </c>
      <c r="J184" s="36">
        <f>I184*E184</f>
        <v>2609.25</v>
      </c>
    </row>
    <row r="185" spans="2:10" ht="15.6" x14ac:dyDescent="0.25">
      <c r="B185" s="56">
        <f>IF(SUM(B186:B230)&gt;0,1,0)</f>
        <v>0</v>
      </c>
      <c r="C185" s="57" t="s">
        <v>169</v>
      </c>
      <c r="D185" s="58" t="s">
        <v>179</v>
      </c>
      <c r="E185" s="58" t="s">
        <v>180</v>
      </c>
      <c r="F185" s="58" t="s">
        <v>1</v>
      </c>
      <c r="G185" s="58" t="s">
        <v>181</v>
      </c>
      <c r="I185" s="36" t="s">
        <v>1</v>
      </c>
      <c r="J185" s="36" t="s">
        <v>181</v>
      </c>
    </row>
    <row r="186" spans="2:10" ht="15.6" x14ac:dyDescent="0.25">
      <c r="B186" s="59"/>
      <c r="C186" s="65" t="s">
        <v>254</v>
      </c>
      <c r="D186" s="61" t="s">
        <v>3</v>
      </c>
      <c r="E186" s="62">
        <v>1</v>
      </c>
      <c r="F186" s="63">
        <f>'Прайс для расчета'!E635</f>
        <v>1997.94</v>
      </c>
      <c r="G186" s="64">
        <f t="shared" ref="G186:G199" si="17">F186*E186</f>
        <v>1997.94</v>
      </c>
      <c r="I186" s="135">
        <f>'Прайс для расчета (М)'!E635</f>
        <v>998.97</v>
      </c>
      <c r="J186" s="36">
        <f t="shared" ref="J186:J199" si="18">I186*E186</f>
        <v>998.97</v>
      </c>
    </row>
    <row r="187" spans="2:10" ht="15.6" x14ac:dyDescent="0.25">
      <c r="B187" s="59"/>
      <c r="C187" s="65" t="s">
        <v>255</v>
      </c>
      <c r="D187" s="61" t="s">
        <v>3</v>
      </c>
      <c r="E187" s="62">
        <v>1</v>
      </c>
      <c r="F187" s="63">
        <f>'Прайс для расчета'!E636</f>
        <v>2534.7000000000003</v>
      </c>
      <c r="G187" s="64">
        <f t="shared" si="17"/>
        <v>2534.7000000000003</v>
      </c>
      <c r="I187" s="135">
        <f>'Прайс для расчета (М)'!E636</f>
        <v>1267.3500000000001</v>
      </c>
      <c r="J187" s="36">
        <f t="shared" si="18"/>
        <v>1267.3500000000001</v>
      </c>
    </row>
    <row r="188" spans="2:10" ht="15.6" x14ac:dyDescent="0.25">
      <c r="B188" s="59"/>
      <c r="C188" s="65" t="s">
        <v>79</v>
      </c>
      <c r="D188" s="61" t="s">
        <v>0</v>
      </c>
      <c r="E188" s="62">
        <v>1</v>
      </c>
      <c r="F188" s="63">
        <f>'Прайс для расчета'!E637</f>
        <v>15655.5</v>
      </c>
      <c r="G188" s="64">
        <f t="shared" si="17"/>
        <v>15655.5</v>
      </c>
      <c r="I188" s="135">
        <f>'Прайс для расчета (М)'!E637</f>
        <v>7827.75</v>
      </c>
      <c r="J188" s="36">
        <f t="shared" si="18"/>
        <v>7827.75</v>
      </c>
    </row>
    <row r="189" spans="2:10" ht="15.6" x14ac:dyDescent="0.25">
      <c r="B189" s="59"/>
      <c r="C189" s="65" t="s">
        <v>80</v>
      </c>
      <c r="D189" s="61" t="s">
        <v>0</v>
      </c>
      <c r="E189" s="62">
        <v>1</v>
      </c>
      <c r="F189" s="63">
        <f>'Прайс для расчета'!E638</f>
        <v>17742.900000000001</v>
      </c>
      <c r="G189" s="64">
        <f t="shared" si="17"/>
        <v>17742.900000000001</v>
      </c>
      <c r="I189" s="135">
        <f>'Прайс для расчета (М)'!E638</f>
        <v>8871.4500000000007</v>
      </c>
      <c r="J189" s="36">
        <f t="shared" si="18"/>
        <v>8871.4500000000007</v>
      </c>
    </row>
    <row r="190" spans="2:10" ht="15.6" x14ac:dyDescent="0.25">
      <c r="B190" s="59"/>
      <c r="C190" s="65" t="s">
        <v>81</v>
      </c>
      <c r="D190" s="61" t="s">
        <v>0</v>
      </c>
      <c r="E190" s="62">
        <v>1</v>
      </c>
      <c r="F190" s="63">
        <f>'Прайс для расчета'!E639</f>
        <v>19681.2</v>
      </c>
      <c r="G190" s="64">
        <f t="shared" si="17"/>
        <v>19681.2</v>
      </c>
      <c r="I190" s="135">
        <f>'Прайс для расчета (М)'!E639</f>
        <v>9840.6</v>
      </c>
      <c r="J190" s="36">
        <f t="shared" si="18"/>
        <v>9840.6</v>
      </c>
    </row>
    <row r="191" spans="2:10" ht="15.6" x14ac:dyDescent="0.25">
      <c r="B191" s="59"/>
      <c r="C191" s="65" t="s">
        <v>82</v>
      </c>
      <c r="D191" s="61" t="s">
        <v>0</v>
      </c>
      <c r="E191" s="62">
        <v>1</v>
      </c>
      <c r="F191" s="63">
        <f>'Прайс для расчета'!E640</f>
        <v>21470.400000000001</v>
      </c>
      <c r="G191" s="64">
        <f t="shared" si="17"/>
        <v>21470.400000000001</v>
      </c>
      <c r="I191" s="135">
        <f>'Прайс для расчета (М)'!E640</f>
        <v>10735.2</v>
      </c>
      <c r="J191" s="36">
        <f t="shared" si="18"/>
        <v>10735.2</v>
      </c>
    </row>
    <row r="192" spans="2:10" ht="15.6" x14ac:dyDescent="0.25">
      <c r="B192" s="59"/>
      <c r="C192" s="65" t="s">
        <v>83</v>
      </c>
      <c r="D192" s="61" t="s">
        <v>0</v>
      </c>
      <c r="E192" s="62">
        <v>1</v>
      </c>
      <c r="F192" s="63">
        <f>'Прайс для расчета'!E641</f>
        <v>26838</v>
      </c>
      <c r="G192" s="64">
        <f t="shared" si="17"/>
        <v>26838</v>
      </c>
      <c r="I192" s="135">
        <f>'Прайс для расчета (М)'!E641</f>
        <v>13419</v>
      </c>
      <c r="J192" s="36">
        <f t="shared" si="18"/>
        <v>13419</v>
      </c>
    </row>
    <row r="193" spans="2:10" ht="15.6" x14ac:dyDescent="0.25">
      <c r="B193" s="59"/>
      <c r="C193" s="65" t="s">
        <v>84</v>
      </c>
      <c r="D193" s="61" t="s">
        <v>0</v>
      </c>
      <c r="E193" s="62">
        <v>1</v>
      </c>
      <c r="F193" s="63">
        <f>'Прайс для расчета'!E642</f>
        <v>30416.400000000001</v>
      </c>
      <c r="G193" s="64">
        <f t="shared" si="17"/>
        <v>30416.400000000001</v>
      </c>
      <c r="I193" s="135">
        <f>'Прайс для расчета (М)'!E642</f>
        <v>15208.2</v>
      </c>
      <c r="J193" s="36">
        <f t="shared" si="18"/>
        <v>15208.2</v>
      </c>
    </row>
    <row r="194" spans="2:10" ht="15.6" x14ac:dyDescent="0.25">
      <c r="B194" s="59"/>
      <c r="C194" s="65" t="s">
        <v>85</v>
      </c>
      <c r="D194" s="61" t="s">
        <v>0</v>
      </c>
      <c r="E194" s="62">
        <v>1</v>
      </c>
      <c r="F194" s="63">
        <f>'Прайс для расчета'!E643</f>
        <v>35784</v>
      </c>
      <c r="G194" s="64">
        <f t="shared" si="17"/>
        <v>35784</v>
      </c>
      <c r="I194" s="135">
        <f>'Прайс для расчета (М)'!E643</f>
        <v>17892</v>
      </c>
      <c r="J194" s="36">
        <f t="shared" si="18"/>
        <v>17892</v>
      </c>
    </row>
    <row r="195" spans="2:10" ht="15.6" x14ac:dyDescent="0.25">
      <c r="B195" s="59"/>
      <c r="C195" s="65" t="s">
        <v>212</v>
      </c>
      <c r="D195" s="61" t="s">
        <v>0</v>
      </c>
      <c r="E195" s="62">
        <v>1</v>
      </c>
      <c r="F195" s="63">
        <f>'Прайс для расчета'!E644</f>
        <v>5218.5</v>
      </c>
      <c r="G195" s="64">
        <f t="shared" si="17"/>
        <v>5218.5</v>
      </c>
      <c r="I195" s="135">
        <f>'Прайс для расчета (М)'!E644</f>
        <v>2609.25</v>
      </c>
      <c r="J195" s="36">
        <f t="shared" si="18"/>
        <v>2609.25</v>
      </c>
    </row>
    <row r="196" spans="2:10" ht="15.6" x14ac:dyDescent="0.25">
      <c r="B196" s="59"/>
      <c r="C196" s="65" t="s">
        <v>274</v>
      </c>
      <c r="D196" s="61" t="s">
        <v>0</v>
      </c>
      <c r="E196" s="62">
        <v>1</v>
      </c>
      <c r="F196" s="63">
        <f>'Прайс для расчета'!E645</f>
        <v>4473</v>
      </c>
      <c r="G196" s="64">
        <f t="shared" si="17"/>
        <v>4473</v>
      </c>
      <c r="I196" s="135">
        <f>'Прайс для расчета (М)'!E645</f>
        <v>2236.5</v>
      </c>
      <c r="J196" s="36">
        <f t="shared" si="18"/>
        <v>2236.5</v>
      </c>
    </row>
    <row r="197" spans="2:10" ht="15.6" x14ac:dyDescent="0.25">
      <c r="B197" s="59"/>
      <c r="C197" s="65" t="s">
        <v>86</v>
      </c>
      <c r="D197" s="61" t="s">
        <v>0</v>
      </c>
      <c r="E197" s="62">
        <v>1</v>
      </c>
      <c r="F197" s="63">
        <f>'Прайс для расчета'!E646</f>
        <v>10437</v>
      </c>
      <c r="G197" s="64">
        <f t="shared" si="17"/>
        <v>10437</v>
      </c>
      <c r="I197" s="135">
        <f>'Прайс для расчета (М)'!E646</f>
        <v>5218.5</v>
      </c>
      <c r="J197" s="36">
        <f t="shared" si="18"/>
        <v>5218.5</v>
      </c>
    </row>
    <row r="198" spans="2:10" ht="15.6" x14ac:dyDescent="0.25">
      <c r="B198" s="59"/>
      <c r="C198" s="65" t="s">
        <v>87</v>
      </c>
      <c r="D198" s="61" t="s">
        <v>0</v>
      </c>
      <c r="E198" s="62">
        <v>1</v>
      </c>
      <c r="F198" s="63">
        <f>'Прайс для расчета'!E647</f>
        <v>1789.2</v>
      </c>
      <c r="G198" s="64">
        <f t="shared" si="17"/>
        <v>1789.2</v>
      </c>
      <c r="I198" s="135">
        <f>'Прайс для расчета (М)'!E647</f>
        <v>894.6</v>
      </c>
      <c r="J198" s="36">
        <f t="shared" si="18"/>
        <v>894.6</v>
      </c>
    </row>
    <row r="199" spans="2:10" ht="15.6" x14ac:dyDescent="0.25">
      <c r="B199" s="59"/>
      <c r="C199" s="65" t="s">
        <v>256</v>
      </c>
      <c r="D199" s="61" t="s">
        <v>3</v>
      </c>
      <c r="E199" s="62">
        <v>1</v>
      </c>
      <c r="F199" s="63">
        <f>'Прайс для расчета'!E648</f>
        <v>268.38</v>
      </c>
      <c r="G199" s="64">
        <f t="shared" si="17"/>
        <v>268.38</v>
      </c>
      <c r="I199" s="135">
        <f>'Прайс для расчета (М)'!E648</f>
        <v>134.19</v>
      </c>
      <c r="J199" s="36">
        <f t="shared" si="18"/>
        <v>134.19</v>
      </c>
    </row>
    <row r="200" spans="2:10" ht="15.6" x14ac:dyDescent="0.25">
      <c r="B200" s="59"/>
      <c r="C200" s="65" t="s">
        <v>919</v>
      </c>
      <c r="D200" s="61" t="s">
        <v>0</v>
      </c>
      <c r="E200" s="62">
        <v>1</v>
      </c>
      <c r="F200" s="63">
        <f>'Прайс для расчета'!E649</f>
        <v>2832.9</v>
      </c>
      <c r="G200" s="64">
        <v>1480</v>
      </c>
      <c r="I200" s="135">
        <f>'Прайс для расчета (М)'!E649</f>
        <v>1416.45</v>
      </c>
      <c r="J200" s="36">
        <v>1480</v>
      </c>
    </row>
    <row r="201" spans="2:10" ht="31.2" x14ac:dyDescent="0.25">
      <c r="B201" s="59"/>
      <c r="C201" s="65" t="s">
        <v>165</v>
      </c>
      <c r="D201" s="61" t="s">
        <v>0</v>
      </c>
      <c r="E201" s="62">
        <v>1</v>
      </c>
      <c r="F201" s="63">
        <f>'Прайс для расчета'!E650</f>
        <v>2147.04</v>
      </c>
      <c r="G201" s="64">
        <f t="shared" ref="G201:G226" si="19">F201*E201</f>
        <v>2147.04</v>
      </c>
      <c r="I201" s="135">
        <f>'Прайс для расчета (М)'!E650</f>
        <v>1073.52</v>
      </c>
      <c r="J201" s="36">
        <f t="shared" ref="J201:J226" si="20">I201*E201</f>
        <v>1073.52</v>
      </c>
    </row>
    <row r="202" spans="2:10" ht="15.6" x14ac:dyDescent="0.25">
      <c r="B202" s="59"/>
      <c r="C202" s="65" t="s">
        <v>213</v>
      </c>
      <c r="D202" s="61" t="s">
        <v>0</v>
      </c>
      <c r="E202" s="62">
        <v>1</v>
      </c>
      <c r="F202" s="63">
        <f>'Прайс для расчета'!E651</f>
        <v>5218.5</v>
      </c>
      <c r="G202" s="64">
        <f t="shared" si="19"/>
        <v>5218.5</v>
      </c>
      <c r="I202" s="135">
        <f>'Прайс для расчета (М)'!E651</f>
        <v>2609.25</v>
      </c>
      <c r="J202" s="36">
        <f t="shared" si="20"/>
        <v>2609.25</v>
      </c>
    </row>
    <row r="203" spans="2:10" ht="15.6" x14ac:dyDescent="0.25">
      <c r="B203" s="59"/>
      <c r="C203" s="65" t="s">
        <v>214</v>
      </c>
      <c r="D203" s="61" t="s">
        <v>0</v>
      </c>
      <c r="E203" s="62">
        <v>1</v>
      </c>
      <c r="F203" s="63">
        <f>'Прайс для расчета'!E652</f>
        <v>2982</v>
      </c>
      <c r="G203" s="64">
        <f t="shared" si="19"/>
        <v>2982</v>
      </c>
      <c r="I203" s="135">
        <f>'Прайс для расчета (М)'!E652</f>
        <v>1491</v>
      </c>
      <c r="J203" s="36">
        <f t="shared" si="20"/>
        <v>1491</v>
      </c>
    </row>
    <row r="204" spans="2:10" ht="15.6" x14ac:dyDescent="0.25">
      <c r="B204" s="59"/>
      <c r="C204" s="65" t="s">
        <v>215</v>
      </c>
      <c r="D204" s="61" t="s">
        <v>0</v>
      </c>
      <c r="E204" s="62">
        <v>1</v>
      </c>
      <c r="F204" s="63">
        <f>'Прайс для расчета'!E653</f>
        <v>6709.5</v>
      </c>
      <c r="G204" s="64">
        <f t="shared" si="19"/>
        <v>6709.5</v>
      </c>
      <c r="I204" s="135">
        <f>'Прайс для расчета (М)'!E653</f>
        <v>3354.75</v>
      </c>
      <c r="J204" s="36">
        <f t="shared" si="20"/>
        <v>3354.75</v>
      </c>
    </row>
    <row r="205" spans="2:10" ht="15.6" x14ac:dyDescent="0.25">
      <c r="B205" s="59"/>
      <c r="C205" s="65" t="s">
        <v>88</v>
      </c>
      <c r="D205" s="61" t="s">
        <v>0</v>
      </c>
      <c r="E205" s="62">
        <v>1</v>
      </c>
      <c r="F205" s="63">
        <f>'Прайс для расчета'!E654</f>
        <v>5964</v>
      </c>
      <c r="G205" s="64">
        <f t="shared" si="19"/>
        <v>5964</v>
      </c>
      <c r="I205" s="135">
        <f>'Прайс для расчета (М)'!E654</f>
        <v>2982</v>
      </c>
      <c r="J205" s="36">
        <f t="shared" si="20"/>
        <v>2982</v>
      </c>
    </row>
    <row r="206" spans="2:10" ht="15.6" x14ac:dyDescent="0.25">
      <c r="B206" s="59"/>
      <c r="C206" s="65" t="s">
        <v>89</v>
      </c>
      <c r="D206" s="61" t="s">
        <v>0</v>
      </c>
      <c r="E206" s="62">
        <v>1</v>
      </c>
      <c r="F206" s="63">
        <f>'Прайс для расчета'!E655</f>
        <v>5964</v>
      </c>
      <c r="G206" s="64">
        <f t="shared" si="19"/>
        <v>5964</v>
      </c>
      <c r="I206" s="135">
        <f>'Прайс для расчета (М)'!E655</f>
        <v>2982</v>
      </c>
      <c r="J206" s="36">
        <f t="shared" si="20"/>
        <v>2982</v>
      </c>
    </row>
    <row r="207" spans="2:10" ht="15.6" x14ac:dyDescent="0.25">
      <c r="B207" s="59"/>
      <c r="C207" s="65" t="s">
        <v>90</v>
      </c>
      <c r="D207" s="61" t="s">
        <v>0</v>
      </c>
      <c r="E207" s="62">
        <v>1</v>
      </c>
      <c r="F207" s="63">
        <f>'Прайс для расчета'!E656</f>
        <v>805.14</v>
      </c>
      <c r="G207" s="64">
        <f t="shared" si="19"/>
        <v>805.14</v>
      </c>
      <c r="I207" s="135">
        <f>'Прайс для расчета (М)'!E656</f>
        <v>402.57</v>
      </c>
      <c r="J207" s="36">
        <f t="shared" si="20"/>
        <v>402.57</v>
      </c>
    </row>
    <row r="208" spans="2:10" ht="15.6" x14ac:dyDescent="0.25">
      <c r="B208" s="59"/>
      <c r="C208" s="65" t="s">
        <v>91</v>
      </c>
      <c r="D208" s="61" t="s">
        <v>0</v>
      </c>
      <c r="E208" s="62">
        <v>1</v>
      </c>
      <c r="F208" s="63">
        <f>'Прайс для расчета'!E657</f>
        <v>894.6</v>
      </c>
      <c r="G208" s="64">
        <f t="shared" si="19"/>
        <v>894.6</v>
      </c>
      <c r="I208" s="135">
        <f>'Прайс для расчета (М)'!E657</f>
        <v>447.3</v>
      </c>
      <c r="J208" s="36">
        <f t="shared" si="20"/>
        <v>447.3</v>
      </c>
    </row>
    <row r="209" spans="2:10" ht="15.6" x14ac:dyDescent="0.25">
      <c r="B209" s="59"/>
      <c r="C209" s="65" t="s">
        <v>92</v>
      </c>
      <c r="D209" s="61" t="s">
        <v>0</v>
      </c>
      <c r="E209" s="62">
        <v>1</v>
      </c>
      <c r="F209" s="63">
        <f>'Прайс для расчета'!E658</f>
        <v>298.2</v>
      </c>
      <c r="G209" s="64">
        <f t="shared" si="19"/>
        <v>298.2</v>
      </c>
      <c r="I209" s="135">
        <f>'Прайс для расчета (М)'!E658</f>
        <v>149.1</v>
      </c>
      <c r="J209" s="36">
        <f t="shared" si="20"/>
        <v>149.1</v>
      </c>
    </row>
    <row r="210" spans="2:10" ht="15.6" x14ac:dyDescent="0.25">
      <c r="B210" s="59"/>
      <c r="C210" s="65" t="s">
        <v>93</v>
      </c>
      <c r="D210" s="61" t="s">
        <v>3</v>
      </c>
      <c r="E210" s="62">
        <v>1</v>
      </c>
      <c r="F210" s="63">
        <f>'Прайс для расчета'!E659</f>
        <v>208.73999999999998</v>
      </c>
      <c r="G210" s="64">
        <f t="shared" si="19"/>
        <v>208.73999999999998</v>
      </c>
      <c r="I210" s="135">
        <f>'Прайс для расчета (М)'!E659</f>
        <v>104.36999999999999</v>
      </c>
      <c r="J210" s="36">
        <f t="shared" si="20"/>
        <v>104.36999999999999</v>
      </c>
    </row>
    <row r="211" spans="2:10" ht="15.6" x14ac:dyDescent="0.25">
      <c r="B211" s="59"/>
      <c r="C211" s="65" t="s">
        <v>257</v>
      </c>
      <c r="D211" s="61" t="s">
        <v>0</v>
      </c>
      <c r="E211" s="62">
        <v>1</v>
      </c>
      <c r="F211" s="63">
        <f>'Прайс для расчета'!E660</f>
        <v>2534.7000000000003</v>
      </c>
      <c r="G211" s="64">
        <f t="shared" si="19"/>
        <v>2534.7000000000003</v>
      </c>
      <c r="I211" s="135">
        <f>'Прайс для расчета (М)'!E660</f>
        <v>1267.3500000000001</v>
      </c>
      <c r="J211" s="36">
        <f t="shared" si="20"/>
        <v>1267.3500000000001</v>
      </c>
    </row>
    <row r="212" spans="2:10" ht="15.6" x14ac:dyDescent="0.25">
      <c r="B212" s="59"/>
      <c r="C212" s="65" t="s">
        <v>258</v>
      </c>
      <c r="D212" s="61" t="s">
        <v>0</v>
      </c>
      <c r="E212" s="62">
        <v>1</v>
      </c>
      <c r="F212" s="63">
        <f>'Прайс для расчета'!E661</f>
        <v>5218.5</v>
      </c>
      <c r="G212" s="64">
        <f t="shared" si="19"/>
        <v>5218.5</v>
      </c>
      <c r="I212" s="135">
        <f>'Прайс для расчета (М)'!E661</f>
        <v>2609.25</v>
      </c>
      <c r="J212" s="36">
        <f t="shared" si="20"/>
        <v>2609.25</v>
      </c>
    </row>
    <row r="213" spans="2:10" ht="31.2" x14ac:dyDescent="0.25">
      <c r="B213" s="59"/>
      <c r="C213" s="65" t="s">
        <v>259</v>
      </c>
      <c r="D213" s="61" t="s">
        <v>0</v>
      </c>
      <c r="E213" s="62">
        <v>1</v>
      </c>
      <c r="F213" s="63">
        <f>'Прайс для расчета'!E662</f>
        <v>4622.1000000000004</v>
      </c>
      <c r="G213" s="64">
        <f t="shared" si="19"/>
        <v>4622.1000000000004</v>
      </c>
      <c r="I213" s="135">
        <f>'Прайс для расчета (М)'!E662</f>
        <v>2311.0500000000002</v>
      </c>
      <c r="J213" s="36">
        <f t="shared" si="20"/>
        <v>2311.0500000000002</v>
      </c>
    </row>
    <row r="214" spans="2:10" ht="15.6" x14ac:dyDescent="0.25">
      <c r="B214" s="59"/>
      <c r="C214" s="65" t="s">
        <v>94</v>
      </c>
      <c r="D214" s="61" t="s">
        <v>0</v>
      </c>
      <c r="E214" s="62">
        <v>1</v>
      </c>
      <c r="F214" s="63">
        <f>'Прайс для расчета'!E663</f>
        <v>1789.2</v>
      </c>
      <c r="G214" s="64">
        <f t="shared" si="19"/>
        <v>1789.2</v>
      </c>
      <c r="I214" s="135">
        <f>'Прайс для расчета (М)'!E663</f>
        <v>894.6</v>
      </c>
      <c r="J214" s="36">
        <f t="shared" si="20"/>
        <v>894.6</v>
      </c>
    </row>
    <row r="215" spans="2:10" ht="15.6" x14ac:dyDescent="0.25">
      <c r="B215" s="59"/>
      <c r="C215" s="65" t="s">
        <v>95</v>
      </c>
      <c r="D215" s="61" t="s">
        <v>0</v>
      </c>
      <c r="E215" s="62">
        <v>1</v>
      </c>
      <c r="F215" s="63">
        <f>'Прайс для расчета'!E664</f>
        <v>2206.6799999999998</v>
      </c>
      <c r="G215" s="64">
        <f t="shared" si="19"/>
        <v>2206.6799999999998</v>
      </c>
      <c r="I215" s="135">
        <f>'Прайс для расчета (М)'!E664</f>
        <v>1103.3399999999999</v>
      </c>
      <c r="J215" s="36">
        <f t="shared" si="20"/>
        <v>1103.3399999999999</v>
      </c>
    </row>
    <row r="216" spans="2:10" ht="15.6" x14ac:dyDescent="0.25">
      <c r="B216" s="59"/>
      <c r="C216" s="65" t="s">
        <v>96</v>
      </c>
      <c r="D216" s="61" t="s">
        <v>0</v>
      </c>
      <c r="E216" s="62">
        <v>1</v>
      </c>
      <c r="F216" s="63">
        <f>'Прайс для расчета'!E665</f>
        <v>2504.88</v>
      </c>
      <c r="G216" s="64">
        <f t="shared" si="19"/>
        <v>2504.88</v>
      </c>
      <c r="I216" s="135">
        <f>'Прайс для расчета (М)'!E665</f>
        <v>1252.44</v>
      </c>
      <c r="J216" s="36">
        <f t="shared" si="20"/>
        <v>1252.44</v>
      </c>
    </row>
    <row r="217" spans="2:10" ht="15.6" x14ac:dyDescent="0.25">
      <c r="B217" s="59"/>
      <c r="C217" s="65" t="s">
        <v>97</v>
      </c>
      <c r="D217" s="61" t="s">
        <v>0</v>
      </c>
      <c r="E217" s="62">
        <v>1</v>
      </c>
      <c r="F217" s="63">
        <f>'Прайс для расчета'!E666</f>
        <v>2325.96</v>
      </c>
      <c r="G217" s="64">
        <f t="shared" si="19"/>
        <v>2325.96</v>
      </c>
      <c r="I217" s="135">
        <f>'Прайс для расчета (М)'!E666</f>
        <v>1162.98</v>
      </c>
      <c r="J217" s="36">
        <f t="shared" si="20"/>
        <v>1162.98</v>
      </c>
    </row>
    <row r="218" spans="2:10" ht="15.6" x14ac:dyDescent="0.25">
      <c r="B218" s="59"/>
      <c r="C218" s="65" t="s">
        <v>98</v>
      </c>
      <c r="D218" s="61" t="s">
        <v>0</v>
      </c>
      <c r="E218" s="62">
        <v>1</v>
      </c>
      <c r="F218" s="63">
        <f>'Прайс для расчета'!E667</f>
        <v>4920.3</v>
      </c>
      <c r="G218" s="64">
        <f t="shared" si="19"/>
        <v>4920.3</v>
      </c>
      <c r="I218" s="135">
        <f>'Прайс для расчета (М)'!E667</f>
        <v>2460.15</v>
      </c>
      <c r="J218" s="36">
        <f t="shared" si="20"/>
        <v>2460.15</v>
      </c>
    </row>
    <row r="219" spans="2:10" ht="15.6" x14ac:dyDescent="0.25">
      <c r="B219" s="59"/>
      <c r="C219" s="65" t="s">
        <v>99</v>
      </c>
      <c r="D219" s="61" t="s">
        <v>0</v>
      </c>
      <c r="E219" s="62">
        <v>1</v>
      </c>
      <c r="F219" s="63">
        <f>'Прайс для расчета'!E668</f>
        <v>5367.6</v>
      </c>
      <c r="G219" s="64">
        <f t="shared" si="19"/>
        <v>5367.6</v>
      </c>
      <c r="I219" s="135">
        <f>'Прайс для расчета (М)'!E668</f>
        <v>2683.8</v>
      </c>
      <c r="J219" s="36">
        <f t="shared" si="20"/>
        <v>2683.8</v>
      </c>
    </row>
    <row r="220" spans="2:10" ht="15.6" x14ac:dyDescent="0.25">
      <c r="B220" s="59"/>
      <c r="C220" s="65" t="s">
        <v>100</v>
      </c>
      <c r="D220" s="61" t="s">
        <v>0</v>
      </c>
      <c r="E220" s="62">
        <v>1</v>
      </c>
      <c r="F220" s="63">
        <f>'Прайс для расчета'!E669</f>
        <v>2236.5</v>
      </c>
      <c r="G220" s="64">
        <f t="shared" si="19"/>
        <v>2236.5</v>
      </c>
      <c r="I220" s="135">
        <f>'Прайс для расчета (М)'!E669</f>
        <v>1118.25</v>
      </c>
      <c r="J220" s="36">
        <f t="shared" si="20"/>
        <v>1118.25</v>
      </c>
    </row>
    <row r="221" spans="2:10" ht="15.6" x14ac:dyDescent="0.25">
      <c r="B221" s="59"/>
      <c r="C221" s="65" t="s">
        <v>101</v>
      </c>
      <c r="D221" s="61" t="s">
        <v>0</v>
      </c>
      <c r="E221" s="62">
        <v>1</v>
      </c>
      <c r="F221" s="63">
        <f>'Прайс для расчета'!E670</f>
        <v>3578.4</v>
      </c>
      <c r="G221" s="64">
        <f t="shared" si="19"/>
        <v>3578.4</v>
      </c>
      <c r="I221" s="135">
        <f>'Прайс для расчета (М)'!E670</f>
        <v>1789.2</v>
      </c>
      <c r="J221" s="36">
        <f t="shared" si="20"/>
        <v>1789.2</v>
      </c>
    </row>
    <row r="222" spans="2:10" ht="15.6" x14ac:dyDescent="0.25">
      <c r="B222" s="59"/>
      <c r="C222" s="65" t="s">
        <v>920</v>
      </c>
      <c r="D222" s="61" t="s">
        <v>0</v>
      </c>
      <c r="E222" s="62">
        <v>1</v>
      </c>
      <c r="F222" s="63">
        <f>'Прайс для расчета'!E671</f>
        <v>2236.5</v>
      </c>
      <c r="G222" s="64">
        <f t="shared" si="19"/>
        <v>2236.5</v>
      </c>
      <c r="I222" s="135">
        <f>'Прайс для расчета (М)'!E671</f>
        <v>1118.25</v>
      </c>
      <c r="J222" s="36">
        <f t="shared" si="20"/>
        <v>1118.25</v>
      </c>
    </row>
    <row r="223" spans="2:10" ht="15.6" x14ac:dyDescent="0.25">
      <c r="B223" s="59"/>
      <c r="C223" s="65" t="s">
        <v>260</v>
      </c>
      <c r="D223" s="61" t="s">
        <v>0</v>
      </c>
      <c r="E223" s="62">
        <v>1</v>
      </c>
      <c r="F223" s="63">
        <f>'Прайс для расчета'!E672</f>
        <v>3392.0250000000001</v>
      </c>
      <c r="G223" s="64">
        <f t="shared" si="19"/>
        <v>3392.0250000000001</v>
      </c>
      <c r="I223" s="135">
        <f>'Прайс для расчета (М)'!E672</f>
        <v>1696.0125</v>
      </c>
      <c r="J223" s="36">
        <f t="shared" si="20"/>
        <v>1696.0125</v>
      </c>
    </row>
    <row r="224" spans="2:10" ht="15.6" x14ac:dyDescent="0.25">
      <c r="B224" s="59"/>
      <c r="C224" s="65" t="s">
        <v>261</v>
      </c>
      <c r="D224" s="61" t="s">
        <v>0</v>
      </c>
      <c r="E224" s="62">
        <v>1</v>
      </c>
      <c r="F224" s="63">
        <f>'Прайс для расчета'!E673</f>
        <v>2012.8500000000001</v>
      </c>
      <c r="G224" s="64">
        <f t="shared" si="19"/>
        <v>2012.8500000000001</v>
      </c>
      <c r="I224" s="135">
        <f>'Прайс для расчета (М)'!E673</f>
        <v>1006.4250000000001</v>
      </c>
      <c r="J224" s="36">
        <f t="shared" si="20"/>
        <v>1006.4250000000001</v>
      </c>
    </row>
    <row r="225" spans="2:10" ht="15.6" x14ac:dyDescent="0.25">
      <c r="B225" s="59"/>
      <c r="C225" s="65" t="s">
        <v>262</v>
      </c>
      <c r="D225" s="61" t="s">
        <v>0</v>
      </c>
      <c r="E225" s="62">
        <v>1</v>
      </c>
      <c r="F225" s="63">
        <f>'Прайс для расчета'!E674</f>
        <v>1118.25</v>
      </c>
      <c r="G225" s="64">
        <f t="shared" si="19"/>
        <v>1118.25</v>
      </c>
      <c r="I225" s="135">
        <f>'Прайс для расчета (М)'!E674</f>
        <v>559.125</v>
      </c>
      <c r="J225" s="36">
        <f t="shared" si="20"/>
        <v>559.125</v>
      </c>
    </row>
    <row r="226" spans="2:10" ht="15.6" x14ac:dyDescent="0.25">
      <c r="B226" s="59"/>
      <c r="C226" s="65" t="s">
        <v>263</v>
      </c>
      <c r="D226" s="61" t="s">
        <v>0</v>
      </c>
      <c r="E226" s="62">
        <v>1</v>
      </c>
      <c r="F226" s="63">
        <f>'Прайс для расчета'!E675</f>
        <v>2534.7000000000003</v>
      </c>
      <c r="G226" s="64">
        <f t="shared" si="19"/>
        <v>2534.7000000000003</v>
      </c>
      <c r="I226" s="135">
        <f>'Прайс для расчета (М)'!E675</f>
        <v>1267.3500000000001</v>
      </c>
      <c r="J226" s="36">
        <f t="shared" si="20"/>
        <v>1267.3500000000001</v>
      </c>
    </row>
    <row r="227" spans="2:10" ht="15.6" x14ac:dyDescent="0.25">
      <c r="B227" s="59"/>
      <c r="C227" s="65" t="s">
        <v>264</v>
      </c>
      <c r="D227" s="61" t="s">
        <v>0</v>
      </c>
      <c r="E227" s="62">
        <v>1</v>
      </c>
      <c r="F227" s="63">
        <f>'Прайс для расчета'!E676</f>
        <v>1162.98</v>
      </c>
      <c r="G227" s="64">
        <v>780</v>
      </c>
      <c r="I227" s="135">
        <f>'Прайс для расчета (М)'!E676</f>
        <v>581.49</v>
      </c>
      <c r="J227" s="36">
        <v>780</v>
      </c>
    </row>
    <row r="228" spans="2:10" ht="15.6" x14ac:dyDescent="0.25">
      <c r="B228" s="59"/>
      <c r="C228" s="65" t="s">
        <v>102</v>
      </c>
      <c r="D228" s="61" t="s">
        <v>0</v>
      </c>
      <c r="E228" s="62">
        <v>1</v>
      </c>
      <c r="F228" s="63">
        <f>'Прайс для расчета'!E677</f>
        <v>1162.98</v>
      </c>
      <c r="G228" s="64">
        <f>F228*E228</f>
        <v>1162.98</v>
      </c>
      <c r="I228" s="135">
        <f>'Прайс для расчета (М)'!E677</f>
        <v>581.49</v>
      </c>
      <c r="J228" s="36">
        <f>I228*E228</f>
        <v>581.49</v>
      </c>
    </row>
    <row r="229" spans="2:10" ht="15.6" x14ac:dyDescent="0.25">
      <c r="B229" s="59"/>
      <c r="C229" s="65" t="s">
        <v>103</v>
      </c>
      <c r="D229" s="61" t="s">
        <v>0</v>
      </c>
      <c r="E229" s="62">
        <v>1</v>
      </c>
      <c r="F229" s="63">
        <f>'Прайс для расчета'!E678</f>
        <v>596.4</v>
      </c>
      <c r="G229" s="64">
        <f>F229*E229</f>
        <v>596.4</v>
      </c>
      <c r="I229" s="135">
        <f>'Прайс для расчета (М)'!E678</f>
        <v>298.2</v>
      </c>
      <c r="J229" s="36">
        <f>I229*E229</f>
        <v>298.2</v>
      </c>
    </row>
    <row r="230" spans="2:10" ht="15.6" x14ac:dyDescent="0.25">
      <c r="B230" s="59"/>
      <c r="C230" s="65" t="s">
        <v>928</v>
      </c>
      <c r="D230" s="61" t="s">
        <v>0</v>
      </c>
      <c r="E230" s="62">
        <v>1</v>
      </c>
      <c r="F230" s="63">
        <f>'Прайс для расчета'!E679</f>
        <v>2236.5</v>
      </c>
      <c r="G230" s="64">
        <f>F230*E230</f>
        <v>2236.5</v>
      </c>
      <c r="I230" s="135">
        <f>'Прайс для расчета (М)'!E679</f>
        <v>1118.25</v>
      </c>
      <c r="J230" s="36">
        <f>I230*E230</f>
        <v>1118.25</v>
      </c>
    </row>
    <row r="231" spans="2:10" ht="15.6" x14ac:dyDescent="0.25">
      <c r="B231" s="110">
        <f>IF(SUM(B159:B230)&gt;0,1,0)</f>
        <v>0</v>
      </c>
      <c r="C231" s="266" t="s">
        <v>761</v>
      </c>
      <c r="D231" s="266"/>
      <c r="E231" s="266"/>
      <c r="F231" s="266"/>
      <c r="G231" s="157">
        <f>SUMIF(B160:B230,1,G160:G230)</f>
        <v>0</v>
      </c>
      <c r="J231" s="36">
        <f>SUMIF(B160:B230,1,J160:J230)</f>
        <v>0</v>
      </c>
    </row>
    <row r="232" spans="2:10" ht="15.6" x14ac:dyDescent="0.25">
      <c r="B232" s="153">
        <f>IF(SUM(B233:B240)&gt;0,1,0)</f>
        <v>0</v>
      </c>
      <c r="C232" s="164" t="s">
        <v>717</v>
      </c>
      <c r="D232" s="154" t="s">
        <v>179</v>
      </c>
      <c r="E232" s="154" t="s">
        <v>180</v>
      </c>
      <c r="F232" s="154" t="s">
        <v>1</v>
      </c>
      <c r="G232" s="154" t="s">
        <v>181</v>
      </c>
      <c r="I232" s="36" t="s">
        <v>1</v>
      </c>
      <c r="J232" s="36" t="s">
        <v>181</v>
      </c>
    </row>
    <row r="233" spans="2:10" ht="15.6" x14ac:dyDescent="0.25">
      <c r="B233" s="59"/>
      <c r="C233" s="65" t="s">
        <v>451</v>
      </c>
      <c r="D233" s="61" t="s">
        <v>2</v>
      </c>
      <c r="E233" s="62">
        <f>$A$4</f>
        <v>0</v>
      </c>
      <c r="F233" s="63">
        <f>'Прайс для расчета'!E412</f>
        <v>110.25</v>
      </c>
      <c r="G233" s="64">
        <f t="shared" ref="G233:G240" si="21">F233*E233</f>
        <v>0</v>
      </c>
      <c r="I233" s="135">
        <f>'Прайс для расчета (М)'!E412</f>
        <v>55.125</v>
      </c>
      <c r="J233" s="36">
        <f t="shared" ref="J233:J240" si="22">I233*E233</f>
        <v>0</v>
      </c>
    </row>
    <row r="234" spans="2:10" ht="15.6" x14ac:dyDescent="0.25">
      <c r="B234" s="59"/>
      <c r="C234" s="65" t="s">
        <v>688</v>
      </c>
      <c r="D234" s="61" t="s">
        <v>0</v>
      </c>
      <c r="E234" s="62">
        <v>1</v>
      </c>
      <c r="F234" s="63">
        <f>'Прайс для расчета'!E413</f>
        <v>1714.65</v>
      </c>
      <c r="G234" s="64">
        <f t="shared" si="21"/>
        <v>1714.65</v>
      </c>
      <c r="I234" s="135">
        <f>'Прайс для расчета (М)'!E413</f>
        <v>857.32500000000005</v>
      </c>
      <c r="J234" s="36">
        <f t="shared" si="22"/>
        <v>857.32500000000005</v>
      </c>
    </row>
    <row r="235" spans="2:10" ht="15.6" x14ac:dyDescent="0.25">
      <c r="B235" s="59"/>
      <c r="C235" s="65" t="s">
        <v>452</v>
      </c>
      <c r="D235" s="61" t="s">
        <v>0</v>
      </c>
      <c r="E235" s="62">
        <v>1</v>
      </c>
      <c r="F235" s="63">
        <f>'Прайс для расчета'!E414</f>
        <v>2571.9749999999999</v>
      </c>
      <c r="G235" s="64">
        <f t="shared" si="21"/>
        <v>2571.9749999999999</v>
      </c>
      <c r="I235" s="135">
        <f>'Прайс для расчета (М)'!E414</f>
        <v>1285.9875</v>
      </c>
      <c r="J235" s="36">
        <f t="shared" si="22"/>
        <v>1285.9875</v>
      </c>
    </row>
    <row r="236" spans="2:10" ht="15.6" x14ac:dyDescent="0.25">
      <c r="B236" s="59"/>
      <c r="C236" s="65" t="s">
        <v>453</v>
      </c>
      <c r="D236" s="61" t="s">
        <v>0</v>
      </c>
      <c r="E236" s="62">
        <v>1</v>
      </c>
      <c r="F236" s="63">
        <f>'Прайс для расчета'!E415</f>
        <v>857.32500000000005</v>
      </c>
      <c r="G236" s="64">
        <f t="shared" si="21"/>
        <v>857.32500000000005</v>
      </c>
      <c r="I236" s="135">
        <f>'Прайс для расчета (М)'!E415</f>
        <v>428.66250000000002</v>
      </c>
      <c r="J236" s="36">
        <f t="shared" si="22"/>
        <v>428.66250000000002</v>
      </c>
    </row>
    <row r="237" spans="2:10" ht="15.6" x14ac:dyDescent="0.25">
      <c r="B237" s="59"/>
      <c r="C237" s="65" t="s">
        <v>454</v>
      </c>
      <c r="D237" s="61" t="s">
        <v>885</v>
      </c>
      <c r="E237" s="62">
        <v>1</v>
      </c>
      <c r="F237" s="63">
        <f>'Прайс для расчета'!E416</f>
        <v>1470</v>
      </c>
      <c r="G237" s="64">
        <f t="shared" si="21"/>
        <v>1470</v>
      </c>
      <c r="I237" s="135">
        <f>'Прайс для расчета (М)'!E416</f>
        <v>735</v>
      </c>
      <c r="J237" s="36">
        <f t="shared" si="22"/>
        <v>735</v>
      </c>
    </row>
    <row r="238" spans="2:10" ht="15.6" x14ac:dyDescent="0.25">
      <c r="B238" s="59"/>
      <c r="C238" s="65" t="s">
        <v>455</v>
      </c>
      <c r="D238" s="61" t="s">
        <v>886</v>
      </c>
      <c r="E238" s="62">
        <v>1</v>
      </c>
      <c r="F238" s="63">
        <f>'Прайс для расчета'!E417</f>
        <v>315</v>
      </c>
      <c r="G238" s="64">
        <f t="shared" si="21"/>
        <v>315</v>
      </c>
      <c r="I238" s="135">
        <f>'Прайс для расчета (М)'!E417</f>
        <v>157.5</v>
      </c>
      <c r="J238" s="36">
        <f t="shared" si="22"/>
        <v>157.5</v>
      </c>
    </row>
    <row r="239" spans="2:10" ht="15.6" x14ac:dyDescent="0.25">
      <c r="B239" s="59"/>
      <c r="C239" s="65" t="s">
        <v>456</v>
      </c>
      <c r="D239" s="61" t="s">
        <v>886</v>
      </c>
      <c r="E239" s="62">
        <v>1</v>
      </c>
      <c r="F239" s="63">
        <f>'Прайс для расчета'!E418</f>
        <v>1575</v>
      </c>
      <c r="G239" s="64">
        <f t="shared" si="21"/>
        <v>1575</v>
      </c>
      <c r="I239" s="135">
        <f>'Прайс для расчета (М)'!E418</f>
        <v>787.5</v>
      </c>
      <c r="J239" s="36">
        <f t="shared" si="22"/>
        <v>787.5</v>
      </c>
    </row>
    <row r="240" spans="2:10" ht="15.6" x14ac:dyDescent="0.25">
      <c r="B240" s="59"/>
      <c r="C240" s="65" t="s">
        <v>689</v>
      </c>
      <c r="D240" s="61" t="s">
        <v>886</v>
      </c>
      <c r="E240" s="62">
        <v>1</v>
      </c>
      <c r="F240" s="63">
        <f>'Прайс для расчета'!E419</f>
        <v>315</v>
      </c>
      <c r="G240" s="64">
        <f t="shared" si="21"/>
        <v>315</v>
      </c>
      <c r="I240" s="135">
        <f>'Прайс для расчета (М)'!E419</f>
        <v>157.5</v>
      </c>
      <c r="J240" s="36">
        <f t="shared" si="22"/>
        <v>157.5</v>
      </c>
    </row>
    <row r="241" spans="2:10" ht="15.6" x14ac:dyDescent="0.25">
      <c r="B241" s="110">
        <f>IF(SUM(B233:B240)&gt;0,1,0)</f>
        <v>0</v>
      </c>
      <c r="C241" s="266" t="s">
        <v>193</v>
      </c>
      <c r="D241" s="266"/>
      <c r="E241" s="266"/>
      <c r="F241" s="266"/>
      <c r="G241" s="157">
        <f>SUMIF(B233:B240,1,G233:G240)</f>
        <v>0</v>
      </c>
      <c r="J241" s="36">
        <f>SUMIF(B233:B240,1,J233:J240)</f>
        <v>0</v>
      </c>
    </row>
    <row r="242" spans="2:10" ht="15.6" x14ac:dyDescent="0.25">
      <c r="B242" s="153">
        <f>IF(SUM(B11:B241)&gt;0,1,0)</f>
        <v>0</v>
      </c>
      <c r="C242" s="265" t="s">
        <v>206</v>
      </c>
      <c r="D242" s="265"/>
      <c r="E242" s="265"/>
      <c r="F242" s="265"/>
      <c r="G242" s="155">
        <f>G241+G231+G157+G136+G128+G120+G113+G55</f>
        <v>0</v>
      </c>
      <c r="J242" s="36">
        <f>J241+J231+J157+J136+J128+J120+J113+J55</f>
        <v>0</v>
      </c>
    </row>
    <row r="243" spans="2:10" x14ac:dyDescent="0.25">
      <c r="C243" s="1"/>
    </row>
    <row r="244" spans="2:10" ht="15.6" x14ac:dyDescent="0.25">
      <c r="B244"/>
      <c r="C244" s="3" t="s">
        <v>238</v>
      </c>
      <c r="E244" s="16" t="s">
        <v>239</v>
      </c>
    </row>
    <row r="245" spans="2:10" x14ac:dyDescent="0.25">
      <c r="B245"/>
      <c r="C245" s="1"/>
    </row>
    <row r="246" spans="2:10" x14ac:dyDescent="0.25">
      <c r="B246"/>
      <c r="C246" s="4" t="s">
        <v>185</v>
      </c>
      <c r="E246" s="17" t="s">
        <v>185</v>
      </c>
    </row>
    <row r="247" spans="2:10" x14ac:dyDescent="0.25">
      <c r="B247"/>
      <c r="C247" s="5" t="s">
        <v>690</v>
      </c>
      <c r="E247" s="15" t="s">
        <v>186</v>
      </c>
    </row>
  </sheetData>
  <autoFilter ref="B9:H242"/>
  <mergeCells count="13">
    <mergeCell ref="C1:C4"/>
    <mergeCell ref="C136:F136"/>
    <mergeCell ref="C128:F128"/>
    <mergeCell ref="C231:F231"/>
    <mergeCell ref="C157:F157"/>
    <mergeCell ref="C242:F242"/>
    <mergeCell ref="C241:F241"/>
    <mergeCell ref="C5:G5"/>
    <mergeCell ref="C6:C7"/>
    <mergeCell ref="D8:G8"/>
    <mergeCell ref="C55:F55"/>
    <mergeCell ref="C120:F120"/>
    <mergeCell ref="C113:F113"/>
  </mergeCells>
  <phoneticPr fontId="8" type="noConversion"/>
  <conditionalFormatting sqref="B127:C127 D150:E154 E149:E155 E65 B57:C112 E68:E112 D70:D111 F57:G112 B135:E135 G135 B131:E132 G131:G132 F131:F135 B149:E149 G149:G154 B156:E156 G156 F149:F156 B10:G56 B159:G242 B157:G157 B136:G148 B128:G130 B113:G121">
    <cfRule type="expression" dxfId="125" priority="26">
      <formula>$B10=0</formula>
    </cfRule>
  </conditionalFormatting>
  <conditionalFormatting sqref="D69 D57:E64 D66:E67 D65">
    <cfRule type="expression" dxfId="124" priority="15">
      <formula>$B57=0</formula>
    </cfRule>
  </conditionalFormatting>
  <conditionalFormatting sqref="D68">
    <cfRule type="expression" dxfId="123" priority="14">
      <formula>$B68=0</formula>
    </cfRule>
  </conditionalFormatting>
  <conditionalFormatting sqref="D112">
    <cfRule type="expression" dxfId="122" priority="12">
      <formula>$B112=0</formula>
    </cfRule>
  </conditionalFormatting>
  <conditionalFormatting sqref="B122:G122 B123:C126 D123:G127">
    <cfRule type="expression" dxfId="121" priority="10">
      <formula>$B122=0</formula>
    </cfRule>
  </conditionalFormatting>
  <conditionalFormatting sqref="B133:E134 G133:G134">
    <cfRule type="expression" dxfId="120" priority="9">
      <formula>$B133=0</formula>
    </cfRule>
  </conditionalFormatting>
  <conditionalFormatting sqref="B155:E155 B150:C154 G155">
    <cfRule type="expression" dxfId="119" priority="8">
      <formula>$B150=0</formula>
    </cfRule>
  </conditionalFormatting>
  <conditionalFormatting sqref="B158:G158">
    <cfRule type="expression" dxfId="118" priority="1">
      <formula>$B158=0</formula>
    </cfRule>
  </conditionalFormatting>
  <printOptions horizontalCentered="1"/>
  <pageMargins left="0.25" right="0.25" top="0.75" bottom="0.75" header="0.3" footer="0.3"/>
  <pageSetup paperSize="9" scale="37" fitToHeight="0" orientation="portrait" horizontalDpi="4294967292" verticalDpi="4294967292" r:id="rId1"/>
  <headerFooter>
    <oddFooter>&amp;Rредакция 3.0</oddFooter>
  </headerFooter>
  <ignoredErrors>
    <ignoredError sqref="A3 A5" emptyCellReference="1"/>
    <ignoredError sqref="E66" formula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11111111">
    <tabColor rgb="FF00B050"/>
  </sheetPr>
  <dimension ref="A2:F679"/>
  <sheetViews>
    <sheetView topLeftCell="A643" zoomScaleNormal="100" workbookViewId="0">
      <selection activeCell="D22" sqref="D22"/>
    </sheetView>
  </sheetViews>
  <sheetFormatPr defaultColWidth="8.77734375" defaultRowHeight="13.2" x14ac:dyDescent="0.25"/>
  <cols>
    <col min="1" max="1" width="174" style="25" customWidth="1"/>
    <col min="2" max="2" width="10.77734375" style="23" bestFit="1" customWidth="1"/>
    <col min="3" max="3" width="8.6640625" style="40" bestFit="1" customWidth="1"/>
    <col min="4" max="4" width="19.33203125" style="42" bestFit="1" customWidth="1"/>
    <col min="5" max="5" width="16.6640625" style="23" bestFit="1" customWidth="1"/>
  </cols>
  <sheetData>
    <row r="2" spans="1:5" x14ac:dyDescent="0.25">
      <c r="A2" s="22"/>
    </row>
    <row r="3" spans="1:5" x14ac:dyDescent="0.25">
      <c r="A3" s="272" t="s">
        <v>727</v>
      </c>
      <c r="B3" s="272"/>
      <c r="C3" s="272"/>
      <c r="D3" s="51">
        <v>1.05</v>
      </c>
    </row>
    <row r="4" spans="1:5" x14ac:dyDescent="0.25">
      <c r="A4" s="81" t="s">
        <v>728</v>
      </c>
      <c r="B4" s="47" t="s">
        <v>729</v>
      </c>
      <c r="C4" s="48" t="s">
        <v>731</v>
      </c>
      <c r="D4" s="49" t="s">
        <v>732</v>
      </c>
      <c r="E4" s="47" t="s">
        <v>730</v>
      </c>
    </row>
    <row r="5" spans="1:5" x14ac:dyDescent="0.25">
      <c r="A5" s="82" t="s">
        <v>305</v>
      </c>
      <c r="B5" s="24">
        <v>85</v>
      </c>
      <c r="C5" s="41">
        <f t="shared" ref="C5:C68" si="0">$D$3</f>
        <v>1.05</v>
      </c>
      <c r="D5" s="43"/>
      <c r="E5" s="24">
        <f>IF(D5=0,B5*C5,B5*D5)</f>
        <v>89.25</v>
      </c>
    </row>
    <row r="6" spans="1:5" x14ac:dyDescent="0.25">
      <c r="A6" s="83" t="s">
        <v>889</v>
      </c>
      <c r="B6" s="24">
        <v>150</v>
      </c>
      <c r="C6" s="41">
        <f t="shared" si="0"/>
        <v>1.05</v>
      </c>
      <c r="D6" s="43"/>
      <c r="E6" s="24">
        <f t="shared" ref="E6:E69" si="1">IF(D6=0,B6*C6,B6*D6)</f>
        <v>157.5</v>
      </c>
    </row>
    <row r="7" spans="1:5" x14ac:dyDescent="0.25">
      <c r="A7" s="82" t="s">
        <v>307</v>
      </c>
      <c r="B7" s="24">
        <v>278.32</v>
      </c>
      <c r="C7" s="41">
        <f t="shared" si="0"/>
        <v>1.05</v>
      </c>
      <c r="D7" s="43"/>
      <c r="E7" s="24">
        <f t="shared" si="1"/>
        <v>292.23599999999999</v>
      </c>
    </row>
    <row r="8" spans="1:5" x14ac:dyDescent="0.25">
      <c r="A8" s="82" t="s">
        <v>308</v>
      </c>
      <c r="B8" s="24">
        <v>350</v>
      </c>
      <c r="C8" s="41">
        <f t="shared" si="0"/>
        <v>1.05</v>
      </c>
      <c r="D8" s="43"/>
      <c r="E8" s="24">
        <f t="shared" si="1"/>
        <v>367.5</v>
      </c>
    </row>
    <row r="9" spans="1:5" x14ac:dyDescent="0.25">
      <c r="A9" s="84" t="s">
        <v>309</v>
      </c>
      <c r="B9" s="24">
        <v>115.02</v>
      </c>
      <c r="C9" s="41">
        <f t="shared" si="0"/>
        <v>1.05</v>
      </c>
      <c r="D9" s="43"/>
      <c r="E9" s="24">
        <f t="shared" si="1"/>
        <v>120.771</v>
      </c>
    </row>
    <row r="10" spans="1:5" x14ac:dyDescent="0.25">
      <c r="A10" s="82" t="s">
        <v>310</v>
      </c>
      <c r="B10" s="24">
        <v>97.97999999999999</v>
      </c>
      <c r="C10" s="41">
        <f t="shared" si="0"/>
        <v>1.05</v>
      </c>
      <c r="D10" s="43"/>
      <c r="E10" s="24">
        <f t="shared" si="1"/>
        <v>102.87899999999999</v>
      </c>
    </row>
    <row r="11" spans="1:5" s="183" customFormat="1" x14ac:dyDescent="0.25">
      <c r="A11" s="213" t="s">
        <v>1002</v>
      </c>
      <c r="B11" s="178">
        <v>1750</v>
      </c>
      <c r="C11" s="41">
        <f t="shared" si="0"/>
        <v>1.05</v>
      </c>
      <c r="D11" s="181"/>
      <c r="E11" s="178">
        <f t="shared" si="1"/>
        <v>1837.5</v>
      </c>
    </row>
    <row r="12" spans="1:5" s="183" customFormat="1" x14ac:dyDescent="0.25">
      <c r="A12" s="213" t="s">
        <v>1003</v>
      </c>
      <c r="B12" s="178">
        <v>2550</v>
      </c>
      <c r="C12" s="41">
        <f t="shared" si="0"/>
        <v>1.05</v>
      </c>
      <c r="D12" s="181"/>
      <c r="E12" s="178">
        <f t="shared" si="1"/>
        <v>2677.5</v>
      </c>
    </row>
    <row r="13" spans="1:5" x14ac:dyDescent="0.25">
      <c r="A13" s="82" t="s">
        <v>59</v>
      </c>
      <c r="B13" s="24">
        <v>350</v>
      </c>
      <c r="C13" s="41">
        <f t="shared" si="0"/>
        <v>1.05</v>
      </c>
      <c r="D13" s="43"/>
      <c r="E13" s="24">
        <f t="shared" si="1"/>
        <v>367.5</v>
      </c>
    </row>
    <row r="14" spans="1:5" x14ac:dyDescent="0.25">
      <c r="A14" s="82" t="s">
        <v>311</v>
      </c>
      <c r="B14" s="24">
        <v>300</v>
      </c>
      <c r="C14" s="41">
        <f t="shared" si="0"/>
        <v>1.05</v>
      </c>
      <c r="D14" s="43"/>
      <c r="E14" s="24">
        <f t="shared" si="1"/>
        <v>315</v>
      </c>
    </row>
    <row r="15" spans="1:5" x14ac:dyDescent="0.25">
      <c r="A15" s="82" t="s">
        <v>312</v>
      </c>
      <c r="B15" s="24">
        <v>155</v>
      </c>
      <c r="C15" s="41">
        <f t="shared" si="0"/>
        <v>1.05</v>
      </c>
      <c r="D15" s="43"/>
      <c r="E15" s="24">
        <f t="shared" si="1"/>
        <v>162.75</v>
      </c>
    </row>
    <row r="16" spans="1:5" x14ac:dyDescent="0.25">
      <c r="A16" s="82" t="s">
        <v>313</v>
      </c>
      <c r="B16" s="24">
        <v>155</v>
      </c>
      <c r="C16" s="41">
        <f t="shared" si="0"/>
        <v>1.05</v>
      </c>
      <c r="D16" s="43"/>
      <c r="E16" s="24">
        <f t="shared" si="1"/>
        <v>162.75</v>
      </c>
    </row>
    <row r="17" spans="1:5" x14ac:dyDescent="0.25">
      <c r="A17" s="82" t="s">
        <v>314</v>
      </c>
      <c r="B17" s="24">
        <v>319.5</v>
      </c>
      <c r="C17" s="41">
        <f t="shared" si="0"/>
        <v>1.05</v>
      </c>
      <c r="D17" s="43"/>
      <c r="E17" s="24">
        <f t="shared" si="1"/>
        <v>335.47500000000002</v>
      </c>
    </row>
    <row r="18" spans="1:5" x14ac:dyDescent="0.25">
      <c r="A18" s="82" t="s">
        <v>658</v>
      </c>
      <c r="B18" s="24">
        <v>70</v>
      </c>
      <c r="C18" s="41">
        <f t="shared" si="0"/>
        <v>1.05</v>
      </c>
      <c r="D18" s="43"/>
      <c r="E18" s="24">
        <f t="shared" si="1"/>
        <v>73.5</v>
      </c>
    </row>
    <row r="19" spans="1:5" x14ac:dyDescent="0.25">
      <c r="A19" s="82" t="s">
        <v>315</v>
      </c>
      <c r="B19" s="24">
        <v>400.44</v>
      </c>
      <c r="C19" s="41">
        <f t="shared" si="0"/>
        <v>1.05</v>
      </c>
      <c r="D19" s="43"/>
      <c r="E19" s="24">
        <f t="shared" si="1"/>
        <v>420.46199999999999</v>
      </c>
    </row>
    <row r="20" spans="1:5" x14ac:dyDescent="0.25">
      <c r="A20" s="82" t="s">
        <v>316</v>
      </c>
      <c r="B20" s="24">
        <v>550</v>
      </c>
      <c r="C20" s="41">
        <f t="shared" si="0"/>
        <v>1.05</v>
      </c>
      <c r="D20" s="43"/>
      <c r="E20" s="24">
        <f t="shared" si="1"/>
        <v>577.5</v>
      </c>
    </row>
    <row r="21" spans="1:5" x14ac:dyDescent="0.25">
      <c r="A21" s="82" t="s">
        <v>317</v>
      </c>
      <c r="B21" s="24">
        <v>250</v>
      </c>
      <c r="C21" s="41">
        <f t="shared" si="0"/>
        <v>1.05</v>
      </c>
      <c r="D21" s="43"/>
      <c r="E21" s="24">
        <f t="shared" si="1"/>
        <v>262.5</v>
      </c>
    </row>
    <row r="22" spans="1:5" x14ac:dyDescent="0.25">
      <c r="A22" s="82" t="s">
        <v>318</v>
      </c>
      <c r="B22" s="24">
        <v>613.43999999999994</v>
      </c>
      <c r="C22" s="41">
        <f t="shared" si="0"/>
        <v>1.05</v>
      </c>
      <c r="D22" s="43"/>
      <c r="E22" s="24">
        <f t="shared" si="1"/>
        <v>644.11199999999997</v>
      </c>
    </row>
    <row r="23" spans="1:5" x14ac:dyDescent="0.25">
      <c r="A23" s="82" t="s">
        <v>319</v>
      </c>
      <c r="B23" s="24">
        <v>106.5</v>
      </c>
      <c r="C23" s="41">
        <f t="shared" si="0"/>
        <v>1.05</v>
      </c>
      <c r="D23" s="43"/>
      <c r="E23" s="24">
        <f t="shared" si="1"/>
        <v>111.825</v>
      </c>
    </row>
    <row r="24" spans="1:5" x14ac:dyDescent="0.25">
      <c r="A24" s="82" t="s">
        <v>320</v>
      </c>
      <c r="B24" s="24">
        <v>498.41999999999996</v>
      </c>
      <c r="C24" s="41">
        <f t="shared" si="0"/>
        <v>1.05</v>
      </c>
      <c r="D24" s="43"/>
      <c r="E24" s="24">
        <f t="shared" si="1"/>
        <v>523.34100000000001</v>
      </c>
    </row>
    <row r="25" spans="1:5" x14ac:dyDescent="0.25">
      <c r="A25" s="82" t="s">
        <v>219</v>
      </c>
      <c r="B25" s="24">
        <v>319.5</v>
      </c>
      <c r="C25" s="41">
        <f t="shared" si="0"/>
        <v>1.05</v>
      </c>
      <c r="D25" s="43"/>
      <c r="E25" s="24">
        <f t="shared" si="1"/>
        <v>335.47500000000002</v>
      </c>
    </row>
    <row r="26" spans="1:5" x14ac:dyDescent="0.25">
      <c r="A26" s="82" t="s">
        <v>564</v>
      </c>
      <c r="B26" s="24">
        <v>1701.1599999999999</v>
      </c>
      <c r="C26" s="41">
        <f t="shared" si="0"/>
        <v>1.05</v>
      </c>
      <c r="D26" s="43"/>
      <c r="E26" s="24">
        <f t="shared" ref="E26:E27" si="2">IF(D26=0,B26*C26,B26*D26)</f>
        <v>1786.2179999999998</v>
      </c>
    </row>
    <row r="27" spans="1:5" x14ac:dyDescent="0.25">
      <c r="A27" s="82" t="s">
        <v>565</v>
      </c>
      <c r="B27" s="24">
        <v>3852.4599999999996</v>
      </c>
      <c r="C27" s="41">
        <f t="shared" si="0"/>
        <v>1.05</v>
      </c>
      <c r="D27" s="43"/>
      <c r="E27" s="24">
        <f t="shared" si="2"/>
        <v>4045.0829999999996</v>
      </c>
    </row>
    <row r="28" spans="1:5" x14ac:dyDescent="0.25">
      <c r="A28" s="82" t="s">
        <v>706</v>
      </c>
      <c r="B28" s="24">
        <v>1130.32</v>
      </c>
      <c r="C28" s="41">
        <f t="shared" si="0"/>
        <v>1.05</v>
      </c>
      <c r="D28" s="43"/>
      <c r="E28" s="24">
        <f t="shared" si="1"/>
        <v>1186.836</v>
      </c>
    </row>
    <row r="29" spans="1:5" x14ac:dyDescent="0.25">
      <c r="A29" s="82" t="s">
        <v>321</v>
      </c>
      <c r="B29" s="24">
        <v>65.319999999999993</v>
      </c>
      <c r="C29" s="41">
        <f t="shared" si="0"/>
        <v>1.05</v>
      </c>
      <c r="D29" s="43"/>
      <c r="E29" s="24">
        <f t="shared" si="1"/>
        <v>68.585999999999999</v>
      </c>
    </row>
    <row r="30" spans="1:5" x14ac:dyDescent="0.25">
      <c r="A30" s="82" t="s">
        <v>322</v>
      </c>
      <c r="B30" s="24">
        <v>220</v>
      </c>
      <c r="C30" s="41">
        <f t="shared" si="0"/>
        <v>1.05</v>
      </c>
      <c r="D30" s="43"/>
      <c r="E30" s="24">
        <f t="shared" si="1"/>
        <v>231</v>
      </c>
    </row>
    <row r="31" spans="1:5" x14ac:dyDescent="0.25">
      <c r="A31" s="82" t="s">
        <v>220</v>
      </c>
      <c r="B31" s="24">
        <v>200</v>
      </c>
      <c r="C31" s="41">
        <f t="shared" si="0"/>
        <v>1.05</v>
      </c>
      <c r="D31" s="43"/>
      <c r="E31" s="24">
        <f t="shared" si="1"/>
        <v>210</v>
      </c>
    </row>
    <row r="32" spans="1:5" x14ac:dyDescent="0.25">
      <c r="A32" s="82" t="s">
        <v>323</v>
      </c>
      <c r="B32" s="24">
        <v>195.95999999999998</v>
      </c>
      <c r="C32" s="41">
        <f t="shared" si="0"/>
        <v>1.05</v>
      </c>
      <c r="D32" s="43"/>
      <c r="E32" s="24">
        <f t="shared" si="1"/>
        <v>205.75799999999998</v>
      </c>
    </row>
    <row r="33" spans="1:5" x14ac:dyDescent="0.25">
      <c r="A33" s="82" t="s">
        <v>154</v>
      </c>
      <c r="B33" s="24">
        <v>195.95999999999998</v>
      </c>
      <c r="C33" s="41">
        <f t="shared" si="0"/>
        <v>1.05</v>
      </c>
      <c r="D33" s="43"/>
      <c r="E33" s="24">
        <f t="shared" si="1"/>
        <v>205.75799999999998</v>
      </c>
    </row>
    <row r="34" spans="1:5" x14ac:dyDescent="0.25">
      <c r="A34" s="82" t="s">
        <v>324</v>
      </c>
      <c r="B34" s="24">
        <v>482.79999999999995</v>
      </c>
      <c r="C34" s="41">
        <f t="shared" si="0"/>
        <v>1.05</v>
      </c>
      <c r="D34" s="43"/>
      <c r="E34" s="24">
        <f t="shared" si="1"/>
        <v>506.94</v>
      </c>
    </row>
    <row r="35" spans="1:5" x14ac:dyDescent="0.25">
      <c r="A35" s="82" t="s">
        <v>325</v>
      </c>
      <c r="B35" s="24">
        <v>195.95999999999998</v>
      </c>
      <c r="C35" s="41">
        <f t="shared" si="0"/>
        <v>1.05</v>
      </c>
      <c r="D35" s="43"/>
      <c r="E35" s="24">
        <f t="shared" si="1"/>
        <v>205.75799999999998</v>
      </c>
    </row>
    <row r="36" spans="1:5" x14ac:dyDescent="0.25">
      <c r="A36" s="82" t="s">
        <v>155</v>
      </c>
      <c r="B36" s="24">
        <v>195.95999999999998</v>
      </c>
      <c r="C36" s="41">
        <f t="shared" si="0"/>
        <v>1.05</v>
      </c>
      <c r="D36" s="43"/>
      <c r="E36" s="24">
        <f t="shared" si="1"/>
        <v>205.75799999999998</v>
      </c>
    </row>
    <row r="37" spans="1:5" x14ac:dyDescent="0.25">
      <c r="A37" s="82" t="s">
        <v>659</v>
      </c>
      <c r="B37" s="24">
        <v>195</v>
      </c>
      <c r="C37" s="41">
        <f t="shared" si="0"/>
        <v>1.05</v>
      </c>
      <c r="D37" s="43"/>
      <c r="E37" s="24">
        <f t="shared" si="1"/>
        <v>204.75</v>
      </c>
    </row>
    <row r="38" spans="1:5" x14ac:dyDescent="0.25">
      <c r="A38" s="82" t="s">
        <v>660</v>
      </c>
      <c r="B38" s="24">
        <v>278.32</v>
      </c>
      <c r="C38" s="41">
        <f t="shared" si="0"/>
        <v>1.05</v>
      </c>
      <c r="D38" s="43"/>
      <c r="E38" s="24">
        <f t="shared" si="1"/>
        <v>292.23599999999999</v>
      </c>
    </row>
    <row r="39" spans="1:5" x14ac:dyDescent="0.25">
      <c r="A39" s="82" t="s">
        <v>326</v>
      </c>
      <c r="B39" s="24">
        <v>156.19999999999999</v>
      </c>
      <c r="C39" s="41">
        <f t="shared" si="0"/>
        <v>1.05</v>
      </c>
      <c r="D39" s="43"/>
      <c r="E39" s="24">
        <f t="shared" si="1"/>
        <v>164.01</v>
      </c>
    </row>
    <row r="40" spans="1:5" x14ac:dyDescent="0.25">
      <c r="A40" s="82" t="s">
        <v>327</v>
      </c>
      <c r="B40" s="24">
        <v>319.5</v>
      </c>
      <c r="C40" s="41">
        <f t="shared" si="0"/>
        <v>1.05</v>
      </c>
      <c r="D40" s="43"/>
      <c r="E40" s="24">
        <f t="shared" si="1"/>
        <v>335.47500000000002</v>
      </c>
    </row>
    <row r="41" spans="1:5" x14ac:dyDescent="0.25">
      <c r="A41" s="82" t="s">
        <v>328</v>
      </c>
      <c r="B41" s="24">
        <v>300</v>
      </c>
      <c r="C41" s="41">
        <f t="shared" si="0"/>
        <v>1.05</v>
      </c>
      <c r="D41" s="43"/>
      <c r="E41" s="24">
        <f t="shared" si="1"/>
        <v>315</v>
      </c>
    </row>
    <row r="42" spans="1:5" x14ac:dyDescent="0.25">
      <c r="A42" s="82" t="s">
        <v>329</v>
      </c>
      <c r="B42" s="24">
        <v>278.32</v>
      </c>
      <c r="C42" s="41">
        <f t="shared" si="0"/>
        <v>1.05</v>
      </c>
      <c r="D42" s="43"/>
      <c r="E42" s="24">
        <f t="shared" si="1"/>
        <v>292.23599999999999</v>
      </c>
    </row>
    <row r="43" spans="1:5" x14ac:dyDescent="0.25">
      <c r="A43" s="82" t="s">
        <v>222</v>
      </c>
      <c r="B43" s="24">
        <v>319.5</v>
      </c>
      <c r="C43" s="41">
        <f t="shared" si="0"/>
        <v>1.05</v>
      </c>
      <c r="D43" s="43"/>
      <c r="E43" s="24">
        <f t="shared" si="1"/>
        <v>335.47500000000002</v>
      </c>
    </row>
    <row r="44" spans="1:5" x14ac:dyDescent="0.25">
      <c r="A44" s="82" t="s">
        <v>330</v>
      </c>
      <c r="B44" s="24">
        <v>319.5</v>
      </c>
      <c r="C44" s="41">
        <f t="shared" si="0"/>
        <v>1.05</v>
      </c>
      <c r="D44" s="43"/>
      <c r="E44" s="24">
        <f t="shared" si="1"/>
        <v>335.47500000000002</v>
      </c>
    </row>
    <row r="45" spans="1:5" x14ac:dyDescent="0.25">
      <c r="A45" s="82" t="s">
        <v>475</v>
      </c>
      <c r="B45" s="24">
        <v>97.97999999999999</v>
      </c>
      <c r="C45" s="41">
        <f t="shared" si="0"/>
        <v>1.05</v>
      </c>
      <c r="D45" s="43"/>
      <c r="E45" s="24">
        <f t="shared" si="1"/>
        <v>102.87899999999999</v>
      </c>
    </row>
    <row r="46" spans="1:5" x14ac:dyDescent="0.25">
      <c r="A46" s="82" t="s">
        <v>476</v>
      </c>
      <c r="B46" s="24">
        <v>156.19999999999999</v>
      </c>
      <c r="C46" s="41">
        <f t="shared" si="0"/>
        <v>1.05</v>
      </c>
      <c r="D46" s="43"/>
      <c r="E46" s="24">
        <f t="shared" si="1"/>
        <v>164.01</v>
      </c>
    </row>
    <row r="47" spans="1:5" x14ac:dyDescent="0.25">
      <c r="A47" s="82" t="s">
        <v>477</v>
      </c>
      <c r="B47" s="24">
        <v>809.4</v>
      </c>
      <c r="C47" s="41">
        <f t="shared" si="0"/>
        <v>1.05</v>
      </c>
      <c r="D47" s="43"/>
      <c r="E47" s="24">
        <f t="shared" si="1"/>
        <v>849.87</v>
      </c>
    </row>
    <row r="48" spans="1:5" x14ac:dyDescent="0.25">
      <c r="A48" s="82" t="s">
        <v>478</v>
      </c>
      <c r="B48" s="24">
        <v>972.69999999999993</v>
      </c>
      <c r="C48" s="41">
        <f t="shared" si="0"/>
        <v>1.05</v>
      </c>
      <c r="D48" s="43"/>
      <c r="E48" s="24">
        <f t="shared" si="1"/>
        <v>1021.3349999999999</v>
      </c>
    </row>
    <row r="49" spans="1:5" x14ac:dyDescent="0.25">
      <c r="A49" s="82" t="s">
        <v>479</v>
      </c>
      <c r="B49" s="24">
        <v>1136</v>
      </c>
      <c r="C49" s="41">
        <f t="shared" si="0"/>
        <v>1.05</v>
      </c>
      <c r="D49" s="43"/>
      <c r="E49" s="24">
        <f t="shared" si="1"/>
        <v>1192.8</v>
      </c>
    </row>
    <row r="50" spans="1:5" x14ac:dyDescent="0.25">
      <c r="A50" s="82" t="s">
        <v>480</v>
      </c>
      <c r="B50" s="24">
        <v>1299.3</v>
      </c>
      <c r="C50" s="41">
        <f t="shared" si="0"/>
        <v>1.05</v>
      </c>
      <c r="D50" s="43"/>
      <c r="E50" s="24">
        <f t="shared" si="1"/>
        <v>1364.2650000000001</v>
      </c>
    </row>
    <row r="51" spans="1:5" x14ac:dyDescent="0.25">
      <c r="A51" s="82" t="s">
        <v>331</v>
      </c>
      <c r="B51" s="24">
        <v>809.4</v>
      </c>
      <c r="C51" s="41">
        <f t="shared" si="0"/>
        <v>1.05</v>
      </c>
      <c r="D51" s="43"/>
      <c r="E51" s="24">
        <f t="shared" si="1"/>
        <v>849.87</v>
      </c>
    </row>
    <row r="52" spans="1:5" x14ac:dyDescent="0.25">
      <c r="A52" s="82" t="s">
        <v>332</v>
      </c>
      <c r="B52" s="24">
        <v>482.79999999999995</v>
      </c>
      <c r="C52" s="41">
        <f t="shared" si="0"/>
        <v>1.05</v>
      </c>
      <c r="D52" s="43"/>
      <c r="E52" s="24">
        <f t="shared" si="1"/>
        <v>506.94</v>
      </c>
    </row>
    <row r="53" spans="1:5" x14ac:dyDescent="0.25">
      <c r="A53" s="82" t="s">
        <v>333</v>
      </c>
      <c r="B53" s="24">
        <v>4850.7199999999993</v>
      </c>
      <c r="C53" s="41">
        <f t="shared" si="0"/>
        <v>1.05</v>
      </c>
      <c r="D53" s="43"/>
      <c r="E53" s="24">
        <f t="shared" si="1"/>
        <v>5093.2559999999994</v>
      </c>
    </row>
    <row r="54" spans="1:5" x14ac:dyDescent="0.25">
      <c r="A54" s="82" t="s">
        <v>45</v>
      </c>
      <c r="B54" s="24">
        <v>319.5</v>
      </c>
      <c r="C54" s="41">
        <f t="shared" si="0"/>
        <v>1.05</v>
      </c>
      <c r="D54" s="43"/>
      <c r="E54" s="24">
        <f t="shared" si="1"/>
        <v>335.47500000000002</v>
      </c>
    </row>
    <row r="55" spans="1:5" x14ac:dyDescent="0.25">
      <c r="A55" s="82" t="s">
        <v>46</v>
      </c>
      <c r="B55" s="24">
        <v>130.63999999999999</v>
      </c>
      <c r="C55" s="41">
        <f t="shared" si="0"/>
        <v>1.05</v>
      </c>
      <c r="D55" s="43"/>
      <c r="E55" s="24">
        <f t="shared" si="1"/>
        <v>137.172</v>
      </c>
    </row>
    <row r="56" spans="1:5" x14ac:dyDescent="0.25">
      <c r="A56" s="82" t="s">
        <v>60</v>
      </c>
      <c r="B56" s="24">
        <v>195.95999999999998</v>
      </c>
      <c r="C56" s="41">
        <f t="shared" si="0"/>
        <v>1.05</v>
      </c>
      <c r="D56" s="43"/>
      <c r="E56" s="24">
        <f t="shared" si="1"/>
        <v>205.75799999999998</v>
      </c>
    </row>
    <row r="57" spans="1:5" x14ac:dyDescent="0.25">
      <c r="A57" s="82" t="s">
        <v>47</v>
      </c>
      <c r="B57" s="24">
        <v>130.63999999999999</v>
      </c>
      <c r="C57" s="41">
        <f t="shared" si="0"/>
        <v>1.05</v>
      </c>
      <c r="D57" s="43"/>
      <c r="E57" s="24">
        <f t="shared" si="1"/>
        <v>137.172</v>
      </c>
    </row>
    <row r="58" spans="1:5" x14ac:dyDescent="0.25">
      <c r="A58" s="82" t="s">
        <v>48</v>
      </c>
      <c r="B58" s="24">
        <v>195.95999999999998</v>
      </c>
      <c r="C58" s="41">
        <f t="shared" si="0"/>
        <v>1.05</v>
      </c>
      <c r="D58" s="43"/>
      <c r="E58" s="24">
        <f t="shared" si="1"/>
        <v>205.75799999999998</v>
      </c>
    </row>
    <row r="59" spans="1:5" x14ac:dyDescent="0.25">
      <c r="A59" s="82" t="s">
        <v>49</v>
      </c>
      <c r="B59" s="24">
        <v>41.18</v>
      </c>
      <c r="C59" s="41">
        <f t="shared" si="0"/>
        <v>1.05</v>
      </c>
      <c r="D59" s="43"/>
      <c r="E59" s="24">
        <f t="shared" si="1"/>
        <v>43.239000000000004</v>
      </c>
    </row>
    <row r="60" spans="1:5" x14ac:dyDescent="0.25">
      <c r="A60" s="82" t="s">
        <v>50</v>
      </c>
      <c r="B60" s="24">
        <v>82.36</v>
      </c>
      <c r="C60" s="41">
        <f t="shared" si="0"/>
        <v>1.05</v>
      </c>
      <c r="D60" s="43"/>
      <c r="E60" s="24">
        <f t="shared" si="1"/>
        <v>86.478000000000009</v>
      </c>
    </row>
    <row r="61" spans="1:5" x14ac:dyDescent="0.25">
      <c r="A61" s="82" t="s">
        <v>51</v>
      </c>
      <c r="B61" s="24">
        <v>41.18</v>
      </c>
      <c r="C61" s="41">
        <f t="shared" si="0"/>
        <v>1.05</v>
      </c>
      <c r="D61" s="43"/>
      <c r="E61" s="24">
        <f t="shared" si="1"/>
        <v>43.239000000000004</v>
      </c>
    </row>
    <row r="62" spans="1:5" x14ac:dyDescent="0.25">
      <c r="A62" s="82" t="s">
        <v>334</v>
      </c>
      <c r="B62" s="24">
        <v>105</v>
      </c>
      <c r="C62" s="41">
        <f t="shared" si="0"/>
        <v>1.05</v>
      </c>
      <c r="D62" s="43"/>
      <c r="E62" s="24">
        <f t="shared" si="1"/>
        <v>110.25</v>
      </c>
    </row>
    <row r="63" spans="1:5" x14ac:dyDescent="0.25">
      <c r="A63" s="82" t="s">
        <v>335</v>
      </c>
      <c r="B63" s="24">
        <v>237.14</v>
      </c>
      <c r="C63" s="41">
        <f t="shared" si="0"/>
        <v>1.05</v>
      </c>
      <c r="D63" s="43"/>
      <c r="E63" s="24">
        <f t="shared" si="1"/>
        <v>248.99699999999999</v>
      </c>
    </row>
    <row r="64" spans="1:5" x14ac:dyDescent="0.25">
      <c r="A64" s="82" t="s">
        <v>336</v>
      </c>
      <c r="B64" s="24">
        <v>195.95999999999998</v>
      </c>
      <c r="C64" s="41">
        <f t="shared" si="0"/>
        <v>1.05</v>
      </c>
      <c r="D64" s="43"/>
      <c r="E64" s="24">
        <f t="shared" si="1"/>
        <v>205.75799999999998</v>
      </c>
    </row>
    <row r="65" spans="1:5" x14ac:dyDescent="0.25">
      <c r="A65" s="82" t="s">
        <v>481</v>
      </c>
      <c r="B65" s="24">
        <v>147.68</v>
      </c>
      <c r="C65" s="41">
        <f t="shared" si="0"/>
        <v>1.05</v>
      </c>
      <c r="D65" s="43"/>
      <c r="E65" s="24">
        <f t="shared" si="1"/>
        <v>155.06400000000002</v>
      </c>
    </row>
    <row r="66" spans="1:5" x14ac:dyDescent="0.25">
      <c r="A66" s="82" t="s">
        <v>482</v>
      </c>
      <c r="B66" s="24">
        <v>130.63999999999999</v>
      </c>
      <c r="C66" s="41">
        <f t="shared" si="0"/>
        <v>1.05</v>
      </c>
      <c r="D66" s="43"/>
      <c r="E66" s="24">
        <f t="shared" si="1"/>
        <v>137.172</v>
      </c>
    </row>
    <row r="67" spans="1:5" x14ac:dyDescent="0.25">
      <c r="A67" s="82" t="s">
        <v>483</v>
      </c>
      <c r="B67" s="24">
        <v>82.36</v>
      </c>
      <c r="C67" s="41">
        <f t="shared" si="0"/>
        <v>1.05</v>
      </c>
      <c r="D67" s="43"/>
      <c r="E67" s="24">
        <f t="shared" si="1"/>
        <v>86.478000000000009</v>
      </c>
    </row>
    <row r="68" spans="1:5" x14ac:dyDescent="0.25">
      <c r="A68" s="82" t="s">
        <v>484</v>
      </c>
      <c r="B68" s="24">
        <v>97.97999999999999</v>
      </c>
      <c r="C68" s="41">
        <f t="shared" si="0"/>
        <v>1.05</v>
      </c>
      <c r="D68" s="43"/>
      <c r="E68" s="24">
        <f t="shared" si="1"/>
        <v>102.87899999999999</v>
      </c>
    </row>
    <row r="69" spans="1:5" x14ac:dyDescent="0.25">
      <c r="A69" s="82" t="s">
        <v>337</v>
      </c>
      <c r="B69" s="24">
        <v>156.19999999999999</v>
      </c>
      <c r="C69" s="41">
        <f t="shared" ref="C69:C132" si="3">$D$3</f>
        <v>1.05</v>
      </c>
      <c r="D69" s="43"/>
      <c r="E69" s="24">
        <f t="shared" si="1"/>
        <v>164.01</v>
      </c>
    </row>
    <row r="70" spans="1:5" x14ac:dyDescent="0.25">
      <c r="A70" s="82" t="s">
        <v>661</v>
      </c>
      <c r="B70" s="24">
        <v>359.26</v>
      </c>
      <c r="C70" s="41">
        <f t="shared" si="3"/>
        <v>1.05</v>
      </c>
      <c r="D70" s="43"/>
      <c r="E70" s="24">
        <f t="shared" ref="E70:E135" si="4">IF(D70=0,B70*C70,B70*D70)</f>
        <v>377.22300000000001</v>
      </c>
    </row>
    <row r="71" spans="1:5" x14ac:dyDescent="0.25">
      <c r="A71" s="82" t="s">
        <v>338</v>
      </c>
      <c r="B71" s="24">
        <v>261.27999999999997</v>
      </c>
      <c r="C71" s="41">
        <f t="shared" si="3"/>
        <v>1.05</v>
      </c>
      <c r="D71" s="43"/>
      <c r="E71" s="24">
        <f t="shared" si="4"/>
        <v>274.34399999999999</v>
      </c>
    </row>
    <row r="72" spans="1:5" x14ac:dyDescent="0.25">
      <c r="A72" s="82" t="s">
        <v>138</v>
      </c>
      <c r="B72" s="24">
        <v>195</v>
      </c>
      <c r="C72" s="41">
        <f t="shared" si="3"/>
        <v>1.05</v>
      </c>
      <c r="D72" s="43"/>
      <c r="E72" s="24">
        <f t="shared" si="4"/>
        <v>204.75</v>
      </c>
    </row>
    <row r="73" spans="1:5" x14ac:dyDescent="0.25">
      <c r="A73" s="82" t="s">
        <v>339</v>
      </c>
      <c r="B73" s="24">
        <v>261.27999999999997</v>
      </c>
      <c r="C73" s="41">
        <f t="shared" si="3"/>
        <v>1.05</v>
      </c>
      <c r="D73" s="43"/>
      <c r="E73" s="24">
        <f t="shared" si="4"/>
        <v>274.34399999999999</v>
      </c>
    </row>
    <row r="74" spans="1:5" x14ac:dyDescent="0.25">
      <c r="A74" s="82" t="s">
        <v>156</v>
      </c>
      <c r="B74" s="24">
        <v>213</v>
      </c>
      <c r="C74" s="41">
        <f t="shared" si="3"/>
        <v>1.05</v>
      </c>
      <c r="D74" s="43"/>
      <c r="E74" s="24">
        <f t="shared" si="4"/>
        <v>223.65</v>
      </c>
    </row>
    <row r="75" spans="1:5" x14ac:dyDescent="0.25">
      <c r="A75" s="82" t="s">
        <v>340</v>
      </c>
      <c r="B75" s="24">
        <v>482.79999999999995</v>
      </c>
      <c r="C75" s="41">
        <f t="shared" si="3"/>
        <v>1.05</v>
      </c>
      <c r="D75" s="43"/>
      <c r="E75" s="24">
        <f t="shared" si="4"/>
        <v>506.94</v>
      </c>
    </row>
    <row r="76" spans="1:5" x14ac:dyDescent="0.25">
      <c r="A76" s="82" t="s">
        <v>54</v>
      </c>
      <c r="B76" s="24">
        <v>563.74</v>
      </c>
      <c r="C76" s="41">
        <f t="shared" si="3"/>
        <v>1.05</v>
      </c>
      <c r="D76" s="43"/>
      <c r="E76" s="24">
        <f t="shared" si="4"/>
        <v>591.92700000000002</v>
      </c>
    </row>
    <row r="77" spans="1:5" x14ac:dyDescent="0.25">
      <c r="A77" s="82" t="s">
        <v>221</v>
      </c>
      <c r="B77" s="24">
        <v>200</v>
      </c>
      <c r="C77" s="41">
        <f t="shared" si="3"/>
        <v>1.05</v>
      </c>
      <c r="D77" s="43"/>
      <c r="E77" s="24">
        <f t="shared" si="4"/>
        <v>210</v>
      </c>
    </row>
    <row r="78" spans="1:5" x14ac:dyDescent="0.25">
      <c r="A78" s="82" t="s">
        <v>157</v>
      </c>
      <c r="B78" s="24">
        <v>228.61999999999998</v>
      </c>
      <c r="C78" s="41">
        <f t="shared" si="3"/>
        <v>1.05</v>
      </c>
      <c r="D78" s="43"/>
      <c r="E78" s="24">
        <f t="shared" si="4"/>
        <v>240.05099999999999</v>
      </c>
    </row>
    <row r="79" spans="1:5" x14ac:dyDescent="0.25">
      <c r="A79" s="82" t="s">
        <v>662</v>
      </c>
      <c r="B79" s="24">
        <v>82.36</v>
      </c>
      <c r="C79" s="41">
        <f t="shared" si="3"/>
        <v>1.05</v>
      </c>
      <c r="D79" s="43"/>
      <c r="E79" s="24">
        <f t="shared" si="4"/>
        <v>86.478000000000009</v>
      </c>
    </row>
    <row r="80" spans="1:5" x14ac:dyDescent="0.25">
      <c r="A80" s="82" t="s">
        <v>485</v>
      </c>
      <c r="B80" s="24">
        <v>400.44</v>
      </c>
      <c r="C80" s="41">
        <f t="shared" si="3"/>
        <v>1.05</v>
      </c>
      <c r="D80" s="43"/>
      <c r="E80" s="24">
        <f t="shared" si="4"/>
        <v>420.46199999999999</v>
      </c>
    </row>
    <row r="81" spans="1:5" x14ac:dyDescent="0.25">
      <c r="A81" s="82" t="s">
        <v>486</v>
      </c>
      <c r="B81" s="24">
        <v>563.74</v>
      </c>
      <c r="C81" s="41">
        <f t="shared" si="3"/>
        <v>1.05</v>
      </c>
      <c r="D81" s="43"/>
      <c r="E81" s="24">
        <f t="shared" si="4"/>
        <v>591.92700000000002</v>
      </c>
    </row>
    <row r="82" spans="1:5" x14ac:dyDescent="0.25">
      <c r="A82" s="82" t="s">
        <v>341</v>
      </c>
      <c r="B82" s="24">
        <v>319.5</v>
      </c>
      <c r="C82" s="41">
        <f t="shared" si="3"/>
        <v>1.05</v>
      </c>
      <c r="D82" s="43"/>
      <c r="E82" s="24">
        <f t="shared" si="4"/>
        <v>335.47500000000002</v>
      </c>
    </row>
    <row r="83" spans="1:5" x14ac:dyDescent="0.25">
      <c r="A83" s="82" t="s">
        <v>61</v>
      </c>
      <c r="B83" s="24">
        <v>97.97999999999999</v>
      </c>
      <c r="C83" s="41">
        <f t="shared" si="3"/>
        <v>1.05</v>
      </c>
      <c r="D83" s="43"/>
      <c r="E83" s="24">
        <f t="shared" si="4"/>
        <v>102.87899999999999</v>
      </c>
    </row>
    <row r="84" spans="1:5" x14ac:dyDescent="0.25">
      <c r="A84" s="82" t="s">
        <v>342</v>
      </c>
      <c r="B84" s="24">
        <v>613.43999999999994</v>
      </c>
      <c r="C84" s="41">
        <f t="shared" si="3"/>
        <v>1.05</v>
      </c>
      <c r="D84" s="43"/>
      <c r="E84" s="24">
        <f t="shared" si="4"/>
        <v>644.11199999999997</v>
      </c>
    </row>
    <row r="85" spans="1:5" x14ac:dyDescent="0.25">
      <c r="A85" s="82" t="s">
        <v>343</v>
      </c>
      <c r="B85" s="24">
        <v>646.1</v>
      </c>
      <c r="C85" s="41">
        <f t="shared" si="3"/>
        <v>1.05</v>
      </c>
      <c r="D85" s="43"/>
      <c r="E85" s="24">
        <f t="shared" si="4"/>
        <v>678.40500000000009</v>
      </c>
    </row>
    <row r="86" spans="1:5" x14ac:dyDescent="0.25">
      <c r="A86" s="82" t="s">
        <v>663</v>
      </c>
      <c r="B86" s="24">
        <v>376.29999999999995</v>
      </c>
      <c r="C86" s="41">
        <f t="shared" si="3"/>
        <v>1.05</v>
      </c>
      <c r="D86" s="43"/>
      <c r="E86" s="24">
        <f t="shared" si="4"/>
        <v>395.11499999999995</v>
      </c>
    </row>
    <row r="87" spans="1:5" x14ac:dyDescent="0.25">
      <c r="A87" s="82" t="s">
        <v>344</v>
      </c>
      <c r="B87" s="24">
        <v>809.4</v>
      </c>
      <c r="C87" s="41">
        <f t="shared" si="3"/>
        <v>1.05</v>
      </c>
      <c r="D87" s="43"/>
      <c r="E87" s="24">
        <f t="shared" si="4"/>
        <v>849.87</v>
      </c>
    </row>
    <row r="88" spans="1:5" x14ac:dyDescent="0.25">
      <c r="A88" s="82" t="s">
        <v>158</v>
      </c>
      <c r="B88" s="24">
        <v>940.04</v>
      </c>
      <c r="C88" s="41">
        <f t="shared" si="3"/>
        <v>1.05</v>
      </c>
      <c r="D88" s="43"/>
      <c r="E88" s="24">
        <f t="shared" si="4"/>
        <v>987.04200000000003</v>
      </c>
    </row>
    <row r="89" spans="1:5" x14ac:dyDescent="0.25">
      <c r="A89" s="82" t="s">
        <v>345</v>
      </c>
      <c r="B89" s="24">
        <v>237.14</v>
      </c>
      <c r="C89" s="41">
        <f t="shared" si="3"/>
        <v>1.05</v>
      </c>
      <c r="D89" s="43"/>
      <c r="E89" s="24">
        <f t="shared" si="4"/>
        <v>248.99699999999999</v>
      </c>
    </row>
    <row r="90" spans="1:5" x14ac:dyDescent="0.25">
      <c r="A90" s="82" t="s">
        <v>62</v>
      </c>
      <c r="B90" s="24">
        <v>310.97999999999996</v>
      </c>
      <c r="C90" s="41">
        <f t="shared" si="3"/>
        <v>1.05</v>
      </c>
      <c r="D90" s="43"/>
      <c r="E90" s="24">
        <f t="shared" si="4"/>
        <v>326.529</v>
      </c>
    </row>
    <row r="91" spans="1:5" x14ac:dyDescent="0.25">
      <c r="A91" s="82" t="s">
        <v>487</v>
      </c>
      <c r="B91" s="24">
        <v>1617.3799999999999</v>
      </c>
      <c r="C91" s="41">
        <f t="shared" si="3"/>
        <v>1.05</v>
      </c>
      <c r="D91" s="43"/>
      <c r="E91" s="24">
        <f t="shared" si="4"/>
        <v>1698.249</v>
      </c>
    </row>
    <row r="92" spans="1:5" x14ac:dyDescent="0.25">
      <c r="A92" s="82" t="s">
        <v>346</v>
      </c>
      <c r="B92" s="24">
        <v>319.5</v>
      </c>
      <c r="C92" s="41">
        <f t="shared" si="3"/>
        <v>1.05</v>
      </c>
      <c r="D92" s="43"/>
      <c r="E92" s="24">
        <f t="shared" si="4"/>
        <v>335.47500000000002</v>
      </c>
    </row>
    <row r="93" spans="1:5" x14ac:dyDescent="0.25">
      <c r="A93" s="82" t="s">
        <v>664</v>
      </c>
      <c r="B93" s="24">
        <v>228.61999999999998</v>
      </c>
      <c r="C93" s="41">
        <f t="shared" si="3"/>
        <v>1.05</v>
      </c>
      <c r="D93" s="43"/>
      <c r="E93" s="24">
        <f t="shared" si="4"/>
        <v>240.05099999999999</v>
      </c>
    </row>
    <row r="94" spans="1:5" x14ac:dyDescent="0.25">
      <c r="A94" s="82" t="s">
        <v>665</v>
      </c>
      <c r="B94" s="24">
        <v>97.97999999999999</v>
      </c>
      <c r="C94" s="41">
        <f t="shared" si="3"/>
        <v>1.05</v>
      </c>
      <c r="D94" s="43"/>
      <c r="E94" s="24">
        <f t="shared" si="4"/>
        <v>102.87899999999999</v>
      </c>
    </row>
    <row r="95" spans="1:5" x14ac:dyDescent="0.25">
      <c r="A95" s="82" t="s">
        <v>666</v>
      </c>
      <c r="B95" s="24">
        <v>450</v>
      </c>
      <c r="C95" s="41">
        <f t="shared" si="3"/>
        <v>1.05</v>
      </c>
      <c r="D95" s="43"/>
      <c r="E95" s="24">
        <f t="shared" si="4"/>
        <v>472.5</v>
      </c>
    </row>
    <row r="96" spans="1:5" x14ac:dyDescent="0.25">
      <c r="A96" s="82" t="s">
        <v>159</v>
      </c>
      <c r="B96" s="24">
        <v>800</v>
      </c>
      <c r="C96" s="41">
        <f t="shared" si="3"/>
        <v>1.05</v>
      </c>
      <c r="D96" s="43"/>
      <c r="E96" s="24">
        <f t="shared" si="4"/>
        <v>840</v>
      </c>
    </row>
    <row r="97" spans="1:5" x14ac:dyDescent="0.25">
      <c r="A97" s="82" t="s">
        <v>63</v>
      </c>
      <c r="B97" s="24">
        <v>400.44</v>
      </c>
      <c r="C97" s="41">
        <f t="shared" si="3"/>
        <v>1.05</v>
      </c>
      <c r="D97" s="43"/>
      <c r="E97" s="24">
        <f t="shared" si="4"/>
        <v>420.46199999999999</v>
      </c>
    </row>
    <row r="98" spans="1:5" x14ac:dyDescent="0.25">
      <c r="A98" s="82" t="s">
        <v>488</v>
      </c>
      <c r="B98" s="24">
        <v>972.69999999999993</v>
      </c>
      <c r="C98" s="41">
        <f t="shared" si="3"/>
        <v>1.05</v>
      </c>
      <c r="D98" s="43"/>
      <c r="E98" s="24">
        <f t="shared" si="4"/>
        <v>1021.3349999999999</v>
      </c>
    </row>
    <row r="99" spans="1:5" x14ac:dyDescent="0.25">
      <c r="A99" s="82" t="s">
        <v>489</v>
      </c>
      <c r="B99" s="24">
        <v>3980</v>
      </c>
      <c r="C99" s="41">
        <f t="shared" si="3"/>
        <v>1.05</v>
      </c>
      <c r="D99" s="43"/>
      <c r="E99" s="24">
        <f t="shared" si="4"/>
        <v>4179</v>
      </c>
    </row>
    <row r="100" spans="1:5" x14ac:dyDescent="0.25">
      <c r="A100" s="82" t="s">
        <v>490</v>
      </c>
      <c r="B100" s="24">
        <v>1127.48</v>
      </c>
      <c r="C100" s="41">
        <f t="shared" si="3"/>
        <v>1.05</v>
      </c>
      <c r="D100" s="43"/>
      <c r="E100" s="24">
        <f t="shared" si="4"/>
        <v>1183.854</v>
      </c>
    </row>
    <row r="101" spans="1:5" x14ac:dyDescent="0.25">
      <c r="A101" s="82" t="s">
        <v>491</v>
      </c>
      <c r="B101" s="24">
        <v>2980</v>
      </c>
      <c r="C101" s="41">
        <f t="shared" si="3"/>
        <v>1.05</v>
      </c>
      <c r="D101" s="43"/>
      <c r="E101" s="24">
        <f t="shared" si="4"/>
        <v>3129</v>
      </c>
    </row>
    <row r="102" spans="1:5" x14ac:dyDescent="0.25">
      <c r="A102" s="82" t="s">
        <v>667</v>
      </c>
      <c r="B102" s="24">
        <v>563.74</v>
      </c>
      <c r="C102" s="41">
        <f t="shared" si="3"/>
        <v>1.05</v>
      </c>
      <c r="D102" s="43"/>
      <c r="E102" s="24">
        <f t="shared" si="4"/>
        <v>591.92700000000002</v>
      </c>
    </row>
    <row r="103" spans="1:5" x14ac:dyDescent="0.25">
      <c r="A103" s="82" t="s">
        <v>347</v>
      </c>
      <c r="B103" s="24">
        <v>646.1</v>
      </c>
      <c r="C103" s="41">
        <f t="shared" si="3"/>
        <v>1.05</v>
      </c>
      <c r="D103" s="43"/>
      <c r="E103" s="24">
        <f t="shared" si="4"/>
        <v>678.40500000000009</v>
      </c>
    </row>
    <row r="104" spans="1:5" x14ac:dyDescent="0.25">
      <c r="A104" s="82" t="s">
        <v>348</v>
      </c>
      <c r="B104" s="24">
        <v>809.4</v>
      </c>
      <c r="C104" s="41">
        <f t="shared" si="3"/>
        <v>1.05</v>
      </c>
      <c r="D104" s="43"/>
      <c r="E104" s="24">
        <f t="shared" si="4"/>
        <v>849.87</v>
      </c>
    </row>
    <row r="105" spans="1:5" x14ac:dyDescent="0.25">
      <c r="A105" s="82" t="s">
        <v>349</v>
      </c>
      <c r="B105" s="24">
        <v>809.4</v>
      </c>
      <c r="C105" s="41">
        <f t="shared" si="3"/>
        <v>1.05</v>
      </c>
      <c r="D105" s="43"/>
      <c r="E105" s="24">
        <f t="shared" si="4"/>
        <v>849.87</v>
      </c>
    </row>
    <row r="106" spans="1:5" x14ac:dyDescent="0.25">
      <c r="A106" s="82" t="s">
        <v>668</v>
      </c>
      <c r="B106" s="24">
        <v>646.1</v>
      </c>
      <c r="C106" s="41">
        <f t="shared" si="3"/>
        <v>1.05</v>
      </c>
      <c r="D106" s="43"/>
      <c r="E106" s="24">
        <f t="shared" si="4"/>
        <v>678.40500000000009</v>
      </c>
    </row>
    <row r="107" spans="1:5" x14ac:dyDescent="0.25">
      <c r="A107" s="82" t="s">
        <v>669</v>
      </c>
      <c r="B107" s="24">
        <v>1053.6399999999999</v>
      </c>
      <c r="C107" s="41">
        <f t="shared" si="3"/>
        <v>1.05</v>
      </c>
      <c r="D107" s="43"/>
      <c r="E107" s="24">
        <f t="shared" si="4"/>
        <v>1106.3219999999999</v>
      </c>
    </row>
    <row r="108" spans="1:5" x14ac:dyDescent="0.25">
      <c r="A108" s="82" t="s">
        <v>670</v>
      </c>
      <c r="B108" s="24">
        <v>850</v>
      </c>
      <c r="C108" s="41">
        <f t="shared" si="3"/>
        <v>1.05</v>
      </c>
      <c r="D108" s="43"/>
      <c r="E108" s="24">
        <f t="shared" si="4"/>
        <v>892.5</v>
      </c>
    </row>
    <row r="109" spans="1:5" x14ac:dyDescent="0.25">
      <c r="A109" s="82" t="s">
        <v>350</v>
      </c>
      <c r="B109" s="24">
        <v>156.19999999999999</v>
      </c>
      <c r="C109" s="41">
        <f t="shared" si="3"/>
        <v>1.05</v>
      </c>
      <c r="D109" s="43"/>
      <c r="E109" s="24">
        <f t="shared" si="4"/>
        <v>164.01</v>
      </c>
    </row>
    <row r="110" spans="1:5" x14ac:dyDescent="0.25">
      <c r="A110" s="82" t="s">
        <v>351</v>
      </c>
      <c r="B110" s="24">
        <v>97.97999999999999</v>
      </c>
      <c r="C110" s="41">
        <f t="shared" si="3"/>
        <v>1.05</v>
      </c>
      <c r="D110" s="43"/>
      <c r="E110" s="24">
        <f t="shared" si="4"/>
        <v>102.87899999999999</v>
      </c>
    </row>
    <row r="111" spans="1:5" x14ac:dyDescent="0.25">
      <c r="A111" s="82" t="s">
        <v>352</v>
      </c>
      <c r="B111" s="24">
        <v>237.14</v>
      </c>
      <c r="C111" s="41">
        <f t="shared" si="3"/>
        <v>1.05</v>
      </c>
      <c r="D111" s="43"/>
      <c r="E111" s="24">
        <f t="shared" si="4"/>
        <v>248.99699999999999</v>
      </c>
    </row>
    <row r="112" spans="1:5" x14ac:dyDescent="0.25">
      <c r="A112" s="82" t="s">
        <v>353</v>
      </c>
      <c r="B112" s="24">
        <v>376.29999999999995</v>
      </c>
      <c r="C112" s="41">
        <f t="shared" si="3"/>
        <v>1.05</v>
      </c>
      <c r="D112" s="43"/>
      <c r="E112" s="24">
        <f t="shared" si="4"/>
        <v>395.11499999999995</v>
      </c>
    </row>
    <row r="113" spans="1:5" x14ac:dyDescent="0.25">
      <c r="A113" s="82" t="s">
        <v>492</v>
      </c>
      <c r="B113" s="24">
        <v>931.52</v>
      </c>
      <c r="C113" s="41">
        <f t="shared" si="3"/>
        <v>1.05</v>
      </c>
      <c r="D113" s="43"/>
      <c r="E113" s="24">
        <f t="shared" si="4"/>
        <v>978.096</v>
      </c>
    </row>
    <row r="114" spans="1:5" x14ac:dyDescent="0.25">
      <c r="A114" s="82" t="s">
        <v>493</v>
      </c>
      <c r="B114" s="24">
        <v>1127.48</v>
      </c>
      <c r="C114" s="41">
        <f t="shared" si="3"/>
        <v>1.05</v>
      </c>
      <c r="D114" s="43"/>
      <c r="E114" s="24">
        <f t="shared" si="4"/>
        <v>1183.854</v>
      </c>
    </row>
    <row r="115" spans="1:5" x14ac:dyDescent="0.25">
      <c r="A115" s="82" t="s">
        <v>354</v>
      </c>
      <c r="B115" s="24">
        <v>139.16</v>
      </c>
      <c r="C115" s="41">
        <f t="shared" si="3"/>
        <v>1.05</v>
      </c>
      <c r="D115" s="43"/>
      <c r="E115" s="24">
        <f t="shared" si="4"/>
        <v>146.11799999999999</v>
      </c>
    </row>
    <row r="116" spans="1:5" x14ac:dyDescent="0.25">
      <c r="A116" s="82" t="s">
        <v>671</v>
      </c>
      <c r="B116" s="24">
        <v>156.19999999999999</v>
      </c>
      <c r="C116" s="41">
        <f t="shared" si="3"/>
        <v>1.05</v>
      </c>
      <c r="D116" s="43"/>
      <c r="E116" s="24">
        <f t="shared" si="4"/>
        <v>164.01</v>
      </c>
    </row>
    <row r="117" spans="1:5" x14ac:dyDescent="0.25">
      <c r="A117" s="82" t="s">
        <v>146</v>
      </c>
      <c r="B117" s="24">
        <v>319.5</v>
      </c>
      <c r="C117" s="41">
        <f t="shared" si="3"/>
        <v>1.05</v>
      </c>
      <c r="D117" s="43"/>
      <c r="E117" s="24">
        <f t="shared" si="4"/>
        <v>335.47500000000002</v>
      </c>
    </row>
    <row r="118" spans="1:5" x14ac:dyDescent="0.25">
      <c r="A118" s="82" t="s">
        <v>64</v>
      </c>
      <c r="B118" s="24">
        <v>972.69999999999993</v>
      </c>
      <c r="C118" s="41">
        <f t="shared" si="3"/>
        <v>1.05</v>
      </c>
      <c r="D118" s="43"/>
      <c r="E118" s="24">
        <f t="shared" si="4"/>
        <v>1021.3349999999999</v>
      </c>
    </row>
    <row r="119" spans="1:5" x14ac:dyDescent="0.25">
      <c r="A119" s="82" t="s">
        <v>672</v>
      </c>
      <c r="B119" s="24">
        <v>32.659999999999997</v>
      </c>
      <c r="C119" s="41">
        <f t="shared" si="3"/>
        <v>1.05</v>
      </c>
      <c r="D119" s="43"/>
      <c r="E119" s="24">
        <f t="shared" si="4"/>
        <v>34.292999999999999</v>
      </c>
    </row>
    <row r="120" spans="1:5" x14ac:dyDescent="0.25">
      <c r="A120" s="82" t="s">
        <v>177</v>
      </c>
      <c r="B120" s="24">
        <v>156.19999999999999</v>
      </c>
      <c r="C120" s="41">
        <f t="shared" si="3"/>
        <v>1.05</v>
      </c>
      <c r="D120" s="43"/>
      <c r="E120" s="24">
        <f t="shared" si="4"/>
        <v>164.01</v>
      </c>
    </row>
    <row r="121" spans="1:5" x14ac:dyDescent="0.25">
      <c r="A121" s="82" t="s">
        <v>355</v>
      </c>
      <c r="B121" s="24">
        <v>572.26</v>
      </c>
      <c r="C121" s="41">
        <f t="shared" si="3"/>
        <v>1.05</v>
      </c>
      <c r="D121" s="43"/>
      <c r="E121" s="24">
        <f t="shared" si="4"/>
        <v>600.87300000000005</v>
      </c>
    </row>
    <row r="122" spans="1:5" x14ac:dyDescent="0.25">
      <c r="A122" s="82" t="s">
        <v>494</v>
      </c>
      <c r="B122" s="24">
        <v>3748.7999999999997</v>
      </c>
      <c r="C122" s="41">
        <f t="shared" si="3"/>
        <v>1.05</v>
      </c>
      <c r="D122" s="43"/>
      <c r="E122" s="24">
        <f t="shared" si="4"/>
        <v>3936.24</v>
      </c>
    </row>
    <row r="123" spans="1:5" x14ac:dyDescent="0.25">
      <c r="A123" s="82" t="s">
        <v>495</v>
      </c>
      <c r="B123" s="24">
        <v>4850.7199999999993</v>
      </c>
      <c r="C123" s="41">
        <f t="shared" si="3"/>
        <v>1.05</v>
      </c>
      <c r="D123" s="43"/>
      <c r="E123" s="24">
        <f t="shared" si="4"/>
        <v>5093.2559999999994</v>
      </c>
    </row>
    <row r="124" spans="1:5" x14ac:dyDescent="0.25">
      <c r="A124" s="82" t="s">
        <v>496</v>
      </c>
      <c r="B124" s="24">
        <v>4042.74</v>
      </c>
      <c r="C124" s="41">
        <f t="shared" si="3"/>
        <v>1.05</v>
      </c>
      <c r="D124" s="43"/>
      <c r="E124" s="24">
        <f t="shared" si="4"/>
        <v>4244.8769999999995</v>
      </c>
    </row>
    <row r="125" spans="1:5" s="192" customFormat="1" x14ac:dyDescent="0.25">
      <c r="A125" s="232" t="s">
        <v>1018</v>
      </c>
      <c r="B125" s="190">
        <v>90</v>
      </c>
      <c r="C125" s="41">
        <f t="shared" si="3"/>
        <v>1.05</v>
      </c>
      <c r="D125" s="191"/>
      <c r="E125" s="190">
        <f t="shared" si="4"/>
        <v>94.5</v>
      </c>
    </row>
    <row r="126" spans="1:5" s="192" customFormat="1" x14ac:dyDescent="0.25">
      <c r="A126" s="193" t="s">
        <v>1128</v>
      </c>
      <c r="B126" s="190">
        <v>150</v>
      </c>
      <c r="C126" s="41">
        <f t="shared" si="3"/>
        <v>1.05</v>
      </c>
      <c r="D126" s="191"/>
      <c r="E126" s="190">
        <f t="shared" si="4"/>
        <v>157.5</v>
      </c>
    </row>
    <row r="127" spans="1:5" s="192" customFormat="1" x14ac:dyDescent="0.25">
      <c r="A127" s="189" t="s">
        <v>498</v>
      </c>
      <c r="B127" s="190">
        <v>109</v>
      </c>
      <c r="C127" s="41">
        <f t="shared" si="3"/>
        <v>1.05</v>
      </c>
      <c r="D127" s="191"/>
      <c r="E127" s="190">
        <f t="shared" si="4"/>
        <v>114.45</v>
      </c>
    </row>
    <row r="128" spans="1:5" s="192" customFormat="1" x14ac:dyDescent="0.25">
      <c r="A128" s="193" t="s">
        <v>1034</v>
      </c>
      <c r="B128" s="190">
        <v>0</v>
      </c>
      <c r="C128" s="41">
        <f t="shared" si="3"/>
        <v>1.05</v>
      </c>
      <c r="D128" s="191"/>
      <c r="E128" s="190">
        <f t="shared" ref="E128" si="5">IF(D128=0,B128*C128,B128*D128)</f>
        <v>0</v>
      </c>
    </row>
    <row r="129" spans="1:5" s="183" customFormat="1" x14ac:dyDescent="0.25">
      <c r="A129" s="182" t="s">
        <v>930</v>
      </c>
      <c r="B129" s="178">
        <v>549</v>
      </c>
      <c r="C129" s="41">
        <f t="shared" si="3"/>
        <v>1.05</v>
      </c>
      <c r="D129" s="181"/>
      <c r="E129" s="178">
        <f t="shared" si="4"/>
        <v>576.45000000000005</v>
      </c>
    </row>
    <row r="130" spans="1:5" s="183" customFormat="1" x14ac:dyDescent="0.25">
      <c r="A130" s="182" t="s">
        <v>931</v>
      </c>
      <c r="B130" s="178">
        <v>649</v>
      </c>
      <c r="C130" s="41">
        <f t="shared" si="3"/>
        <v>1.05</v>
      </c>
      <c r="D130" s="181"/>
      <c r="E130" s="178">
        <f t="shared" si="4"/>
        <v>681.45</v>
      </c>
    </row>
    <row r="131" spans="1:5" s="183" customFormat="1" x14ac:dyDescent="0.25">
      <c r="A131" s="182" t="s">
        <v>932</v>
      </c>
      <c r="B131" s="178">
        <v>849</v>
      </c>
      <c r="C131" s="41">
        <f t="shared" si="3"/>
        <v>1.05</v>
      </c>
      <c r="D131" s="181"/>
      <c r="E131" s="178">
        <f t="shared" si="4"/>
        <v>891.45</v>
      </c>
    </row>
    <row r="132" spans="1:5" s="183" customFormat="1" x14ac:dyDescent="0.25">
      <c r="A132" s="179" t="s">
        <v>357</v>
      </c>
      <c r="B132" s="178">
        <v>949</v>
      </c>
      <c r="C132" s="41">
        <f t="shared" si="3"/>
        <v>1.05</v>
      </c>
      <c r="D132" s="181"/>
      <c r="E132" s="178">
        <f t="shared" si="4"/>
        <v>996.45</v>
      </c>
    </row>
    <row r="133" spans="1:5" s="183" customFormat="1" x14ac:dyDescent="0.25">
      <c r="A133" s="179" t="s">
        <v>358</v>
      </c>
      <c r="B133" s="178">
        <v>1049</v>
      </c>
      <c r="C133" s="41">
        <f t="shared" ref="C133:C196" si="6">$D$3</f>
        <v>1.05</v>
      </c>
      <c r="D133" s="181"/>
      <c r="E133" s="178">
        <f t="shared" si="4"/>
        <v>1101.45</v>
      </c>
    </row>
    <row r="134" spans="1:5" x14ac:dyDescent="0.25">
      <c r="A134" s="82" t="s">
        <v>151</v>
      </c>
      <c r="B134" s="24">
        <v>259</v>
      </c>
      <c r="C134" s="41">
        <f t="shared" si="6"/>
        <v>1.05</v>
      </c>
      <c r="D134" s="43"/>
      <c r="E134" s="24">
        <f t="shared" si="4"/>
        <v>271.95</v>
      </c>
    </row>
    <row r="135" spans="1:5" x14ac:dyDescent="0.25">
      <c r="A135" s="82" t="s">
        <v>499</v>
      </c>
      <c r="B135" s="24">
        <v>250</v>
      </c>
      <c r="C135" s="41">
        <f t="shared" si="6"/>
        <v>1.05</v>
      </c>
      <c r="D135" s="43"/>
      <c r="E135" s="24">
        <f t="shared" si="4"/>
        <v>262.5</v>
      </c>
    </row>
    <row r="136" spans="1:5" x14ac:dyDescent="0.25">
      <c r="A136" s="82" t="s">
        <v>500</v>
      </c>
      <c r="B136" s="24">
        <v>239</v>
      </c>
      <c r="C136" s="41">
        <f t="shared" si="6"/>
        <v>1.05</v>
      </c>
      <c r="D136" s="43"/>
      <c r="E136" s="24">
        <f t="shared" ref="E136:E201" si="7">IF(D136=0,B136*C136,B136*D136)</f>
        <v>250.95000000000002</v>
      </c>
    </row>
    <row r="137" spans="1:5" x14ac:dyDescent="0.25">
      <c r="A137" s="84" t="s">
        <v>1024</v>
      </c>
      <c r="B137" s="24">
        <v>195</v>
      </c>
      <c r="C137" s="41">
        <f t="shared" si="6"/>
        <v>1.05</v>
      </c>
      <c r="D137" s="43"/>
      <c r="E137" s="24">
        <f t="shared" si="7"/>
        <v>204.75</v>
      </c>
    </row>
    <row r="138" spans="1:5" x14ac:dyDescent="0.25">
      <c r="A138" s="82" t="s">
        <v>359</v>
      </c>
      <c r="B138" s="24">
        <v>285</v>
      </c>
      <c r="C138" s="41">
        <f t="shared" si="6"/>
        <v>1.05</v>
      </c>
      <c r="D138" s="43"/>
      <c r="E138" s="24">
        <f t="shared" si="7"/>
        <v>299.25</v>
      </c>
    </row>
    <row r="139" spans="1:5" x14ac:dyDescent="0.25">
      <c r="A139" s="82" t="s">
        <v>360</v>
      </c>
      <c r="B139" s="24">
        <v>99.399999999999991</v>
      </c>
      <c r="C139" s="41">
        <f t="shared" si="6"/>
        <v>1.05</v>
      </c>
      <c r="D139" s="43"/>
      <c r="E139" s="24">
        <f t="shared" si="7"/>
        <v>104.36999999999999</v>
      </c>
    </row>
    <row r="140" spans="1:5" x14ac:dyDescent="0.25">
      <c r="A140" s="82" t="s">
        <v>361</v>
      </c>
      <c r="B140" s="24">
        <v>475</v>
      </c>
      <c r="C140" s="41">
        <f t="shared" si="6"/>
        <v>1.05</v>
      </c>
      <c r="D140" s="43"/>
      <c r="E140" s="24">
        <f t="shared" si="7"/>
        <v>498.75</v>
      </c>
    </row>
    <row r="141" spans="1:5" x14ac:dyDescent="0.25">
      <c r="A141" s="82" t="s">
        <v>501</v>
      </c>
      <c r="B141" s="24">
        <v>439</v>
      </c>
      <c r="C141" s="41">
        <f t="shared" si="6"/>
        <v>1.05</v>
      </c>
      <c r="D141" s="43"/>
      <c r="E141" s="24">
        <f t="shared" si="7"/>
        <v>460.95000000000005</v>
      </c>
    </row>
    <row r="142" spans="1:5" x14ac:dyDescent="0.25">
      <c r="A142" s="82" t="s">
        <v>362</v>
      </c>
      <c r="B142" s="24">
        <v>1850</v>
      </c>
      <c r="C142" s="41">
        <f t="shared" si="6"/>
        <v>1.05</v>
      </c>
      <c r="D142" s="43"/>
      <c r="E142" s="24">
        <f t="shared" si="7"/>
        <v>1942.5</v>
      </c>
    </row>
    <row r="143" spans="1:5" x14ac:dyDescent="0.25">
      <c r="A143" s="82" t="s">
        <v>227</v>
      </c>
      <c r="B143" s="24">
        <v>345</v>
      </c>
      <c r="C143" s="41">
        <f t="shared" si="6"/>
        <v>1.05</v>
      </c>
      <c r="D143" s="43"/>
      <c r="E143" s="24">
        <f t="shared" si="7"/>
        <v>362.25</v>
      </c>
    </row>
    <row r="144" spans="1:5" s="199" customFormat="1" x14ac:dyDescent="0.25">
      <c r="A144" s="196" t="s">
        <v>224</v>
      </c>
      <c r="B144" s="197">
        <v>259</v>
      </c>
      <c r="C144" s="41">
        <f t="shared" si="6"/>
        <v>1.05</v>
      </c>
      <c r="D144" s="198"/>
      <c r="E144" s="197">
        <f t="shared" si="7"/>
        <v>271.95</v>
      </c>
    </row>
    <row r="145" spans="1:5" s="199" customFormat="1" x14ac:dyDescent="0.25">
      <c r="A145" s="196" t="s">
        <v>673</v>
      </c>
      <c r="B145" s="197">
        <v>485</v>
      </c>
      <c r="C145" s="41">
        <f t="shared" si="6"/>
        <v>1.05</v>
      </c>
      <c r="D145" s="198"/>
      <c r="E145" s="197">
        <f t="shared" si="7"/>
        <v>509.25</v>
      </c>
    </row>
    <row r="146" spans="1:5" x14ac:dyDescent="0.25">
      <c r="A146" s="82" t="s">
        <v>363</v>
      </c>
      <c r="B146" s="24">
        <v>450</v>
      </c>
      <c r="C146" s="41">
        <f t="shared" si="6"/>
        <v>1.05</v>
      </c>
      <c r="D146" s="43"/>
      <c r="E146" s="24">
        <f t="shared" si="7"/>
        <v>472.5</v>
      </c>
    </row>
    <row r="147" spans="1:5" x14ac:dyDescent="0.25">
      <c r="A147" s="82" t="s">
        <v>364</v>
      </c>
      <c r="B147" s="24">
        <v>384.82</v>
      </c>
      <c r="C147" s="41">
        <f t="shared" si="6"/>
        <v>1.05</v>
      </c>
      <c r="D147" s="43"/>
      <c r="E147" s="24">
        <f t="shared" si="7"/>
        <v>404.06100000000004</v>
      </c>
    </row>
    <row r="148" spans="1:5" x14ac:dyDescent="0.25">
      <c r="A148" s="82" t="s">
        <v>365</v>
      </c>
      <c r="B148" s="24">
        <v>290</v>
      </c>
      <c r="C148" s="41">
        <f t="shared" si="6"/>
        <v>1.05</v>
      </c>
      <c r="D148" s="43"/>
      <c r="E148" s="24">
        <f t="shared" si="7"/>
        <v>304.5</v>
      </c>
    </row>
    <row r="149" spans="1:5" x14ac:dyDescent="0.25">
      <c r="A149" s="82" t="s">
        <v>366</v>
      </c>
      <c r="B149" s="24">
        <v>450</v>
      </c>
      <c r="C149" s="41">
        <f t="shared" si="6"/>
        <v>1.05</v>
      </c>
      <c r="D149" s="43"/>
      <c r="E149" s="24">
        <f t="shared" si="7"/>
        <v>472.5</v>
      </c>
    </row>
    <row r="150" spans="1:5" s="192" customFormat="1" x14ac:dyDescent="0.25">
      <c r="A150" s="189" t="s">
        <v>502</v>
      </c>
      <c r="B150" s="190">
        <v>119</v>
      </c>
      <c r="C150" s="41">
        <f t="shared" si="6"/>
        <v>1.05</v>
      </c>
      <c r="D150" s="191"/>
      <c r="E150" s="190">
        <f t="shared" si="7"/>
        <v>124.95</v>
      </c>
    </row>
    <row r="151" spans="1:5" s="192" customFormat="1" x14ac:dyDescent="0.25">
      <c r="A151" s="224" t="s">
        <v>1107</v>
      </c>
      <c r="B151" s="178">
        <v>850</v>
      </c>
      <c r="C151" s="180">
        <f t="shared" si="6"/>
        <v>1.05</v>
      </c>
      <c r="D151" s="181"/>
      <c r="E151" s="178">
        <f t="shared" ref="E151" si="8">IF(D151=0,B151*C151,B151*D151)</f>
        <v>892.5</v>
      </c>
    </row>
    <row r="152" spans="1:5" x14ac:dyDescent="0.25">
      <c r="A152" s="224" t="s">
        <v>1108</v>
      </c>
      <c r="B152" s="178">
        <v>1150</v>
      </c>
      <c r="C152" s="180">
        <f t="shared" si="6"/>
        <v>1.05</v>
      </c>
      <c r="D152" s="181"/>
      <c r="E152" s="178">
        <f t="shared" si="7"/>
        <v>1207.5</v>
      </c>
    </row>
    <row r="153" spans="1:5" x14ac:dyDescent="0.25">
      <c r="A153" s="224" t="s">
        <v>1109</v>
      </c>
      <c r="B153" s="178">
        <v>595</v>
      </c>
      <c r="C153" s="180">
        <f t="shared" si="6"/>
        <v>1.05</v>
      </c>
      <c r="D153" s="181"/>
      <c r="E153" s="178">
        <f t="shared" si="7"/>
        <v>624.75</v>
      </c>
    </row>
    <row r="154" spans="1:5" x14ac:dyDescent="0.25">
      <c r="A154" s="224" t="s">
        <v>1110</v>
      </c>
      <c r="B154" s="178">
        <v>695</v>
      </c>
      <c r="C154" s="180">
        <f t="shared" si="6"/>
        <v>1.05</v>
      </c>
      <c r="D154" s="181"/>
      <c r="E154" s="178">
        <f t="shared" si="7"/>
        <v>729.75</v>
      </c>
    </row>
    <row r="155" spans="1:5" x14ac:dyDescent="0.25">
      <c r="A155" s="224" t="s">
        <v>1115</v>
      </c>
      <c r="B155" s="178">
        <v>899</v>
      </c>
      <c r="C155" s="180">
        <f t="shared" si="6"/>
        <v>1.05</v>
      </c>
      <c r="D155" s="181"/>
      <c r="E155" s="178">
        <f t="shared" si="7"/>
        <v>943.95</v>
      </c>
    </row>
    <row r="156" spans="1:5" x14ac:dyDescent="0.25">
      <c r="A156" s="224" t="s">
        <v>1028</v>
      </c>
      <c r="B156" s="178">
        <v>750</v>
      </c>
      <c r="C156" s="180">
        <f t="shared" si="6"/>
        <v>1.05</v>
      </c>
      <c r="D156" s="181"/>
      <c r="E156" s="178">
        <f t="shared" si="7"/>
        <v>787.5</v>
      </c>
    </row>
    <row r="157" spans="1:5" x14ac:dyDescent="0.25">
      <c r="A157" s="224" t="s">
        <v>1029</v>
      </c>
      <c r="B157" s="178">
        <v>620</v>
      </c>
      <c r="C157" s="180">
        <f t="shared" si="6"/>
        <v>1.05</v>
      </c>
      <c r="D157" s="181"/>
      <c r="E157" s="178">
        <f t="shared" si="7"/>
        <v>651</v>
      </c>
    </row>
    <row r="158" spans="1:5" x14ac:dyDescent="0.25">
      <c r="A158" s="84" t="s">
        <v>674</v>
      </c>
      <c r="B158" s="24">
        <v>255</v>
      </c>
      <c r="C158" s="41">
        <f t="shared" si="6"/>
        <v>1.05</v>
      </c>
      <c r="D158" s="43"/>
      <c r="E158" s="24">
        <f t="shared" si="7"/>
        <v>267.75</v>
      </c>
    </row>
    <row r="159" spans="1:5" s="195" customFormat="1" x14ac:dyDescent="0.25">
      <c r="A159" s="203" t="s">
        <v>996</v>
      </c>
      <c r="B159" s="177">
        <v>2850</v>
      </c>
      <c r="C159" s="41">
        <f t="shared" si="6"/>
        <v>1.05</v>
      </c>
      <c r="D159" s="194"/>
      <c r="E159" s="177">
        <f t="shared" si="7"/>
        <v>2992.5</v>
      </c>
    </row>
    <row r="160" spans="1:5" s="192" customFormat="1" x14ac:dyDescent="0.25">
      <c r="A160" s="193" t="s">
        <v>1021</v>
      </c>
      <c r="B160" s="190">
        <v>90</v>
      </c>
      <c r="C160" s="41">
        <f t="shared" si="6"/>
        <v>1.05</v>
      </c>
      <c r="D160" s="191"/>
      <c r="E160" s="190">
        <f t="shared" si="7"/>
        <v>94.5</v>
      </c>
    </row>
    <row r="161" spans="1:5" s="192" customFormat="1" x14ac:dyDescent="0.25">
      <c r="A161" s="193" t="s">
        <v>1125</v>
      </c>
      <c r="B161" s="190">
        <v>150</v>
      </c>
      <c r="C161" s="41">
        <f t="shared" si="6"/>
        <v>1.05</v>
      </c>
      <c r="D161" s="191"/>
      <c r="E161" s="190">
        <f t="shared" ref="E161" si="9">IF(D161=0,B161*C161,B161*D161)</f>
        <v>157.5</v>
      </c>
    </row>
    <row r="162" spans="1:5" s="187" customFormat="1" x14ac:dyDescent="0.25">
      <c r="A162" s="188" t="s">
        <v>1043</v>
      </c>
      <c r="B162" s="185">
        <v>495</v>
      </c>
      <c r="C162" s="41">
        <f t="shared" si="6"/>
        <v>1.05</v>
      </c>
      <c r="D162" s="186"/>
      <c r="E162" s="185">
        <f t="shared" si="7"/>
        <v>519.75</v>
      </c>
    </row>
    <row r="163" spans="1:5" s="187" customFormat="1" x14ac:dyDescent="0.25">
      <c r="A163" s="226" t="s">
        <v>1118</v>
      </c>
      <c r="B163" s="185">
        <v>655</v>
      </c>
      <c r="C163" s="41">
        <f t="shared" si="6"/>
        <v>1.05</v>
      </c>
      <c r="D163" s="186"/>
      <c r="E163" s="185">
        <f t="shared" si="7"/>
        <v>687.75</v>
      </c>
    </row>
    <row r="164" spans="1:5" s="187" customFormat="1" x14ac:dyDescent="0.25">
      <c r="A164" s="226" t="s">
        <v>1123</v>
      </c>
      <c r="B164" s="185">
        <v>400</v>
      </c>
      <c r="C164" s="41">
        <f t="shared" si="6"/>
        <v>1.05</v>
      </c>
      <c r="D164" s="186"/>
      <c r="E164" s="185">
        <f t="shared" si="7"/>
        <v>420</v>
      </c>
    </row>
    <row r="165" spans="1:5" s="187" customFormat="1" x14ac:dyDescent="0.25">
      <c r="A165" s="226" t="s">
        <v>1124</v>
      </c>
      <c r="B165" s="185">
        <v>790</v>
      </c>
      <c r="C165" s="41">
        <f t="shared" si="6"/>
        <v>1.05</v>
      </c>
      <c r="D165" s="186"/>
      <c r="E165" s="185">
        <f t="shared" si="7"/>
        <v>829.5</v>
      </c>
    </row>
    <row r="166" spans="1:5" s="187" customFormat="1" x14ac:dyDescent="0.25">
      <c r="A166" s="226" t="s">
        <v>1120</v>
      </c>
      <c r="B166" s="185">
        <v>195</v>
      </c>
      <c r="C166" s="41">
        <f t="shared" si="6"/>
        <v>1.05</v>
      </c>
      <c r="D166" s="186"/>
      <c r="E166" s="185">
        <f t="shared" si="7"/>
        <v>204.75</v>
      </c>
    </row>
    <row r="167" spans="1:5" x14ac:dyDescent="0.25">
      <c r="A167" s="84" t="s">
        <v>1105</v>
      </c>
      <c r="B167" s="24">
        <v>150</v>
      </c>
      <c r="C167" s="41">
        <f t="shared" si="6"/>
        <v>1.05</v>
      </c>
      <c r="D167" s="43"/>
      <c r="E167" s="24">
        <f t="shared" si="7"/>
        <v>157.5</v>
      </c>
    </row>
    <row r="168" spans="1:5" x14ac:dyDescent="0.25">
      <c r="A168" s="84" t="s">
        <v>1106</v>
      </c>
      <c r="B168" s="24">
        <v>150</v>
      </c>
      <c r="C168" s="41">
        <f t="shared" si="6"/>
        <v>1.05</v>
      </c>
      <c r="D168" s="43"/>
      <c r="E168" s="24">
        <f t="shared" si="7"/>
        <v>157.5</v>
      </c>
    </row>
    <row r="169" spans="1:5" x14ac:dyDescent="0.25">
      <c r="A169" s="84" t="s">
        <v>1117</v>
      </c>
      <c r="B169" s="24">
        <v>195</v>
      </c>
      <c r="C169" s="41">
        <f t="shared" si="6"/>
        <v>1.05</v>
      </c>
      <c r="D169" s="43"/>
      <c r="E169" s="24">
        <f t="shared" si="7"/>
        <v>204.75</v>
      </c>
    </row>
    <row r="170" spans="1:5" x14ac:dyDescent="0.25">
      <c r="A170" s="84" t="s">
        <v>1116</v>
      </c>
      <c r="B170" s="24">
        <v>195</v>
      </c>
      <c r="C170" s="41">
        <f t="shared" si="6"/>
        <v>1.05</v>
      </c>
      <c r="D170" s="43"/>
      <c r="E170" s="24">
        <f t="shared" si="7"/>
        <v>204.75</v>
      </c>
    </row>
    <row r="171" spans="1:5" x14ac:dyDescent="0.25">
      <c r="A171" s="82" t="s">
        <v>376</v>
      </c>
      <c r="B171" s="24">
        <v>1485.32</v>
      </c>
      <c r="C171" s="41">
        <f t="shared" si="6"/>
        <v>1.05</v>
      </c>
      <c r="D171" s="43"/>
      <c r="E171" s="24">
        <f t="shared" si="7"/>
        <v>1559.586</v>
      </c>
    </row>
    <row r="172" spans="1:5" x14ac:dyDescent="0.25">
      <c r="A172" s="82" t="s">
        <v>377</v>
      </c>
      <c r="B172" s="24">
        <v>1539.28</v>
      </c>
      <c r="C172" s="41">
        <f t="shared" si="6"/>
        <v>1.05</v>
      </c>
      <c r="D172" s="43"/>
      <c r="E172" s="24">
        <f t="shared" si="7"/>
        <v>1616.2440000000001</v>
      </c>
    </row>
    <row r="173" spans="1:5" x14ac:dyDescent="0.25">
      <c r="A173" s="82" t="s">
        <v>378</v>
      </c>
      <c r="B173" s="24">
        <v>1077.78</v>
      </c>
      <c r="C173" s="41">
        <f t="shared" si="6"/>
        <v>1.05</v>
      </c>
      <c r="D173" s="43"/>
      <c r="E173" s="24">
        <f t="shared" si="7"/>
        <v>1131.6690000000001</v>
      </c>
    </row>
    <row r="174" spans="1:5" x14ac:dyDescent="0.25">
      <c r="A174" s="82" t="s">
        <v>379</v>
      </c>
      <c r="B174" s="24">
        <v>1134.58</v>
      </c>
      <c r="C174" s="41">
        <f t="shared" si="6"/>
        <v>1.05</v>
      </c>
      <c r="D174" s="43"/>
      <c r="E174" s="24">
        <f t="shared" si="7"/>
        <v>1191.309</v>
      </c>
    </row>
    <row r="175" spans="1:5" x14ac:dyDescent="0.25">
      <c r="A175" s="82" t="s">
        <v>380</v>
      </c>
      <c r="B175" s="24">
        <v>1205.58</v>
      </c>
      <c r="C175" s="41">
        <f t="shared" si="6"/>
        <v>1.05</v>
      </c>
      <c r="D175" s="43"/>
      <c r="E175" s="24">
        <f t="shared" si="7"/>
        <v>1265.8589999999999</v>
      </c>
    </row>
    <row r="176" spans="1:5" x14ac:dyDescent="0.25">
      <c r="A176" s="84" t="s">
        <v>1046</v>
      </c>
      <c r="B176" s="24">
        <v>1350</v>
      </c>
      <c r="C176" s="41">
        <f t="shared" si="6"/>
        <v>1.05</v>
      </c>
      <c r="D176" s="43"/>
      <c r="E176" s="24">
        <f t="shared" si="7"/>
        <v>1417.5</v>
      </c>
    </row>
    <row r="177" spans="1:5" x14ac:dyDescent="0.25">
      <c r="A177" s="84" t="s">
        <v>1047</v>
      </c>
      <c r="B177" s="24">
        <v>1750</v>
      </c>
      <c r="C177" s="41">
        <f t="shared" si="6"/>
        <v>1.05</v>
      </c>
      <c r="D177" s="43"/>
      <c r="E177" s="24">
        <f t="shared" si="7"/>
        <v>1837.5</v>
      </c>
    </row>
    <row r="178" spans="1:5" x14ac:dyDescent="0.25">
      <c r="A178" s="82" t="s">
        <v>381</v>
      </c>
      <c r="B178" s="24">
        <v>175</v>
      </c>
      <c r="C178" s="41">
        <f t="shared" si="6"/>
        <v>1.05</v>
      </c>
      <c r="D178" s="43"/>
      <c r="E178" s="24">
        <f t="shared" si="7"/>
        <v>183.75</v>
      </c>
    </row>
    <row r="179" spans="1:5" x14ac:dyDescent="0.25">
      <c r="A179" s="82" t="s">
        <v>382</v>
      </c>
      <c r="B179" s="24">
        <v>350</v>
      </c>
      <c r="C179" s="41">
        <f t="shared" si="6"/>
        <v>1.05</v>
      </c>
      <c r="D179" s="43"/>
      <c r="E179" s="24">
        <f t="shared" si="7"/>
        <v>367.5</v>
      </c>
    </row>
    <row r="180" spans="1:5" x14ac:dyDescent="0.25">
      <c r="A180" s="82" t="s">
        <v>508</v>
      </c>
      <c r="B180" s="24">
        <v>459</v>
      </c>
      <c r="C180" s="41">
        <f t="shared" si="6"/>
        <v>1.05</v>
      </c>
      <c r="D180" s="43"/>
      <c r="E180" s="24">
        <f t="shared" si="7"/>
        <v>481.95000000000005</v>
      </c>
    </row>
    <row r="181" spans="1:5" x14ac:dyDescent="0.25">
      <c r="A181" s="82" t="s">
        <v>383</v>
      </c>
      <c r="B181" s="24">
        <v>1435</v>
      </c>
      <c r="C181" s="41">
        <f t="shared" si="6"/>
        <v>1.05</v>
      </c>
      <c r="D181" s="43"/>
      <c r="E181" s="24">
        <f t="shared" si="7"/>
        <v>1506.75</v>
      </c>
    </row>
    <row r="182" spans="1:5" x14ac:dyDescent="0.25">
      <c r="A182" s="82" t="s">
        <v>384</v>
      </c>
      <c r="B182" s="24">
        <v>1735</v>
      </c>
      <c r="C182" s="41">
        <f t="shared" si="6"/>
        <v>1.05</v>
      </c>
      <c r="D182" s="43"/>
      <c r="E182" s="24">
        <f t="shared" si="7"/>
        <v>1821.75</v>
      </c>
    </row>
    <row r="183" spans="1:5" x14ac:dyDescent="0.25">
      <c r="A183" s="82" t="s">
        <v>385</v>
      </c>
      <c r="B183" s="24">
        <v>1095</v>
      </c>
      <c r="C183" s="41">
        <f t="shared" si="6"/>
        <v>1.05</v>
      </c>
      <c r="D183" s="43"/>
      <c r="E183" s="24">
        <f t="shared" si="7"/>
        <v>1149.75</v>
      </c>
    </row>
    <row r="184" spans="1:5" x14ac:dyDescent="0.25">
      <c r="A184" s="82" t="s">
        <v>509</v>
      </c>
      <c r="B184" s="24">
        <v>1455</v>
      </c>
      <c r="C184" s="41">
        <f t="shared" si="6"/>
        <v>1.05</v>
      </c>
      <c r="D184" s="43"/>
      <c r="E184" s="24">
        <f t="shared" si="7"/>
        <v>1527.75</v>
      </c>
    </row>
    <row r="185" spans="1:5" x14ac:dyDescent="0.25">
      <c r="A185" s="82" t="s">
        <v>510</v>
      </c>
      <c r="B185" s="24">
        <v>1655</v>
      </c>
      <c r="C185" s="41">
        <f t="shared" si="6"/>
        <v>1.05</v>
      </c>
      <c r="D185" s="43"/>
      <c r="E185" s="24">
        <f t="shared" si="7"/>
        <v>1737.75</v>
      </c>
    </row>
    <row r="186" spans="1:5" x14ac:dyDescent="0.25">
      <c r="A186" s="82" t="s">
        <v>43</v>
      </c>
      <c r="B186" s="24">
        <v>185</v>
      </c>
      <c r="C186" s="41">
        <f t="shared" si="6"/>
        <v>1.05</v>
      </c>
      <c r="D186" s="43"/>
      <c r="E186" s="24">
        <f t="shared" si="7"/>
        <v>194.25</v>
      </c>
    </row>
    <row r="187" spans="1:5" x14ac:dyDescent="0.25">
      <c r="A187" s="82" t="s">
        <v>386</v>
      </c>
      <c r="B187" s="24">
        <v>1990</v>
      </c>
      <c r="C187" s="41">
        <f t="shared" si="6"/>
        <v>1.05</v>
      </c>
      <c r="D187" s="43"/>
      <c r="E187" s="24">
        <f t="shared" si="7"/>
        <v>2089.5</v>
      </c>
    </row>
    <row r="188" spans="1:5" x14ac:dyDescent="0.25">
      <c r="A188" s="82" t="s">
        <v>387</v>
      </c>
      <c r="B188" s="24">
        <v>2950</v>
      </c>
      <c r="C188" s="41">
        <f t="shared" si="6"/>
        <v>1.05</v>
      </c>
      <c r="D188" s="43"/>
      <c r="E188" s="24">
        <f t="shared" si="7"/>
        <v>3097.5</v>
      </c>
    </row>
    <row r="189" spans="1:5" x14ac:dyDescent="0.25">
      <c r="A189" s="82" t="s">
        <v>388</v>
      </c>
      <c r="B189" s="24">
        <v>2850</v>
      </c>
      <c r="C189" s="41">
        <f t="shared" si="6"/>
        <v>1.05</v>
      </c>
      <c r="D189" s="43"/>
      <c r="E189" s="24">
        <f t="shared" si="7"/>
        <v>2992.5</v>
      </c>
    </row>
    <row r="190" spans="1:5" x14ac:dyDescent="0.25">
      <c r="A190" s="82" t="s">
        <v>230</v>
      </c>
      <c r="B190" s="24">
        <v>384.82</v>
      </c>
      <c r="C190" s="41">
        <f t="shared" si="6"/>
        <v>1.05</v>
      </c>
      <c r="D190" s="43"/>
      <c r="E190" s="24">
        <f t="shared" si="7"/>
        <v>404.06100000000004</v>
      </c>
    </row>
    <row r="191" spans="1:5" s="199" customFormat="1" x14ac:dyDescent="0.25">
      <c r="A191" s="196" t="s">
        <v>225</v>
      </c>
      <c r="B191" s="197">
        <v>269</v>
      </c>
      <c r="C191" s="41">
        <f t="shared" si="6"/>
        <v>1.05</v>
      </c>
      <c r="D191" s="198"/>
      <c r="E191" s="197">
        <f t="shared" si="7"/>
        <v>282.45</v>
      </c>
    </row>
    <row r="192" spans="1:5" s="199" customFormat="1" x14ac:dyDescent="0.25">
      <c r="A192" s="196" t="s">
        <v>656</v>
      </c>
      <c r="B192" s="197">
        <v>585</v>
      </c>
      <c r="C192" s="41">
        <f t="shared" si="6"/>
        <v>1.05</v>
      </c>
      <c r="D192" s="198"/>
      <c r="E192" s="197">
        <f t="shared" si="7"/>
        <v>614.25</v>
      </c>
    </row>
    <row r="193" spans="1:5" x14ac:dyDescent="0.25">
      <c r="A193" s="82" t="s">
        <v>389</v>
      </c>
      <c r="B193" s="24">
        <v>80</v>
      </c>
      <c r="C193" s="41">
        <f t="shared" si="6"/>
        <v>1.05</v>
      </c>
      <c r="D193" s="43"/>
      <c r="E193" s="24">
        <f t="shared" si="7"/>
        <v>84</v>
      </c>
    </row>
    <row r="194" spans="1:5" x14ac:dyDescent="0.25">
      <c r="A194" s="82" t="s">
        <v>390</v>
      </c>
      <c r="B194" s="24">
        <v>750</v>
      </c>
      <c r="C194" s="41">
        <f t="shared" si="6"/>
        <v>1.05</v>
      </c>
      <c r="D194" s="43"/>
      <c r="E194" s="24">
        <f t="shared" si="7"/>
        <v>787.5</v>
      </c>
    </row>
    <row r="195" spans="1:5" x14ac:dyDescent="0.25">
      <c r="A195" s="82" t="s">
        <v>391</v>
      </c>
      <c r="B195" s="24">
        <v>850</v>
      </c>
      <c r="C195" s="41">
        <f t="shared" si="6"/>
        <v>1.05</v>
      </c>
      <c r="D195" s="43"/>
      <c r="E195" s="24">
        <f t="shared" si="7"/>
        <v>892.5</v>
      </c>
    </row>
    <row r="196" spans="1:5" x14ac:dyDescent="0.25">
      <c r="A196" s="82" t="s">
        <v>392</v>
      </c>
      <c r="B196" s="24">
        <v>950</v>
      </c>
      <c r="C196" s="41">
        <f t="shared" si="6"/>
        <v>1.05</v>
      </c>
      <c r="D196" s="43"/>
      <c r="E196" s="24">
        <f t="shared" si="7"/>
        <v>997.5</v>
      </c>
    </row>
    <row r="197" spans="1:5" x14ac:dyDescent="0.25">
      <c r="A197" s="82" t="s">
        <v>393</v>
      </c>
      <c r="B197" s="24">
        <v>750</v>
      </c>
      <c r="C197" s="41">
        <f t="shared" ref="C197:C260" si="10">$D$3</f>
        <v>1.05</v>
      </c>
      <c r="D197" s="43"/>
      <c r="E197" s="24">
        <f t="shared" si="7"/>
        <v>787.5</v>
      </c>
    </row>
    <row r="198" spans="1:5" x14ac:dyDescent="0.25">
      <c r="A198" s="82" t="s">
        <v>52</v>
      </c>
      <c r="B198" s="24">
        <v>195</v>
      </c>
      <c r="C198" s="41">
        <f t="shared" si="10"/>
        <v>1.05</v>
      </c>
      <c r="D198" s="43"/>
      <c r="E198" s="24">
        <f t="shared" si="7"/>
        <v>204.75</v>
      </c>
    </row>
    <row r="199" spans="1:5" x14ac:dyDescent="0.25">
      <c r="A199" s="82" t="s">
        <v>53</v>
      </c>
      <c r="B199" s="24">
        <v>185</v>
      </c>
      <c r="C199" s="41">
        <f t="shared" si="10"/>
        <v>1.05</v>
      </c>
      <c r="D199" s="43"/>
      <c r="E199" s="24">
        <f t="shared" si="7"/>
        <v>194.25</v>
      </c>
    </row>
    <row r="200" spans="1:5" x14ac:dyDescent="0.25">
      <c r="A200" s="82" t="s">
        <v>394</v>
      </c>
      <c r="B200" s="24">
        <v>825</v>
      </c>
      <c r="C200" s="41">
        <f t="shared" si="10"/>
        <v>1.05</v>
      </c>
      <c r="D200" s="43"/>
      <c r="E200" s="24">
        <f t="shared" si="7"/>
        <v>866.25</v>
      </c>
    </row>
    <row r="201" spans="1:5" x14ac:dyDescent="0.25">
      <c r="A201" s="82" t="s">
        <v>395</v>
      </c>
      <c r="B201" s="24">
        <v>250</v>
      </c>
      <c r="C201" s="41">
        <f t="shared" si="10"/>
        <v>1.05</v>
      </c>
      <c r="D201" s="43"/>
      <c r="E201" s="24">
        <f t="shared" si="7"/>
        <v>262.5</v>
      </c>
    </row>
    <row r="202" spans="1:5" s="192" customFormat="1" x14ac:dyDescent="0.25">
      <c r="A202" s="193" t="s">
        <v>396</v>
      </c>
      <c r="B202" s="190">
        <v>129</v>
      </c>
      <c r="C202" s="41">
        <f t="shared" si="10"/>
        <v>1.05</v>
      </c>
      <c r="D202" s="191"/>
      <c r="E202" s="190">
        <f t="shared" ref="E202:E275" si="11">IF(D202=0,B202*C202,B202*D202)</f>
        <v>135.45000000000002</v>
      </c>
    </row>
    <row r="203" spans="1:5" s="192" customFormat="1" x14ac:dyDescent="0.25">
      <c r="A203" s="193" t="s">
        <v>1105</v>
      </c>
      <c r="B203" s="190">
        <v>200</v>
      </c>
      <c r="C203" s="41">
        <f t="shared" si="10"/>
        <v>1.05</v>
      </c>
      <c r="D203" s="191"/>
      <c r="E203" s="190">
        <f t="shared" ref="E203" si="12">IF(D203=0,B203*C203,B203*D203)</f>
        <v>210</v>
      </c>
    </row>
    <row r="204" spans="1:5" s="183" customFormat="1" ht="13.8" x14ac:dyDescent="0.25">
      <c r="A204" s="225" t="s">
        <v>1032</v>
      </c>
      <c r="B204" s="178">
        <v>850</v>
      </c>
      <c r="C204" s="41">
        <f t="shared" si="10"/>
        <v>1.05</v>
      </c>
      <c r="D204" s="181"/>
      <c r="E204" s="178">
        <f t="shared" si="11"/>
        <v>892.5</v>
      </c>
    </row>
    <row r="205" spans="1:5" s="183" customFormat="1" ht="13.8" x14ac:dyDescent="0.25">
      <c r="A205" s="225" t="s">
        <v>1033</v>
      </c>
      <c r="B205" s="178">
        <v>1050</v>
      </c>
      <c r="C205" s="41">
        <f t="shared" si="10"/>
        <v>1.05</v>
      </c>
      <c r="D205" s="181"/>
      <c r="E205" s="178">
        <f t="shared" si="11"/>
        <v>1102.5</v>
      </c>
    </row>
    <row r="206" spans="1:5" s="183" customFormat="1" ht="13.8" x14ac:dyDescent="0.25">
      <c r="A206" s="225" t="s">
        <v>1031</v>
      </c>
      <c r="B206" s="178">
        <v>850</v>
      </c>
      <c r="C206" s="41">
        <f t="shared" si="10"/>
        <v>1.05</v>
      </c>
      <c r="D206" s="181"/>
      <c r="E206" s="178">
        <f t="shared" si="11"/>
        <v>892.5</v>
      </c>
    </row>
    <row r="207" spans="1:5" s="183" customFormat="1" x14ac:dyDescent="0.25">
      <c r="A207" s="213" t="s">
        <v>1106</v>
      </c>
      <c r="B207" s="178">
        <v>200</v>
      </c>
      <c r="C207" s="41">
        <f t="shared" si="10"/>
        <v>1.05</v>
      </c>
      <c r="D207" s="181"/>
      <c r="E207" s="178">
        <f t="shared" si="11"/>
        <v>210</v>
      </c>
    </row>
    <row r="208" spans="1:5" s="195" customFormat="1" x14ac:dyDescent="0.25">
      <c r="A208" s="203" t="s">
        <v>999</v>
      </c>
      <c r="B208" s="177">
        <v>2950</v>
      </c>
      <c r="C208" s="41">
        <f t="shared" si="10"/>
        <v>1.05</v>
      </c>
      <c r="D208" s="194"/>
      <c r="E208" s="177">
        <f t="shared" si="11"/>
        <v>3097.5</v>
      </c>
    </row>
    <row r="209" spans="1:5" x14ac:dyDescent="0.25">
      <c r="A209" s="82" t="s">
        <v>400</v>
      </c>
      <c r="B209" s="24">
        <v>228.61999999999998</v>
      </c>
      <c r="C209" s="41">
        <f t="shared" si="10"/>
        <v>1.05</v>
      </c>
      <c r="D209" s="43"/>
      <c r="E209" s="24">
        <f t="shared" si="11"/>
        <v>240.05099999999999</v>
      </c>
    </row>
    <row r="210" spans="1:5" x14ac:dyDescent="0.25">
      <c r="A210" s="82" t="s">
        <v>401</v>
      </c>
      <c r="B210" s="24">
        <v>156.19999999999999</v>
      </c>
      <c r="C210" s="41">
        <f t="shared" si="10"/>
        <v>1.05</v>
      </c>
      <c r="D210" s="43"/>
      <c r="E210" s="24">
        <f t="shared" si="11"/>
        <v>164.01</v>
      </c>
    </row>
    <row r="211" spans="1:5" x14ac:dyDescent="0.25">
      <c r="A211" s="82" t="s">
        <v>675</v>
      </c>
      <c r="B211" s="24">
        <v>454.4</v>
      </c>
      <c r="C211" s="41">
        <f t="shared" si="10"/>
        <v>1.05</v>
      </c>
      <c r="D211" s="43"/>
      <c r="E211" s="24">
        <f t="shared" si="11"/>
        <v>477.12</v>
      </c>
    </row>
    <row r="212" spans="1:5" s="192" customFormat="1" x14ac:dyDescent="0.25">
      <c r="A212" s="189" t="s">
        <v>402</v>
      </c>
      <c r="B212" s="190">
        <v>119</v>
      </c>
      <c r="C212" s="41">
        <f t="shared" si="10"/>
        <v>1.05</v>
      </c>
      <c r="D212" s="191"/>
      <c r="E212" s="190">
        <f t="shared" si="11"/>
        <v>124.95</v>
      </c>
    </row>
    <row r="213" spans="1:5" s="192" customFormat="1" x14ac:dyDescent="0.25">
      <c r="A213" s="193" t="s">
        <v>1132</v>
      </c>
      <c r="B213" s="190">
        <v>190</v>
      </c>
      <c r="C213" s="41">
        <f t="shared" si="10"/>
        <v>1.05</v>
      </c>
      <c r="D213" s="191"/>
      <c r="E213" s="190">
        <f t="shared" ref="E213" si="13">IF(D213=0,B213*C213,B213*D213)</f>
        <v>199.5</v>
      </c>
    </row>
    <row r="214" spans="1:5" x14ac:dyDescent="0.25">
      <c r="A214" s="82" t="s">
        <v>676</v>
      </c>
      <c r="B214" s="24">
        <v>285</v>
      </c>
      <c r="C214" s="41">
        <f t="shared" si="10"/>
        <v>1.05</v>
      </c>
      <c r="D214" s="43"/>
      <c r="E214" s="24">
        <f t="shared" si="11"/>
        <v>299.25</v>
      </c>
    </row>
    <row r="215" spans="1:5" x14ac:dyDescent="0.25">
      <c r="A215" s="82" t="s">
        <v>403</v>
      </c>
      <c r="B215" s="24">
        <v>225</v>
      </c>
      <c r="C215" s="41">
        <f t="shared" si="10"/>
        <v>1.05</v>
      </c>
      <c r="D215" s="43"/>
      <c r="E215" s="24">
        <f t="shared" si="11"/>
        <v>236.25</v>
      </c>
    </row>
    <row r="216" spans="1:5" s="187" customFormat="1" x14ac:dyDescent="0.25">
      <c r="A216" s="226" t="s">
        <v>1035</v>
      </c>
      <c r="B216" s="185">
        <v>595</v>
      </c>
      <c r="C216" s="41">
        <f t="shared" si="10"/>
        <v>1.05</v>
      </c>
      <c r="D216" s="186"/>
      <c r="E216" s="185">
        <f t="shared" si="11"/>
        <v>624.75</v>
      </c>
    </row>
    <row r="217" spans="1:5" s="187" customFormat="1" x14ac:dyDescent="0.25">
      <c r="A217" s="226" t="s">
        <v>1036</v>
      </c>
      <c r="B217" s="185">
        <v>750</v>
      </c>
      <c r="C217" s="41">
        <f t="shared" si="10"/>
        <v>1.05</v>
      </c>
      <c r="D217" s="186"/>
      <c r="E217" s="185">
        <f t="shared" si="11"/>
        <v>787.5</v>
      </c>
    </row>
    <row r="218" spans="1:5" s="187" customFormat="1" x14ac:dyDescent="0.25">
      <c r="A218" s="226" t="s">
        <v>1037</v>
      </c>
      <c r="B218" s="185">
        <v>1150</v>
      </c>
      <c r="C218" s="41">
        <f t="shared" si="10"/>
        <v>1.05</v>
      </c>
      <c r="D218" s="186"/>
      <c r="E218" s="185">
        <f t="shared" si="11"/>
        <v>1207.5</v>
      </c>
    </row>
    <row r="219" spans="1:5" s="187" customFormat="1" x14ac:dyDescent="0.25">
      <c r="A219" s="226" t="s">
        <v>1140</v>
      </c>
      <c r="B219" s="185">
        <v>250</v>
      </c>
      <c r="C219" s="41">
        <f t="shared" si="10"/>
        <v>1.05</v>
      </c>
      <c r="D219" s="186"/>
      <c r="E219" s="185">
        <f t="shared" si="11"/>
        <v>262.5</v>
      </c>
    </row>
    <row r="220" spans="1:5" s="187" customFormat="1" x14ac:dyDescent="0.25">
      <c r="A220" s="226" t="s">
        <v>1142</v>
      </c>
      <c r="B220" s="185">
        <v>950</v>
      </c>
      <c r="C220" s="41">
        <f t="shared" si="10"/>
        <v>1.05</v>
      </c>
      <c r="D220" s="186"/>
      <c r="E220" s="185">
        <f t="shared" si="11"/>
        <v>997.5</v>
      </c>
    </row>
    <row r="221" spans="1:5" s="187" customFormat="1" x14ac:dyDescent="0.25">
      <c r="A221" s="184" t="s">
        <v>4</v>
      </c>
      <c r="B221" s="185">
        <v>700</v>
      </c>
      <c r="C221" s="41">
        <f t="shared" si="10"/>
        <v>1.05</v>
      </c>
      <c r="D221" s="186"/>
      <c r="E221" s="185">
        <f t="shared" si="11"/>
        <v>735</v>
      </c>
    </row>
    <row r="222" spans="1:5" x14ac:dyDescent="0.25">
      <c r="A222" s="82" t="s">
        <v>152</v>
      </c>
      <c r="B222" s="24">
        <v>100</v>
      </c>
      <c r="C222" s="41">
        <f t="shared" si="10"/>
        <v>1.05</v>
      </c>
      <c r="D222" s="43"/>
      <c r="E222" s="24">
        <f t="shared" si="11"/>
        <v>105</v>
      </c>
    </row>
    <row r="223" spans="1:5" s="199" customFormat="1" x14ac:dyDescent="0.25">
      <c r="A223" s="196" t="s">
        <v>153</v>
      </c>
      <c r="B223" s="197">
        <v>279</v>
      </c>
      <c r="C223" s="41">
        <f t="shared" si="10"/>
        <v>1.05</v>
      </c>
      <c r="D223" s="198"/>
      <c r="E223" s="197">
        <f t="shared" si="11"/>
        <v>292.95</v>
      </c>
    </row>
    <row r="224" spans="1:5" s="199" customFormat="1" x14ac:dyDescent="0.25">
      <c r="A224" s="196" t="s">
        <v>223</v>
      </c>
      <c r="B224" s="197">
        <v>685</v>
      </c>
      <c r="C224" s="41">
        <f t="shared" si="10"/>
        <v>1.05</v>
      </c>
      <c r="D224" s="198"/>
      <c r="E224" s="197">
        <f>IF(D224=0,B224*C224,B224*D224)</f>
        <v>719.25</v>
      </c>
    </row>
    <row r="225" spans="1:5" x14ac:dyDescent="0.25">
      <c r="A225" s="82" t="s">
        <v>405</v>
      </c>
      <c r="B225" s="24">
        <v>2190</v>
      </c>
      <c r="C225" s="41">
        <f t="shared" si="10"/>
        <v>1.05</v>
      </c>
      <c r="D225" s="43"/>
      <c r="E225" s="24">
        <f t="shared" si="11"/>
        <v>2299.5</v>
      </c>
    </row>
    <row r="226" spans="1:5" x14ac:dyDescent="0.25">
      <c r="A226" s="84" t="s">
        <v>1048</v>
      </c>
      <c r="B226" s="24">
        <v>1850</v>
      </c>
      <c r="C226" s="41">
        <f t="shared" si="10"/>
        <v>1.05</v>
      </c>
      <c r="D226" s="43"/>
      <c r="E226" s="24">
        <f t="shared" si="11"/>
        <v>1942.5</v>
      </c>
    </row>
    <row r="227" spans="1:5" x14ac:dyDescent="0.25">
      <c r="A227" s="84" t="s">
        <v>1052</v>
      </c>
      <c r="B227" s="24">
        <v>1950</v>
      </c>
      <c r="C227" s="41">
        <f t="shared" si="10"/>
        <v>1.05</v>
      </c>
      <c r="D227" s="43"/>
      <c r="E227" s="24">
        <f t="shared" si="11"/>
        <v>2047.5</v>
      </c>
    </row>
    <row r="228" spans="1:5" x14ac:dyDescent="0.25">
      <c r="A228" s="84" t="s">
        <v>1053</v>
      </c>
      <c r="B228" s="24">
        <v>2350</v>
      </c>
      <c r="C228" s="41">
        <f t="shared" si="10"/>
        <v>1.05</v>
      </c>
      <c r="D228" s="43"/>
      <c r="E228" s="24">
        <f t="shared" si="11"/>
        <v>2467.5</v>
      </c>
    </row>
    <row r="229" spans="1:5" x14ac:dyDescent="0.25">
      <c r="A229" s="83" t="s">
        <v>888</v>
      </c>
      <c r="B229" s="24">
        <v>2550</v>
      </c>
      <c r="C229" s="41">
        <f t="shared" si="10"/>
        <v>1.05</v>
      </c>
      <c r="D229" s="43"/>
      <c r="E229" s="24">
        <f t="shared" si="11"/>
        <v>2677.5</v>
      </c>
    </row>
    <row r="230" spans="1:5" s="211" customFormat="1" x14ac:dyDescent="0.25">
      <c r="A230" s="208" t="s">
        <v>933</v>
      </c>
      <c r="B230" s="209">
        <v>2399</v>
      </c>
      <c r="C230" s="41">
        <f t="shared" si="10"/>
        <v>1.05</v>
      </c>
      <c r="D230" s="210"/>
      <c r="E230" s="209">
        <f t="shared" si="11"/>
        <v>2518.9500000000003</v>
      </c>
    </row>
    <row r="231" spans="1:5" x14ac:dyDescent="0.25">
      <c r="A231" s="82" t="s">
        <v>233</v>
      </c>
      <c r="B231" s="24">
        <v>485</v>
      </c>
      <c r="C231" s="41">
        <f t="shared" si="10"/>
        <v>1.05</v>
      </c>
      <c r="D231" s="43"/>
      <c r="E231" s="24">
        <f t="shared" si="11"/>
        <v>509.25</v>
      </c>
    </row>
    <row r="232" spans="1:5" s="211" customFormat="1" x14ac:dyDescent="0.25">
      <c r="A232" s="212" t="s">
        <v>409</v>
      </c>
      <c r="B232" s="209">
        <v>2589</v>
      </c>
      <c r="C232" s="41">
        <f t="shared" si="10"/>
        <v>1.05</v>
      </c>
      <c r="D232" s="210"/>
      <c r="E232" s="209">
        <f t="shared" si="11"/>
        <v>2718.4500000000003</v>
      </c>
    </row>
    <row r="233" spans="1:5" s="211" customFormat="1" x14ac:dyDescent="0.25">
      <c r="A233" s="228" t="s">
        <v>1058</v>
      </c>
      <c r="B233" s="209">
        <v>1200</v>
      </c>
      <c r="C233" s="41">
        <f t="shared" si="10"/>
        <v>1.05</v>
      </c>
      <c r="D233" s="210"/>
      <c r="E233" s="209">
        <f t="shared" si="11"/>
        <v>1260</v>
      </c>
    </row>
    <row r="234" spans="1:5" s="211" customFormat="1" x14ac:dyDescent="0.25">
      <c r="A234" s="212" t="s">
        <v>411</v>
      </c>
      <c r="B234" s="209">
        <v>2889</v>
      </c>
      <c r="C234" s="41">
        <f t="shared" si="10"/>
        <v>1.05</v>
      </c>
      <c r="D234" s="210"/>
      <c r="E234" s="209">
        <f t="shared" si="11"/>
        <v>3033.4500000000003</v>
      </c>
    </row>
    <row r="235" spans="1:5" s="211" customFormat="1" x14ac:dyDescent="0.25">
      <c r="A235" s="228" t="s">
        <v>1062</v>
      </c>
      <c r="B235" s="209">
        <v>925</v>
      </c>
      <c r="C235" s="41">
        <f t="shared" si="10"/>
        <v>1.05</v>
      </c>
      <c r="D235" s="210"/>
      <c r="E235" s="209">
        <f t="shared" si="11"/>
        <v>971.25</v>
      </c>
    </row>
    <row r="236" spans="1:5" s="211" customFormat="1" x14ac:dyDescent="0.25">
      <c r="A236" s="208" t="s">
        <v>923</v>
      </c>
      <c r="B236" s="209">
        <v>3250</v>
      </c>
      <c r="C236" s="41">
        <f t="shared" si="10"/>
        <v>1.05</v>
      </c>
      <c r="D236" s="210"/>
      <c r="E236" s="209">
        <f t="shared" si="11"/>
        <v>3412.5</v>
      </c>
    </row>
    <row r="237" spans="1:5" s="207" customFormat="1" x14ac:dyDescent="0.25">
      <c r="A237" s="204" t="s">
        <v>934</v>
      </c>
      <c r="B237" s="205">
        <v>2799</v>
      </c>
      <c r="C237" s="41">
        <f t="shared" si="10"/>
        <v>1.05</v>
      </c>
      <c r="D237" s="206"/>
      <c r="E237" s="205">
        <f t="shared" si="11"/>
        <v>2938.9500000000003</v>
      </c>
    </row>
    <row r="238" spans="1:5" s="207" customFormat="1" x14ac:dyDescent="0.25">
      <c r="A238" s="204" t="s">
        <v>922</v>
      </c>
      <c r="B238" s="205">
        <v>2950</v>
      </c>
      <c r="C238" s="41">
        <f t="shared" si="10"/>
        <v>1.05</v>
      </c>
      <c r="D238" s="206"/>
      <c r="E238" s="205">
        <f t="shared" si="11"/>
        <v>3097.5</v>
      </c>
    </row>
    <row r="239" spans="1:5" s="207" customFormat="1" x14ac:dyDescent="0.25">
      <c r="A239" s="204" t="s">
        <v>935</v>
      </c>
      <c r="B239" s="205">
        <v>3540</v>
      </c>
      <c r="C239" s="41">
        <f t="shared" si="10"/>
        <v>1.05</v>
      </c>
      <c r="D239" s="206"/>
      <c r="E239" s="205">
        <f t="shared" si="11"/>
        <v>3717</v>
      </c>
    </row>
    <row r="240" spans="1:5" s="207" customFormat="1" x14ac:dyDescent="0.25">
      <c r="A240" s="204" t="s">
        <v>936</v>
      </c>
      <c r="B240" s="205">
        <v>5940</v>
      </c>
      <c r="C240" s="41">
        <f t="shared" si="10"/>
        <v>1.05</v>
      </c>
      <c r="D240" s="206"/>
      <c r="E240" s="205">
        <f t="shared" si="11"/>
        <v>6237</v>
      </c>
    </row>
    <row r="241" spans="1:5" x14ac:dyDescent="0.25">
      <c r="A241" s="84" t="s">
        <v>1065</v>
      </c>
      <c r="B241" s="24">
        <v>3450</v>
      </c>
      <c r="C241" s="41">
        <f t="shared" si="10"/>
        <v>1.05</v>
      </c>
      <c r="D241" s="43"/>
      <c r="E241" s="24">
        <f t="shared" si="11"/>
        <v>3622.5</v>
      </c>
    </row>
    <row r="242" spans="1:5" x14ac:dyDescent="0.25">
      <c r="A242" s="84" t="s">
        <v>1066</v>
      </c>
      <c r="B242" s="24">
        <v>4950</v>
      </c>
      <c r="C242" s="41">
        <f t="shared" si="10"/>
        <v>1.05</v>
      </c>
      <c r="D242" s="43"/>
      <c r="E242" s="24">
        <f t="shared" si="11"/>
        <v>5197.5</v>
      </c>
    </row>
    <row r="243" spans="1:5" x14ac:dyDescent="0.25">
      <c r="A243" s="84" t="s">
        <v>1067</v>
      </c>
      <c r="B243" s="24">
        <v>2950</v>
      </c>
      <c r="C243" s="41">
        <f t="shared" si="10"/>
        <v>1.05</v>
      </c>
      <c r="D243" s="43"/>
      <c r="E243" s="24">
        <f t="shared" si="11"/>
        <v>3097.5</v>
      </c>
    </row>
    <row r="244" spans="1:5" x14ac:dyDescent="0.25">
      <c r="A244" s="82" t="s">
        <v>412</v>
      </c>
      <c r="B244" s="24">
        <v>385</v>
      </c>
      <c r="C244" s="41">
        <f t="shared" si="10"/>
        <v>1.05</v>
      </c>
      <c r="D244" s="43"/>
      <c r="E244" s="24">
        <f t="shared" si="11"/>
        <v>404.25</v>
      </c>
    </row>
    <row r="245" spans="1:5" x14ac:dyDescent="0.25">
      <c r="A245" s="83" t="s">
        <v>937</v>
      </c>
      <c r="B245" s="24">
        <v>1185</v>
      </c>
      <c r="C245" s="41">
        <f t="shared" si="10"/>
        <v>1.05</v>
      </c>
      <c r="D245" s="43"/>
      <c r="E245" s="24">
        <f t="shared" si="11"/>
        <v>1244.25</v>
      </c>
    </row>
    <row r="246" spans="1:5" x14ac:dyDescent="0.25">
      <c r="A246" s="83" t="s">
        <v>938</v>
      </c>
      <c r="B246" s="24">
        <v>885</v>
      </c>
      <c r="C246" s="41">
        <f t="shared" si="10"/>
        <v>1.05</v>
      </c>
      <c r="D246" s="43"/>
      <c r="E246" s="24">
        <f t="shared" ref="E246" si="14">IF(D246=0,B246*C246,B246*D246)</f>
        <v>929.25</v>
      </c>
    </row>
    <row r="247" spans="1:5" x14ac:dyDescent="0.25">
      <c r="A247" s="82" t="s">
        <v>677</v>
      </c>
      <c r="B247" s="24">
        <v>545</v>
      </c>
      <c r="C247" s="41">
        <f t="shared" si="10"/>
        <v>1.05</v>
      </c>
      <c r="D247" s="43"/>
      <c r="E247" s="24">
        <f t="shared" si="11"/>
        <v>572.25</v>
      </c>
    </row>
    <row r="248" spans="1:5" x14ac:dyDescent="0.25">
      <c r="A248" s="82" t="s">
        <v>413</v>
      </c>
      <c r="B248" s="24">
        <v>975</v>
      </c>
      <c r="C248" s="41">
        <f t="shared" si="10"/>
        <v>1.05</v>
      </c>
      <c r="D248" s="43"/>
      <c r="E248" s="24">
        <f t="shared" si="11"/>
        <v>1023.75</v>
      </c>
    </row>
    <row r="249" spans="1:5" x14ac:dyDescent="0.25">
      <c r="A249" s="82" t="s">
        <v>414</v>
      </c>
      <c r="B249" s="24">
        <v>681.59999999999991</v>
      </c>
      <c r="C249" s="41">
        <f t="shared" si="10"/>
        <v>1.05</v>
      </c>
      <c r="D249" s="43"/>
      <c r="E249" s="24">
        <f t="shared" si="11"/>
        <v>715.68</v>
      </c>
    </row>
    <row r="250" spans="1:5" x14ac:dyDescent="0.25">
      <c r="A250" s="82" t="s">
        <v>145</v>
      </c>
      <c r="B250" s="24">
        <v>780</v>
      </c>
      <c r="C250" s="41">
        <f t="shared" si="10"/>
        <v>1.05</v>
      </c>
      <c r="D250" s="43"/>
      <c r="E250" s="24">
        <f t="shared" si="11"/>
        <v>819</v>
      </c>
    </row>
    <row r="251" spans="1:5" x14ac:dyDescent="0.25">
      <c r="A251" s="83" t="s">
        <v>1072</v>
      </c>
      <c r="B251" s="24">
        <v>835</v>
      </c>
      <c r="C251" s="41">
        <f t="shared" si="10"/>
        <v>1.05</v>
      </c>
      <c r="D251" s="43"/>
      <c r="E251" s="24">
        <f t="shared" si="11"/>
        <v>876.75</v>
      </c>
    </row>
    <row r="252" spans="1:5" x14ac:dyDescent="0.25">
      <c r="A252" s="83" t="s">
        <v>1073</v>
      </c>
      <c r="B252" s="24">
        <v>1045</v>
      </c>
      <c r="C252" s="41">
        <f t="shared" si="10"/>
        <v>1.05</v>
      </c>
      <c r="D252" s="43"/>
      <c r="E252" s="24">
        <f t="shared" si="11"/>
        <v>1097.25</v>
      </c>
    </row>
    <row r="253" spans="1:5" x14ac:dyDescent="0.25">
      <c r="A253" s="83" t="s">
        <v>892</v>
      </c>
      <c r="B253" s="24">
        <v>285</v>
      </c>
      <c r="C253" s="41">
        <f t="shared" si="10"/>
        <v>1.05</v>
      </c>
      <c r="D253" s="43"/>
      <c r="E253" s="24">
        <f t="shared" si="11"/>
        <v>299.25</v>
      </c>
    </row>
    <row r="254" spans="1:5" x14ac:dyDescent="0.25">
      <c r="A254" s="82" t="s">
        <v>415</v>
      </c>
      <c r="B254" s="24">
        <v>995</v>
      </c>
      <c r="C254" s="41">
        <f t="shared" si="10"/>
        <v>1.05</v>
      </c>
      <c r="D254" s="43"/>
      <c r="E254" s="24">
        <f t="shared" si="11"/>
        <v>1044.75</v>
      </c>
    </row>
    <row r="255" spans="1:5" x14ac:dyDescent="0.25">
      <c r="A255" s="82" t="s">
        <v>519</v>
      </c>
      <c r="B255" s="24">
        <v>1335</v>
      </c>
      <c r="C255" s="41">
        <f t="shared" si="10"/>
        <v>1.05</v>
      </c>
      <c r="D255" s="43"/>
      <c r="E255" s="24">
        <f t="shared" si="11"/>
        <v>1401.75</v>
      </c>
    </row>
    <row r="256" spans="1:5" x14ac:dyDescent="0.25">
      <c r="A256" s="83" t="s">
        <v>891</v>
      </c>
      <c r="B256" s="24">
        <v>2840</v>
      </c>
      <c r="C256" s="41">
        <f t="shared" si="10"/>
        <v>1.05</v>
      </c>
      <c r="D256" s="43"/>
      <c r="E256" s="24">
        <f t="shared" si="11"/>
        <v>2982</v>
      </c>
    </row>
    <row r="257" spans="1:6" x14ac:dyDescent="0.25">
      <c r="A257" s="82" t="s">
        <v>416</v>
      </c>
      <c r="B257" s="24">
        <v>1100</v>
      </c>
      <c r="C257" s="41">
        <f t="shared" si="10"/>
        <v>1.05</v>
      </c>
      <c r="D257" s="43"/>
      <c r="E257" s="24">
        <f t="shared" si="11"/>
        <v>1155</v>
      </c>
    </row>
    <row r="258" spans="1:6" x14ac:dyDescent="0.25">
      <c r="A258" s="82" t="s">
        <v>149</v>
      </c>
      <c r="B258" s="24">
        <v>420</v>
      </c>
      <c r="C258" s="41">
        <f t="shared" si="10"/>
        <v>1.05</v>
      </c>
      <c r="D258" s="43"/>
      <c r="E258" s="24">
        <f t="shared" si="11"/>
        <v>441</v>
      </c>
    </row>
    <row r="259" spans="1:6" x14ac:dyDescent="0.25">
      <c r="A259" s="82" t="s">
        <v>150</v>
      </c>
      <c r="B259" s="24">
        <v>490</v>
      </c>
      <c r="C259" s="41">
        <f t="shared" si="10"/>
        <v>1.05</v>
      </c>
      <c r="D259" s="43"/>
      <c r="E259" s="24">
        <f t="shared" si="11"/>
        <v>514.5</v>
      </c>
    </row>
    <row r="260" spans="1:6" x14ac:dyDescent="0.25">
      <c r="A260" s="82" t="s">
        <v>417</v>
      </c>
      <c r="B260" s="24">
        <v>214</v>
      </c>
      <c r="C260" s="41">
        <f t="shared" si="10"/>
        <v>1.05</v>
      </c>
      <c r="D260" s="43"/>
      <c r="E260" s="24">
        <f>IF(D260=0,B260*C260,B260*D260)</f>
        <v>224.70000000000002</v>
      </c>
      <c r="F260" s="80"/>
    </row>
    <row r="261" spans="1:6" x14ac:dyDescent="0.25">
      <c r="A261" s="82" t="s">
        <v>250</v>
      </c>
      <c r="B261" s="24">
        <v>620</v>
      </c>
      <c r="C261" s="41">
        <f t="shared" ref="C261:C324" si="15">$D$3</f>
        <v>1.05</v>
      </c>
      <c r="D261" s="43"/>
      <c r="E261" s="24">
        <f>IF(D261=0,B261*C261,B261*D261)</f>
        <v>651</v>
      </c>
    </row>
    <row r="262" spans="1:6" x14ac:dyDescent="0.25">
      <c r="A262" s="83" t="s">
        <v>890</v>
      </c>
      <c r="B262" s="24">
        <v>795</v>
      </c>
      <c r="C262" s="41">
        <f t="shared" si="15"/>
        <v>1.05</v>
      </c>
      <c r="D262" s="43"/>
      <c r="E262" s="24">
        <f t="shared" si="11"/>
        <v>834.75</v>
      </c>
    </row>
    <row r="263" spans="1:6" x14ac:dyDescent="0.25">
      <c r="A263" s="82" t="s">
        <v>418</v>
      </c>
      <c r="B263" s="24">
        <v>750</v>
      </c>
      <c r="C263" s="41">
        <f t="shared" si="15"/>
        <v>1.05</v>
      </c>
      <c r="D263" s="43"/>
      <c r="E263" s="24">
        <f t="shared" si="11"/>
        <v>787.5</v>
      </c>
    </row>
    <row r="264" spans="1:6" x14ac:dyDescent="0.25">
      <c r="A264" s="82" t="s">
        <v>137</v>
      </c>
      <c r="B264" s="24">
        <v>2430</v>
      </c>
      <c r="C264" s="41">
        <f t="shared" si="15"/>
        <v>1.05</v>
      </c>
      <c r="D264" s="43"/>
      <c r="E264" s="24">
        <f t="shared" si="11"/>
        <v>2551.5</v>
      </c>
    </row>
    <row r="265" spans="1:6" x14ac:dyDescent="0.25">
      <c r="A265" s="82" t="s">
        <v>520</v>
      </c>
      <c r="B265" s="24">
        <v>145</v>
      </c>
      <c r="C265" s="41">
        <f t="shared" si="15"/>
        <v>1.05</v>
      </c>
      <c r="D265" s="43"/>
      <c r="E265" s="24">
        <f t="shared" si="11"/>
        <v>152.25</v>
      </c>
    </row>
    <row r="266" spans="1:6" s="211" customFormat="1" x14ac:dyDescent="0.25">
      <c r="A266" s="208" t="s">
        <v>939</v>
      </c>
      <c r="B266" s="209">
        <v>2499</v>
      </c>
      <c r="C266" s="41">
        <f t="shared" si="15"/>
        <v>1.05</v>
      </c>
      <c r="D266" s="210"/>
      <c r="E266" s="209">
        <f t="shared" si="11"/>
        <v>2623.9500000000003</v>
      </c>
    </row>
    <row r="267" spans="1:6" s="207" customFormat="1" x14ac:dyDescent="0.25">
      <c r="A267" s="204" t="s">
        <v>940</v>
      </c>
      <c r="B267" s="205">
        <v>2899</v>
      </c>
      <c r="C267" s="41">
        <f t="shared" si="15"/>
        <v>1.05</v>
      </c>
      <c r="D267" s="206"/>
      <c r="E267" s="205">
        <f t="shared" si="11"/>
        <v>3043.9500000000003</v>
      </c>
    </row>
    <row r="268" spans="1:6" s="207" customFormat="1" x14ac:dyDescent="0.25">
      <c r="A268" s="204" t="s">
        <v>941</v>
      </c>
      <c r="B268" s="205">
        <v>3050</v>
      </c>
      <c r="C268" s="41">
        <f t="shared" si="15"/>
        <v>1.05</v>
      </c>
      <c r="D268" s="206"/>
      <c r="E268" s="205">
        <f t="shared" si="11"/>
        <v>3202.5</v>
      </c>
    </row>
    <row r="269" spans="1:6" s="207" customFormat="1" x14ac:dyDescent="0.25">
      <c r="A269" s="204" t="s">
        <v>942</v>
      </c>
      <c r="B269" s="205">
        <v>3740</v>
      </c>
      <c r="C269" s="41">
        <f t="shared" si="15"/>
        <v>1.05</v>
      </c>
      <c r="D269" s="206"/>
      <c r="E269" s="205">
        <f t="shared" si="11"/>
        <v>3927</v>
      </c>
    </row>
    <row r="270" spans="1:6" s="207" customFormat="1" x14ac:dyDescent="0.25">
      <c r="A270" s="204" t="s">
        <v>924</v>
      </c>
      <c r="B270" s="205">
        <v>6440</v>
      </c>
      <c r="C270" s="41">
        <f t="shared" si="15"/>
        <v>1.05</v>
      </c>
      <c r="D270" s="206"/>
      <c r="E270" s="205">
        <f t="shared" si="11"/>
        <v>6762</v>
      </c>
    </row>
    <row r="271" spans="1:6" s="211" customFormat="1" x14ac:dyDescent="0.25">
      <c r="A271" s="212" t="s">
        <v>419</v>
      </c>
      <c r="B271" s="209">
        <v>2689</v>
      </c>
      <c r="C271" s="41">
        <f t="shared" si="15"/>
        <v>1.05</v>
      </c>
      <c r="D271" s="210"/>
      <c r="E271" s="209">
        <f t="shared" si="11"/>
        <v>2823.4500000000003</v>
      </c>
    </row>
    <row r="272" spans="1:6" s="211" customFormat="1" x14ac:dyDescent="0.25">
      <c r="A272" s="228" t="s">
        <v>1058</v>
      </c>
      <c r="B272" s="209">
        <v>1300</v>
      </c>
      <c r="C272" s="41">
        <f t="shared" si="15"/>
        <v>1.05</v>
      </c>
      <c r="D272" s="210"/>
      <c r="E272" s="209">
        <f t="shared" si="11"/>
        <v>1365</v>
      </c>
    </row>
    <row r="273" spans="1:5" s="211" customFormat="1" x14ac:dyDescent="0.25">
      <c r="A273" s="208" t="s">
        <v>1061</v>
      </c>
      <c r="B273" s="209">
        <v>0</v>
      </c>
      <c r="C273" s="41">
        <f t="shared" si="15"/>
        <v>1.05</v>
      </c>
      <c r="D273" s="210"/>
      <c r="E273" s="209">
        <f t="shared" si="11"/>
        <v>0</v>
      </c>
    </row>
    <row r="274" spans="1:5" s="211" customFormat="1" x14ac:dyDescent="0.25">
      <c r="A274" s="208" t="s">
        <v>944</v>
      </c>
      <c r="B274" s="209">
        <v>3350</v>
      </c>
      <c r="C274" s="41">
        <f t="shared" si="15"/>
        <v>1.05</v>
      </c>
      <c r="D274" s="210"/>
      <c r="E274" s="209">
        <f t="shared" si="11"/>
        <v>3517.5</v>
      </c>
    </row>
    <row r="275" spans="1:5" s="211" customFormat="1" x14ac:dyDescent="0.25">
      <c r="A275" s="228" t="s">
        <v>1063</v>
      </c>
      <c r="B275" s="209">
        <v>975</v>
      </c>
      <c r="C275" s="41">
        <f t="shared" si="15"/>
        <v>1.05</v>
      </c>
      <c r="D275" s="210"/>
      <c r="E275" s="209">
        <f t="shared" si="11"/>
        <v>1023.75</v>
      </c>
    </row>
    <row r="276" spans="1:5" s="211" customFormat="1" x14ac:dyDescent="0.25">
      <c r="A276" s="228" t="s">
        <v>1068</v>
      </c>
      <c r="B276" s="209">
        <v>4176</v>
      </c>
      <c r="C276" s="41">
        <f t="shared" si="15"/>
        <v>1.05</v>
      </c>
      <c r="D276" s="210"/>
      <c r="E276" s="209">
        <f t="shared" ref="E276:E345" si="16">IF(D276=0,B276*C276,B276*D276)</f>
        <v>4384.8</v>
      </c>
    </row>
    <row r="277" spans="1:5" s="211" customFormat="1" x14ac:dyDescent="0.25">
      <c r="A277" s="208" t="s">
        <v>1069</v>
      </c>
      <c r="B277" s="209">
        <v>3850</v>
      </c>
      <c r="C277" s="41">
        <f t="shared" si="15"/>
        <v>1.05</v>
      </c>
      <c r="D277" s="210"/>
      <c r="E277" s="209">
        <f t="shared" si="16"/>
        <v>4042.5</v>
      </c>
    </row>
    <row r="278" spans="1:5" s="211" customFormat="1" x14ac:dyDescent="0.25">
      <c r="A278" s="208" t="s">
        <v>1070</v>
      </c>
      <c r="B278" s="209">
        <v>5250</v>
      </c>
      <c r="C278" s="41">
        <f t="shared" si="15"/>
        <v>1.05</v>
      </c>
      <c r="D278" s="210"/>
      <c r="E278" s="209">
        <f t="shared" si="16"/>
        <v>5512.5</v>
      </c>
    </row>
    <row r="279" spans="1:5" x14ac:dyDescent="0.25">
      <c r="A279" s="82" t="s">
        <v>231</v>
      </c>
      <c r="B279" s="24">
        <v>395</v>
      </c>
      <c r="C279" s="41">
        <f t="shared" si="15"/>
        <v>1.05</v>
      </c>
      <c r="D279" s="43"/>
      <c r="E279" s="24">
        <f t="shared" si="16"/>
        <v>414.75</v>
      </c>
    </row>
    <row r="280" spans="1:5" x14ac:dyDescent="0.25">
      <c r="A280" s="83" t="s">
        <v>937</v>
      </c>
      <c r="B280" s="24">
        <v>1285</v>
      </c>
      <c r="C280" s="41">
        <f t="shared" si="15"/>
        <v>1.05</v>
      </c>
      <c r="D280" s="43"/>
      <c r="E280" s="24">
        <f t="shared" ref="E280:E281" si="17">IF(D280=0,B280*C280,B280*D280)</f>
        <v>1349.25</v>
      </c>
    </row>
    <row r="281" spans="1:5" x14ac:dyDescent="0.25">
      <c r="A281" s="83" t="s">
        <v>938</v>
      </c>
      <c r="B281" s="24">
        <v>995</v>
      </c>
      <c r="C281" s="41">
        <f t="shared" si="15"/>
        <v>1.05</v>
      </c>
      <c r="D281" s="43"/>
      <c r="E281" s="24">
        <f t="shared" si="17"/>
        <v>1044.75</v>
      </c>
    </row>
    <row r="282" spans="1:5" x14ac:dyDescent="0.25">
      <c r="A282" s="82" t="s">
        <v>421</v>
      </c>
      <c r="B282" s="24">
        <v>485</v>
      </c>
      <c r="C282" s="41">
        <f t="shared" si="15"/>
        <v>1.05</v>
      </c>
      <c r="D282" s="43"/>
      <c r="E282" s="24">
        <f t="shared" si="16"/>
        <v>509.25</v>
      </c>
    </row>
    <row r="283" spans="1:5" x14ac:dyDescent="0.25">
      <c r="A283" s="82" t="s">
        <v>677</v>
      </c>
      <c r="B283" s="24">
        <v>545</v>
      </c>
      <c r="C283" s="41">
        <f t="shared" si="15"/>
        <v>1.05</v>
      </c>
      <c r="D283" s="43"/>
      <c r="E283" s="24">
        <f t="shared" ref="E283" si="18">IF(D283=0,B283*C283,B283*D283)</f>
        <v>572.25</v>
      </c>
    </row>
    <row r="284" spans="1:5" x14ac:dyDescent="0.25">
      <c r="A284" s="82" t="s">
        <v>160</v>
      </c>
      <c r="B284" s="24">
        <v>2989</v>
      </c>
      <c r="C284" s="41">
        <f t="shared" si="15"/>
        <v>1.05</v>
      </c>
      <c r="D284" s="43"/>
      <c r="E284" s="24">
        <f t="shared" si="16"/>
        <v>3138.4500000000003</v>
      </c>
    </row>
    <row r="285" spans="1:5" x14ac:dyDescent="0.25">
      <c r="A285" s="82" t="s">
        <v>232</v>
      </c>
      <c r="B285" s="24">
        <v>1395</v>
      </c>
      <c r="C285" s="41">
        <f t="shared" si="15"/>
        <v>1.05</v>
      </c>
      <c r="D285" s="43"/>
      <c r="E285" s="24">
        <f t="shared" si="16"/>
        <v>1464.75</v>
      </c>
    </row>
    <row r="286" spans="1:5" x14ac:dyDescent="0.25">
      <c r="A286" s="82" t="s">
        <v>523</v>
      </c>
      <c r="B286" s="24">
        <v>350</v>
      </c>
      <c r="C286" s="41">
        <f t="shared" si="15"/>
        <v>1.05</v>
      </c>
      <c r="D286" s="43"/>
      <c r="E286" s="24">
        <f t="shared" si="16"/>
        <v>367.5</v>
      </c>
    </row>
    <row r="287" spans="1:5" x14ac:dyDescent="0.25">
      <c r="A287" s="82" t="s">
        <v>270</v>
      </c>
      <c r="B287" s="24">
        <v>2115</v>
      </c>
      <c r="C287" s="41">
        <f t="shared" si="15"/>
        <v>1.05</v>
      </c>
      <c r="D287" s="43"/>
      <c r="E287" s="24">
        <f t="shared" si="16"/>
        <v>2220.75</v>
      </c>
    </row>
    <row r="288" spans="1:5" x14ac:dyDescent="0.25">
      <c r="A288" s="82" t="s">
        <v>524</v>
      </c>
      <c r="B288" s="24">
        <v>2455</v>
      </c>
      <c r="C288" s="41">
        <f t="shared" si="15"/>
        <v>1.05</v>
      </c>
      <c r="D288" s="43"/>
      <c r="E288" s="24">
        <f t="shared" si="16"/>
        <v>2577.75</v>
      </c>
    </row>
    <row r="289" spans="1:5" x14ac:dyDescent="0.25">
      <c r="A289" s="82" t="s">
        <v>525</v>
      </c>
      <c r="B289" s="24">
        <v>1230</v>
      </c>
      <c r="C289" s="41">
        <f t="shared" si="15"/>
        <v>1.05</v>
      </c>
      <c r="D289" s="43"/>
      <c r="E289" s="24">
        <f t="shared" si="16"/>
        <v>1291.5</v>
      </c>
    </row>
    <row r="290" spans="1:5" x14ac:dyDescent="0.25">
      <c r="A290" s="82" t="s">
        <v>526</v>
      </c>
      <c r="B290" s="24">
        <v>1130</v>
      </c>
      <c r="C290" s="41">
        <f t="shared" si="15"/>
        <v>1.05</v>
      </c>
      <c r="D290" s="43"/>
      <c r="E290" s="24">
        <f t="shared" si="16"/>
        <v>1186.5</v>
      </c>
    </row>
    <row r="291" spans="1:5" x14ac:dyDescent="0.25">
      <c r="A291" s="84" t="s">
        <v>271</v>
      </c>
      <c r="B291" s="24">
        <v>725</v>
      </c>
      <c r="C291" s="41">
        <f t="shared" si="15"/>
        <v>1.05</v>
      </c>
      <c r="D291" s="43"/>
      <c r="E291" s="24">
        <f t="shared" si="16"/>
        <v>761.25</v>
      </c>
    </row>
    <row r="292" spans="1:5" x14ac:dyDescent="0.25">
      <c r="A292" s="84" t="s">
        <v>962</v>
      </c>
      <c r="B292" s="24">
        <v>495</v>
      </c>
      <c r="C292" s="41">
        <f t="shared" si="15"/>
        <v>1.05</v>
      </c>
      <c r="D292" s="43"/>
      <c r="E292" s="24">
        <f t="shared" ref="E292:E293" si="19">IF(D292=0,B292*C292,B292*D292)</f>
        <v>519.75</v>
      </c>
    </row>
    <row r="293" spans="1:5" x14ac:dyDescent="0.25">
      <c r="A293" s="84" t="s">
        <v>963</v>
      </c>
      <c r="B293" s="24">
        <v>785</v>
      </c>
      <c r="C293" s="41">
        <f t="shared" si="15"/>
        <v>1.05</v>
      </c>
      <c r="D293" s="43"/>
      <c r="E293" s="24">
        <f t="shared" si="19"/>
        <v>824.25</v>
      </c>
    </row>
    <row r="294" spans="1:5" x14ac:dyDescent="0.25">
      <c r="A294" s="82" t="s">
        <v>566</v>
      </c>
      <c r="B294" s="24">
        <v>1650</v>
      </c>
      <c r="C294" s="41">
        <f t="shared" si="15"/>
        <v>1.05</v>
      </c>
      <c r="D294" s="43"/>
      <c r="E294" s="24">
        <f t="shared" si="16"/>
        <v>1732.5</v>
      </c>
    </row>
    <row r="295" spans="1:5" x14ac:dyDescent="0.25">
      <c r="A295" s="82" t="s">
        <v>527</v>
      </c>
      <c r="B295" s="24">
        <v>1850</v>
      </c>
      <c r="C295" s="41">
        <f t="shared" si="15"/>
        <v>1.05</v>
      </c>
      <c r="D295" s="43"/>
      <c r="E295" s="24">
        <f t="shared" si="16"/>
        <v>1942.5</v>
      </c>
    </row>
    <row r="296" spans="1:5" x14ac:dyDescent="0.25">
      <c r="A296" s="84" t="s">
        <v>678</v>
      </c>
      <c r="B296" s="24">
        <v>2950</v>
      </c>
      <c r="C296" s="41">
        <f t="shared" si="15"/>
        <v>1.05</v>
      </c>
      <c r="D296" s="43"/>
      <c r="E296" s="24">
        <f t="shared" si="16"/>
        <v>3097.5</v>
      </c>
    </row>
    <row r="297" spans="1:5" x14ac:dyDescent="0.25">
      <c r="A297" s="82" t="s">
        <v>679</v>
      </c>
      <c r="B297" s="24">
        <v>995</v>
      </c>
      <c r="C297" s="41">
        <f t="shared" si="15"/>
        <v>1.05</v>
      </c>
      <c r="D297" s="43"/>
      <c r="E297" s="24">
        <f t="shared" si="16"/>
        <v>1044.75</v>
      </c>
    </row>
    <row r="298" spans="1:5" x14ac:dyDescent="0.25">
      <c r="A298" s="82" t="s">
        <v>422</v>
      </c>
      <c r="B298" s="24">
        <v>565</v>
      </c>
      <c r="C298" s="41">
        <f t="shared" si="15"/>
        <v>1.05</v>
      </c>
      <c r="D298" s="43"/>
      <c r="E298" s="24">
        <f t="shared" si="16"/>
        <v>593.25</v>
      </c>
    </row>
    <row r="299" spans="1:5" x14ac:dyDescent="0.25">
      <c r="A299" s="83" t="s">
        <v>947</v>
      </c>
      <c r="B299" s="24">
        <v>605</v>
      </c>
      <c r="C299" s="41">
        <f t="shared" si="15"/>
        <v>1.05</v>
      </c>
      <c r="D299" s="43"/>
      <c r="E299" s="24">
        <f t="shared" ref="E299" si="20">IF(D299=0,B299*C299,B299*D299)</f>
        <v>635.25</v>
      </c>
    </row>
    <row r="300" spans="1:5" x14ac:dyDescent="0.25">
      <c r="A300" s="83" t="s">
        <v>955</v>
      </c>
      <c r="B300" s="24">
        <v>1125</v>
      </c>
      <c r="C300" s="41">
        <f t="shared" si="15"/>
        <v>1.05</v>
      </c>
      <c r="D300" s="43"/>
      <c r="E300" s="24">
        <f t="shared" ref="E300" si="21">IF(D300=0,B300*C300,B300*D300)</f>
        <v>1181.25</v>
      </c>
    </row>
    <row r="301" spans="1:5" x14ac:dyDescent="0.25">
      <c r="A301" s="82" t="s">
        <v>423</v>
      </c>
      <c r="B301" s="24">
        <v>605</v>
      </c>
      <c r="C301" s="41">
        <f t="shared" si="15"/>
        <v>1.05</v>
      </c>
      <c r="D301" s="43"/>
      <c r="E301" s="24">
        <f t="shared" si="16"/>
        <v>635.25</v>
      </c>
    </row>
    <row r="302" spans="1:5" x14ac:dyDescent="0.25">
      <c r="A302" s="82" t="s">
        <v>424</v>
      </c>
      <c r="B302" s="24">
        <v>475</v>
      </c>
      <c r="C302" s="41">
        <f t="shared" si="15"/>
        <v>1.05</v>
      </c>
      <c r="D302" s="43"/>
      <c r="E302" s="24">
        <f t="shared" si="16"/>
        <v>498.75</v>
      </c>
    </row>
    <row r="303" spans="1:5" x14ac:dyDescent="0.25">
      <c r="A303" s="82" t="s">
        <v>425</v>
      </c>
      <c r="B303" s="24">
        <v>175</v>
      </c>
      <c r="C303" s="41">
        <f t="shared" si="15"/>
        <v>1.05</v>
      </c>
      <c r="D303" s="43"/>
      <c r="E303" s="24">
        <f t="shared" si="16"/>
        <v>183.75</v>
      </c>
    </row>
    <row r="304" spans="1:5" x14ac:dyDescent="0.25">
      <c r="A304" s="82" t="s">
        <v>426</v>
      </c>
      <c r="B304" s="24">
        <v>1125</v>
      </c>
      <c r="C304" s="41">
        <f t="shared" si="15"/>
        <v>1.05</v>
      </c>
      <c r="D304" s="43"/>
      <c r="E304" s="24">
        <f t="shared" si="16"/>
        <v>1181.25</v>
      </c>
    </row>
    <row r="305" spans="1:5" x14ac:dyDescent="0.25">
      <c r="A305" s="82" t="s">
        <v>427</v>
      </c>
      <c r="B305" s="24">
        <v>1005</v>
      </c>
      <c r="C305" s="41">
        <f t="shared" si="15"/>
        <v>1.05</v>
      </c>
      <c r="D305" s="43"/>
      <c r="E305" s="24">
        <f t="shared" si="16"/>
        <v>1055.25</v>
      </c>
    </row>
    <row r="306" spans="1:5" x14ac:dyDescent="0.25">
      <c r="A306" s="82" t="s">
        <v>528</v>
      </c>
      <c r="B306" s="24">
        <v>3800</v>
      </c>
      <c r="C306" s="41">
        <f t="shared" si="15"/>
        <v>1.05</v>
      </c>
      <c r="D306" s="43"/>
      <c r="E306" s="24">
        <f t="shared" si="16"/>
        <v>3990</v>
      </c>
    </row>
    <row r="307" spans="1:5" x14ac:dyDescent="0.25">
      <c r="A307" s="82" t="s">
        <v>429</v>
      </c>
      <c r="B307" s="24">
        <v>450</v>
      </c>
      <c r="C307" s="41">
        <f t="shared" si="15"/>
        <v>1.05</v>
      </c>
      <c r="D307" s="43"/>
      <c r="E307" s="24">
        <f t="shared" si="16"/>
        <v>472.5</v>
      </c>
    </row>
    <row r="308" spans="1:5" x14ac:dyDescent="0.25">
      <c r="A308" s="82" t="s">
        <v>529</v>
      </c>
      <c r="B308" s="24">
        <v>750</v>
      </c>
      <c r="C308" s="41">
        <f t="shared" si="15"/>
        <v>1.05</v>
      </c>
      <c r="D308" s="43"/>
      <c r="E308" s="24">
        <f t="shared" si="16"/>
        <v>787.5</v>
      </c>
    </row>
    <row r="309" spans="1:5" x14ac:dyDescent="0.25">
      <c r="A309" s="82" t="s">
        <v>430</v>
      </c>
      <c r="B309" s="24">
        <v>400</v>
      </c>
      <c r="C309" s="41">
        <f t="shared" si="15"/>
        <v>1.05</v>
      </c>
      <c r="D309" s="43"/>
      <c r="E309" s="24">
        <f t="shared" si="16"/>
        <v>420</v>
      </c>
    </row>
    <row r="310" spans="1:5" x14ac:dyDescent="0.25">
      <c r="A310" s="82" t="s">
        <v>680</v>
      </c>
      <c r="B310" s="24">
        <v>4800</v>
      </c>
      <c r="C310" s="41">
        <f t="shared" si="15"/>
        <v>1.05</v>
      </c>
      <c r="D310" s="43"/>
      <c r="E310" s="24">
        <f t="shared" si="16"/>
        <v>5040</v>
      </c>
    </row>
    <row r="311" spans="1:5" x14ac:dyDescent="0.25">
      <c r="A311" s="82" t="s">
        <v>431</v>
      </c>
      <c r="B311" s="24">
        <v>300</v>
      </c>
      <c r="C311" s="41">
        <f t="shared" si="15"/>
        <v>1.05</v>
      </c>
      <c r="D311" s="43"/>
      <c r="E311" s="24">
        <f t="shared" si="16"/>
        <v>315</v>
      </c>
    </row>
    <row r="312" spans="1:5" x14ac:dyDescent="0.25">
      <c r="A312" s="82" t="s">
        <v>432</v>
      </c>
      <c r="B312" s="24">
        <v>350</v>
      </c>
      <c r="C312" s="41">
        <f t="shared" si="15"/>
        <v>1.05</v>
      </c>
      <c r="D312" s="43"/>
      <c r="E312" s="24">
        <f t="shared" si="16"/>
        <v>367.5</v>
      </c>
    </row>
    <row r="313" spans="1:5" x14ac:dyDescent="0.25">
      <c r="A313" s="82" t="s">
        <v>115</v>
      </c>
      <c r="B313" s="24">
        <v>185</v>
      </c>
      <c r="C313" s="41">
        <f t="shared" si="15"/>
        <v>1.05</v>
      </c>
      <c r="D313" s="43"/>
      <c r="E313" s="24">
        <f t="shared" si="16"/>
        <v>194.25</v>
      </c>
    </row>
    <row r="314" spans="1:5" x14ac:dyDescent="0.25">
      <c r="A314" s="82" t="s">
        <v>433</v>
      </c>
      <c r="B314" s="24">
        <v>700</v>
      </c>
      <c r="C314" s="41">
        <f t="shared" si="15"/>
        <v>1.05</v>
      </c>
      <c r="D314" s="43"/>
      <c r="E314" s="24">
        <f t="shared" si="16"/>
        <v>735</v>
      </c>
    </row>
    <row r="315" spans="1:5" x14ac:dyDescent="0.25">
      <c r="A315" s="82" t="s">
        <v>434</v>
      </c>
      <c r="B315" s="24">
        <v>1285</v>
      </c>
      <c r="C315" s="41">
        <f t="shared" si="15"/>
        <v>1.05</v>
      </c>
      <c r="D315" s="43"/>
      <c r="E315" s="24">
        <f t="shared" si="16"/>
        <v>1349.25</v>
      </c>
    </row>
    <row r="316" spans="1:5" x14ac:dyDescent="0.25">
      <c r="A316" s="84" t="s">
        <v>1075</v>
      </c>
      <c r="B316" s="24">
        <v>0</v>
      </c>
      <c r="C316" s="41">
        <f t="shared" si="15"/>
        <v>1.05</v>
      </c>
      <c r="D316" s="43"/>
      <c r="E316" s="24">
        <f t="shared" si="16"/>
        <v>0</v>
      </c>
    </row>
    <row r="317" spans="1:5" x14ac:dyDescent="0.25">
      <c r="A317" s="82" t="s">
        <v>435</v>
      </c>
      <c r="B317" s="24">
        <v>1395</v>
      </c>
      <c r="C317" s="41">
        <f t="shared" si="15"/>
        <v>1.05</v>
      </c>
      <c r="D317" s="43"/>
      <c r="E317" s="24">
        <f t="shared" si="16"/>
        <v>1464.75</v>
      </c>
    </row>
    <row r="318" spans="1:5" x14ac:dyDescent="0.25">
      <c r="A318" s="82" t="s">
        <v>436</v>
      </c>
      <c r="B318" s="24">
        <v>550</v>
      </c>
      <c r="C318" s="41">
        <f t="shared" si="15"/>
        <v>1.05</v>
      </c>
      <c r="D318" s="43"/>
      <c r="E318" s="24">
        <f t="shared" si="16"/>
        <v>577.5</v>
      </c>
    </row>
    <row r="319" spans="1:5" x14ac:dyDescent="0.25">
      <c r="A319" s="82" t="s">
        <v>437</v>
      </c>
      <c r="B319" s="24">
        <v>1330</v>
      </c>
      <c r="C319" s="41">
        <f t="shared" si="15"/>
        <v>1.05</v>
      </c>
      <c r="D319" s="43"/>
      <c r="E319" s="24">
        <f t="shared" si="16"/>
        <v>1396.5</v>
      </c>
    </row>
    <row r="320" spans="1:5" x14ac:dyDescent="0.25">
      <c r="A320" s="82" t="s">
        <v>438</v>
      </c>
      <c r="B320" s="24">
        <v>1230</v>
      </c>
      <c r="C320" s="41">
        <f t="shared" si="15"/>
        <v>1.05</v>
      </c>
      <c r="D320" s="43"/>
      <c r="E320" s="24">
        <f t="shared" si="16"/>
        <v>1291.5</v>
      </c>
    </row>
    <row r="321" spans="1:5" x14ac:dyDescent="0.25">
      <c r="A321" s="82" t="s">
        <v>439</v>
      </c>
      <c r="B321" s="24">
        <v>1320</v>
      </c>
      <c r="C321" s="41">
        <f t="shared" si="15"/>
        <v>1.05</v>
      </c>
      <c r="D321" s="43"/>
      <c r="E321" s="24">
        <f t="shared" si="16"/>
        <v>1386</v>
      </c>
    </row>
    <row r="322" spans="1:5" x14ac:dyDescent="0.25">
      <c r="A322" s="82" t="s">
        <v>440</v>
      </c>
      <c r="B322" s="24">
        <v>1220</v>
      </c>
      <c r="C322" s="41">
        <f t="shared" si="15"/>
        <v>1.05</v>
      </c>
      <c r="D322" s="43"/>
      <c r="E322" s="24">
        <f t="shared" si="16"/>
        <v>1281</v>
      </c>
    </row>
    <row r="323" spans="1:5" x14ac:dyDescent="0.25">
      <c r="A323" s="82" t="s">
        <v>441</v>
      </c>
      <c r="B323" s="24">
        <v>315</v>
      </c>
      <c r="C323" s="41">
        <f t="shared" si="15"/>
        <v>1.05</v>
      </c>
      <c r="D323" s="43"/>
      <c r="E323" s="24">
        <f t="shared" si="16"/>
        <v>330.75</v>
      </c>
    </row>
    <row r="324" spans="1:5" x14ac:dyDescent="0.25">
      <c r="A324" s="83" t="s">
        <v>531</v>
      </c>
      <c r="B324" s="24">
        <v>825</v>
      </c>
      <c r="C324" s="41">
        <f t="shared" si="15"/>
        <v>1.05</v>
      </c>
      <c r="D324" s="43"/>
      <c r="E324" s="24">
        <f t="shared" si="16"/>
        <v>866.25</v>
      </c>
    </row>
    <row r="325" spans="1:5" x14ac:dyDescent="0.25">
      <c r="A325" s="82" t="s">
        <v>532</v>
      </c>
      <c r="B325" s="24">
        <v>1045.1199999999999</v>
      </c>
      <c r="C325" s="41">
        <f t="shared" ref="C325:C388" si="22">$D$3</f>
        <v>1.05</v>
      </c>
      <c r="D325" s="43"/>
      <c r="E325" s="24">
        <f t="shared" si="16"/>
        <v>1097.376</v>
      </c>
    </row>
    <row r="326" spans="1:5" x14ac:dyDescent="0.25">
      <c r="A326" s="84" t="s">
        <v>533</v>
      </c>
      <c r="B326" s="24">
        <v>812</v>
      </c>
      <c r="C326" s="41">
        <f t="shared" si="22"/>
        <v>1.05</v>
      </c>
      <c r="D326" s="43"/>
      <c r="E326" s="24">
        <f t="shared" si="16"/>
        <v>852.6</v>
      </c>
    </row>
    <row r="327" spans="1:5" x14ac:dyDescent="0.25">
      <c r="A327" s="82" t="s">
        <v>442</v>
      </c>
      <c r="B327" s="24">
        <v>215</v>
      </c>
      <c r="C327" s="41">
        <f t="shared" si="22"/>
        <v>1.05</v>
      </c>
      <c r="D327" s="43"/>
      <c r="E327" s="24">
        <f t="shared" si="16"/>
        <v>225.75</v>
      </c>
    </row>
    <row r="328" spans="1:5" x14ac:dyDescent="0.25">
      <c r="A328" s="82" t="s">
        <v>443</v>
      </c>
      <c r="B328" s="24">
        <v>440</v>
      </c>
      <c r="C328" s="41">
        <f t="shared" si="22"/>
        <v>1.05</v>
      </c>
      <c r="D328" s="43"/>
      <c r="E328" s="24">
        <f t="shared" si="16"/>
        <v>462</v>
      </c>
    </row>
    <row r="329" spans="1:5" x14ac:dyDescent="0.25">
      <c r="A329" s="82" t="s">
        <v>534</v>
      </c>
      <c r="B329" s="24">
        <v>1010</v>
      </c>
      <c r="C329" s="41">
        <f t="shared" si="22"/>
        <v>1.05</v>
      </c>
      <c r="D329" s="43"/>
      <c r="E329" s="24">
        <f t="shared" si="16"/>
        <v>1060.5</v>
      </c>
    </row>
    <row r="330" spans="1:5" x14ac:dyDescent="0.25">
      <c r="A330" s="82" t="s">
        <v>444</v>
      </c>
      <c r="B330" s="24">
        <v>700</v>
      </c>
      <c r="C330" s="41">
        <f t="shared" si="22"/>
        <v>1.05</v>
      </c>
      <c r="D330" s="43"/>
      <c r="E330" s="24">
        <f t="shared" si="16"/>
        <v>735</v>
      </c>
    </row>
    <row r="331" spans="1:5" x14ac:dyDescent="0.25">
      <c r="A331" s="82" t="s">
        <v>118</v>
      </c>
      <c r="B331" s="24">
        <v>500</v>
      </c>
      <c r="C331" s="41">
        <f t="shared" si="22"/>
        <v>1.05</v>
      </c>
      <c r="D331" s="43"/>
      <c r="E331" s="24">
        <f t="shared" si="16"/>
        <v>525</v>
      </c>
    </row>
    <row r="332" spans="1:5" x14ac:dyDescent="0.25">
      <c r="A332" s="82" t="s">
        <v>119</v>
      </c>
      <c r="B332" s="24">
        <v>900</v>
      </c>
      <c r="C332" s="41">
        <f t="shared" si="22"/>
        <v>1.05</v>
      </c>
      <c r="D332" s="43"/>
      <c r="E332" s="24">
        <f t="shared" si="16"/>
        <v>945</v>
      </c>
    </row>
    <row r="333" spans="1:5" x14ac:dyDescent="0.25">
      <c r="A333" s="82" t="s">
        <v>120</v>
      </c>
      <c r="B333" s="24">
        <v>1500</v>
      </c>
      <c r="C333" s="41">
        <f t="shared" si="22"/>
        <v>1.05</v>
      </c>
      <c r="D333" s="43"/>
      <c r="E333" s="24">
        <f t="shared" si="16"/>
        <v>1575</v>
      </c>
    </row>
    <row r="334" spans="1:5" x14ac:dyDescent="0.25">
      <c r="A334" s="82" t="s">
        <v>121</v>
      </c>
      <c r="B334" s="24">
        <v>800</v>
      </c>
      <c r="C334" s="41">
        <f t="shared" si="22"/>
        <v>1.05</v>
      </c>
      <c r="D334" s="43"/>
      <c r="E334" s="24">
        <f t="shared" si="16"/>
        <v>840</v>
      </c>
    </row>
    <row r="335" spans="1:5" x14ac:dyDescent="0.25">
      <c r="A335" s="82" t="s">
        <v>122</v>
      </c>
      <c r="B335" s="24">
        <v>260</v>
      </c>
      <c r="C335" s="41">
        <f t="shared" si="22"/>
        <v>1.05</v>
      </c>
      <c r="D335" s="43"/>
      <c r="E335" s="24">
        <f t="shared" si="16"/>
        <v>273</v>
      </c>
    </row>
    <row r="336" spans="1:5" x14ac:dyDescent="0.25">
      <c r="A336" s="82" t="s">
        <v>123</v>
      </c>
      <c r="B336" s="24">
        <v>1800</v>
      </c>
      <c r="C336" s="41">
        <f t="shared" si="22"/>
        <v>1.05</v>
      </c>
      <c r="D336" s="43"/>
      <c r="E336" s="24">
        <f t="shared" si="16"/>
        <v>1890</v>
      </c>
    </row>
    <row r="337" spans="1:5" x14ac:dyDescent="0.25">
      <c r="A337" s="82" t="s">
        <v>124</v>
      </c>
      <c r="B337" s="24">
        <v>330</v>
      </c>
      <c r="C337" s="41">
        <f t="shared" si="22"/>
        <v>1.05</v>
      </c>
      <c r="D337" s="43"/>
      <c r="E337" s="24">
        <f t="shared" si="16"/>
        <v>346.5</v>
      </c>
    </row>
    <row r="338" spans="1:5" x14ac:dyDescent="0.25">
      <c r="A338" s="82" t="s">
        <v>681</v>
      </c>
      <c r="B338" s="24">
        <v>3980</v>
      </c>
      <c r="C338" s="41">
        <f t="shared" si="22"/>
        <v>1.05</v>
      </c>
      <c r="D338" s="43"/>
      <c r="E338" s="24">
        <f t="shared" si="16"/>
        <v>4179</v>
      </c>
    </row>
    <row r="339" spans="1:5" x14ac:dyDescent="0.25">
      <c r="A339" s="82" t="s">
        <v>228</v>
      </c>
      <c r="B339" s="24">
        <v>3100</v>
      </c>
      <c r="C339" s="41">
        <f t="shared" si="22"/>
        <v>1.05</v>
      </c>
      <c r="D339" s="43"/>
      <c r="E339" s="24">
        <f t="shared" si="16"/>
        <v>3255</v>
      </c>
    </row>
    <row r="340" spans="1:5" x14ac:dyDescent="0.25">
      <c r="A340" s="82" t="s">
        <v>132</v>
      </c>
      <c r="B340" s="24">
        <v>1120</v>
      </c>
      <c r="C340" s="41">
        <f t="shared" si="22"/>
        <v>1.05</v>
      </c>
      <c r="D340" s="43"/>
      <c r="E340" s="24">
        <f t="shared" si="16"/>
        <v>1176</v>
      </c>
    </row>
    <row r="341" spans="1:5" x14ac:dyDescent="0.25">
      <c r="A341" s="82" t="s">
        <v>125</v>
      </c>
      <c r="B341" s="24">
        <v>350</v>
      </c>
      <c r="C341" s="41">
        <f t="shared" si="22"/>
        <v>1.05</v>
      </c>
      <c r="D341" s="43"/>
      <c r="E341" s="24">
        <f t="shared" si="16"/>
        <v>367.5</v>
      </c>
    </row>
    <row r="342" spans="1:5" x14ac:dyDescent="0.25">
      <c r="A342" s="82" t="s">
        <v>126</v>
      </c>
      <c r="B342" s="24">
        <v>190</v>
      </c>
      <c r="C342" s="41">
        <f t="shared" si="22"/>
        <v>1.05</v>
      </c>
      <c r="D342" s="43"/>
      <c r="E342" s="24">
        <f t="shared" si="16"/>
        <v>199.5</v>
      </c>
    </row>
    <row r="343" spans="1:5" x14ac:dyDescent="0.25">
      <c r="A343" s="82" t="s">
        <v>127</v>
      </c>
      <c r="B343" s="24">
        <v>1900</v>
      </c>
      <c r="C343" s="41">
        <f t="shared" si="22"/>
        <v>1.05</v>
      </c>
      <c r="D343" s="43"/>
      <c r="E343" s="24">
        <f t="shared" si="16"/>
        <v>1995</v>
      </c>
    </row>
    <row r="344" spans="1:5" x14ac:dyDescent="0.25">
      <c r="A344" s="82" t="s">
        <v>535</v>
      </c>
      <c r="B344" s="24">
        <v>800</v>
      </c>
      <c r="C344" s="41">
        <f t="shared" si="22"/>
        <v>1.05</v>
      </c>
      <c r="D344" s="43"/>
      <c r="E344" s="24">
        <f t="shared" si="16"/>
        <v>840</v>
      </c>
    </row>
    <row r="345" spans="1:5" x14ac:dyDescent="0.25">
      <c r="A345" s="82" t="s">
        <v>536</v>
      </c>
      <c r="B345" s="24">
        <v>2950</v>
      </c>
      <c r="C345" s="41">
        <f t="shared" si="22"/>
        <v>1.05</v>
      </c>
      <c r="D345" s="43"/>
      <c r="E345" s="24">
        <f t="shared" si="16"/>
        <v>3097.5</v>
      </c>
    </row>
    <row r="346" spans="1:5" x14ac:dyDescent="0.25">
      <c r="A346" s="82" t="s">
        <v>128</v>
      </c>
      <c r="B346" s="24">
        <v>980</v>
      </c>
      <c r="C346" s="41">
        <f t="shared" si="22"/>
        <v>1.05</v>
      </c>
      <c r="D346" s="43"/>
      <c r="E346" s="24">
        <f t="shared" ref="E346:E416" si="23">IF(D346=0,B346*C346,B346*D346)</f>
        <v>1029</v>
      </c>
    </row>
    <row r="347" spans="1:5" x14ac:dyDescent="0.25">
      <c r="A347" s="82" t="s">
        <v>129</v>
      </c>
      <c r="B347" s="24">
        <v>1550</v>
      </c>
      <c r="C347" s="41">
        <f t="shared" si="22"/>
        <v>1.05</v>
      </c>
      <c r="D347" s="43"/>
      <c r="E347" s="24">
        <f t="shared" si="23"/>
        <v>1627.5</v>
      </c>
    </row>
    <row r="348" spans="1:5" x14ac:dyDescent="0.25">
      <c r="A348" s="82" t="s">
        <v>130</v>
      </c>
      <c r="B348" s="24">
        <v>1550</v>
      </c>
      <c r="C348" s="41">
        <f t="shared" si="22"/>
        <v>1.05</v>
      </c>
      <c r="D348" s="43"/>
      <c r="E348" s="24">
        <f t="shared" si="23"/>
        <v>1627.5</v>
      </c>
    </row>
    <row r="349" spans="1:5" x14ac:dyDescent="0.25">
      <c r="A349" s="82" t="s">
        <v>131</v>
      </c>
      <c r="B349" s="24">
        <v>400</v>
      </c>
      <c r="C349" s="41">
        <f t="shared" si="22"/>
        <v>1.05</v>
      </c>
      <c r="D349" s="43"/>
      <c r="E349" s="24">
        <f t="shared" si="23"/>
        <v>420</v>
      </c>
    </row>
    <row r="350" spans="1:5" x14ac:dyDescent="0.25">
      <c r="A350" s="82" t="s">
        <v>537</v>
      </c>
      <c r="B350" s="24">
        <v>2800</v>
      </c>
      <c r="C350" s="41">
        <f t="shared" si="22"/>
        <v>1.05</v>
      </c>
      <c r="D350" s="43"/>
      <c r="E350" s="24">
        <f t="shared" si="23"/>
        <v>2940</v>
      </c>
    </row>
    <row r="351" spans="1:5" x14ac:dyDescent="0.25">
      <c r="A351" s="82" t="s">
        <v>445</v>
      </c>
      <c r="B351" s="24">
        <v>385</v>
      </c>
      <c r="C351" s="41">
        <f t="shared" si="22"/>
        <v>1.05</v>
      </c>
      <c r="D351" s="43"/>
      <c r="E351" s="24">
        <f t="shared" si="23"/>
        <v>404.25</v>
      </c>
    </row>
    <row r="352" spans="1:5" x14ac:dyDescent="0.25">
      <c r="A352" s="82" t="s">
        <v>8</v>
      </c>
      <c r="B352" s="24">
        <v>3674.96</v>
      </c>
      <c r="C352" s="41">
        <f t="shared" si="22"/>
        <v>1.05</v>
      </c>
      <c r="D352" s="43"/>
      <c r="E352" s="24">
        <f t="shared" si="23"/>
        <v>3858.7080000000001</v>
      </c>
    </row>
    <row r="353" spans="1:5" x14ac:dyDescent="0.25">
      <c r="A353" s="82" t="s">
        <v>446</v>
      </c>
      <c r="B353" s="24">
        <v>995</v>
      </c>
      <c r="C353" s="41">
        <f t="shared" si="22"/>
        <v>1.05</v>
      </c>
      <c r="D353" s="43"/>
      <c r="E353" s="24">
        <f t="shared" si="23"/>
        <v>1044.75</v>
      </c>
    </row>
    <row r="354" spans="1:5" x14ac:dyDescent="0.25">
      <c r="A354" s="82" t="s">
        <v>447</v>
      </c>
      <c r="B354" s="24">
        <v>1450</v>
      </c>
      <c r="C354" s="41">
        <f t="shared" si="22"/>
        <v>1.05</v>
      </c>
      <c r="D354" s="43"/>
      <c r="E354" s="24">
        <f t="shared" si="23"/>
        <v>1522.5</v>
      </c>
    </row>
    <row r="355" spans="1:5" x14ac:dyDescent="0.25">
      <c r="A355" s="82" t="s">
        <v>448</v>
      </c>
      <c r="B355" s="24">
        <v>1450</v>
      </c>
      <c r="C355" s="41">
        <f t="shared" si="22"/>
        <v>1.05</v>
      </c>
      <c r="D355" s="43"/>
      <c r="E355" s="24">
        <f t="shared" si="23"/>
        <v>1522.5</v>
      </c>
    </row>
    <row r="356" spans="1:5" x14ac:dyDescent="0.25">
      <c r="A356" s="82" t="s">
        <v>538</v>
      </c>
      <c r="B356" s="24">
        <v>550</v>
      </c>
      <c r="C356" s="41">
        <f t="shared" si="22"/>
        <v>1.05</v>
      </c>
      <c r="D356" s="43"/>
      <c r="E356" s="24">
        <f t="shared" si="23"/>
        <v>577.5</v>
      </c>
    </row>
    <row r="357" spans="1:5" x14ac:dyDescent="0.25">
      <c r="A357" s="82" t="s">
        <v>539</v>
      </c>
      <c r="B357" s="24">
        <v>200</v>
      </c>
      <c r="C357" s="41">
        <f t="shared" si="22"/>
        <v>1.05</v>
      </c>
      <c r="D357" s="43"/>
      <c r="E357" s="24">
        <f t="shared" si="23"/>
        <v>210</v>
      </c>
    </row>
    <row r="358" spans="1:5" x14ac:dyDescent="0.25">
      <c r="A358" s="82" t="s">
        <v>279</v>
      </c>
      <c r="B358" s="24">
        <v>425</v>
      </c>
      <c r="C358" s="41">
        <f t="shared" si="22"/>
        <v>1.05</v>
      </c>
      <c r="D358" s="43"/>
      <c r="E358" s="24">
        <f t="shared" si="23"/>
        <v>446.25</v>
      </c>
    </row>
    <row r="359" spans="1:5" x14ac:dyDescent="0.25">
      <c r="A359" s="82" t="s">
        <v>280</v>
      </c>
      <c r="B359" s="24">
        <v>585</v>
      </c>
      <c r="C359" s="41">
        <f t="shared" si="22"/>
        <v>1.05</v>
      </c>
      <c r="D359" s="43"/>
      <c r="E359" s="24">
        <f t="shared" si="23"/>
        <v>614.25</v>
      </c>
    </row>
    <row r="360" spans="1:5" x14ac:dyDescent="0.25">
      <c r="A360" s="82" t="s">
        <v>281</v>
      </c>
      <c r="B360" s="24">
        <v>95</v>
      </c>
      <c r="C360" s="41">
        <f t="shared" si="22"/>
        <v>1.05</v>
      </c>
      <c r="D360" s="43"/>
      <c r="E360" s="24">
        <f t="shared" si="23"/>
        <v>99.75</v>
      </c>
    </row>
    <row r="361" spans="1:5" x14ac:dyDescent="0.25">
      <c r="A361" s="82" t="s">
        <v>282</v>
      </c>
      <c r="B361" s="24">
        <v>575</v>
      </c>
      <c r="C361" s="41">
        <f t="shared" si="22"/>
        <v>1.05</v>
      </c>
      <c r="D361" s="43"/>
      <c r="E361" s="24">
        <f t="shared" si="23"/>
        <v>603.75</v>
      </c>
    </row>
    <row r="362" spans="1:5" x14ac:dyDescent="0.25">
      <c r="A362" s="84" t="s">
        <v>1085</v>
      </c>
      <c r="B362" s="24">
        <v>393</v>
      </c>
      <c r="C362" s="41">
        <f t="shared" si="22"/>
        <v>1.05</v>
      </c>
      <c r="D362" s="43"/>
      <c r="E362" s="24">
        <f t="shared" si="23"/>
        <v>412.65000000000003</v>
      </c>
    </row>
    <row r="363" spans="1:5" x14ac:dyDescent="0.25">
      <c r="A363" s="82" t="s">
        <v>283</v>
      </c>
      <c r="B363" s="24">
        <v>485</v>
      </c>
      <c r="C363" s="41">
        <f t="shared" si="22"/>
        <v>1.05</v>
      </c>
      <c r="D363" s="43"/>
      <c r="E363" s="24">
        <f t="shared" si="23"/>
        <v>509.25</v>
      </c>
    </row>
    <row r="364" spans="1:5" x14ac:dyDescent="0.25">
      <c r="A364" s="82" t="s">
        <v>284</v>
      </c>
      <c r="B364" s="24">
        <v>695</v>
      </c>
      <c r="C364" s="41">
        <f t="shared" si="22"/>
        <v>1.05</v>
      </c>
      <c r="D364" s="43"/>
      <c r="E364" s="24">
        <f t="shared" si="23"/>
        <v>729.75</v>
      </c>
    </row>
    <row r="365" spans="1:5" x14ac:dyDescent="0.25">
      <c r="A365" s="82" t="s">
        <v>285</v>
      </c>
      <c r="B365" s="24">
        <v>855</v>
      </c>
      <c r="C365" s="41">
        <f t="shared" si="22"/>
        <v>1.05</v>
      </c>
      <c r="D365" s="43"/>
      <c r="E365" s="24">
        <f t="shared" si="23"/>
        <v>897.75</v>
      </c>
    </row>
    <row r="366" spans="1:5" x14ac:dyDescent="0.25">
      <c r="A366" s="82" t="s">
        <v>286</v>
      </c>
      <c r="B366" s="24">
        <v>600</v>
      </c>
      <c r="C366" s="41">
        <f t="shared" si="22"/>
        <v>1.05</v>
      </c>
      <c r="D366" s="43"/>
      <c r="E366" s="24">
        <f t="shared" si="23"/>
        <v>630</v>
      </c>
    </row>
    <row r="367" spans="1:5" x14ac:dyDescent="0.25">
      <c r="A367" s="82" t="s">
        <v>287</v>
      </c>
      <c r="B367" s="24">
        <v>900</v>
      </c>
      <c r="C367" s="41">
        <f t="shared" si="22"/>
        <v>1.05</v>
      </c>
      <c r="D367" s="43"/>
      <c r="E367" s="24">
        <f t="shared" si="23"/>
        <v>945</v>
      </c>
    </row>
    <row r="368" spans="1:5" x14ac:dyDescent="0.25">
      <c r="A368" s="82" t="s">
        <v>541</v>
      </c>
      <c r="B368" s="24">
        <v>880</v>
      </c>
      <c r="C368" s="41">
        <f t="shared" si="22"/>
        <v>1.05</v>
      </c>
      <c r="D368" s="43"/>
      <c r="E368" s="24">
        <f t="shared" si="23"/>
        <v>924</v>
      </c>
    </row>
    <row r="369" spans="1:5" x14ac:dyDescent="0.25">
      <c r="A369" s="82" t="s">
        <v>133</v>
      </c>
      <c r="B369" s="24">
        <v>1350</v>
      </c>
      <c r="C369" s="41">
        <f t="shared" si="22"/>
        <v>1.05</v>
      </c>
      <c r="D369" s="43"/>
      <c r="E369" s="24">
        <f t="shared" si="23"/>
        <v>1417.5</v>
      </c>
    </row>
    <row r="370" spans="1:5" x14ac:dyDescent="0.25">
      <c r="A370" s="83" t="s">
        <v>887</v>
      </c>
      <c r="B370" s="24">
        <v>880</v>
      </c>
      <c r="C370" s="41">
        <f t="shared" si="22"/>
        <v>1.05</v>
      </c>
      <c r="D370" s="43"/>
      <c r="E370" s="24">
        <f t="shared" si="23"/>
        <v>924</v>
      </c>
    </row>
    <row r="371" spans="1:5" x14ac:dyDescent="0.25">
      <c r="A371" s="82" t="s">
        <v>178</v>
      </c>
      <c r="B371" s="24">
        <v>750</v>
      </c>
      <c r="C371" s="41">
        <f t="shared" si="22"/>
        <v>1.05</v>
      </c>
      <c r="D371" s="43"/>
      <c r="E371" s="24">
        <f t="shared" si="23"/>
        <v>787.5</v>
      </c>
    </row>
    <row r="372" spans="1:5" x14ac:dyDescent="0.25">
      <c r="A372" s="83" t="s">
        <v>948</v>
      </c>
      <c r="B372" s="24">
        <v>92.3</v>
      </c>
      <c r="C372" s="41">
        <f t="shared" si="22"/>
        <v>1.05</v>
      </c>
      <c r="D372" s="43"/>
      <c r="E372" s="24">
        <f t="shared" si="23"/>
        <v>96.915000000000006</v>
      </c>
    </row>
    <row r="373" spans="1:5" x14ac:dyDescent="0.25">
      <c r="A373" s="83" t="s">
        <v>949</v>
      </c>
      <c r="B373" s="24">
        <v>213</v>
      </c>
      <c r="C373" s="41">
        <f t="shared" si="22"/>
        <v>1.05</v>
      </c>
      <c r="D373" s="43"/>
      <c r="E373" s="24">
        <f t="shared" si="23"/>
        <v>223.65</v>
      </c>
    </row>
    <row r="374" spans="1:5" x14ac:dyDescent="0.25">
      <c r="A374" s="83" t="s">
        <v>950</v>
      </c>
      <c r="B374" s="24">
        <v>106.5</v>
      </c>
      <c r="C374" s="41">
        <f t="shared" si="22"/>
        <v>1.05</v>
      </c>
      <c r="D374" s="43"/>
      <c r="E374" s="24">
        <f t="shared" ref="E374:E375" si="24">IF(D374=0,B374*C374,B374*D374)</f>
        <v>111.825</v>
      </c>
    </row>
    <row r="375" spans="1:5" x14ac:dyDescent="0.25">
      <c r="A375" s="83" t="s">
        <v>951</v>
      </c>
      <c r="B375" s="24">
        <v>255.6</v>
      </c>
      <c r="C375" s="41">
        <f t="shared" si="22"/>
        <v>1.05</v>
      </c>
      <c r="D375" s="43"/>
      <c r="E375" s="24">
        <f t="shared" si="24"/>
        <v>268.38</v>
      </c>
    </row>
    <row r="376" spans="1:5" x14ac:dyDescent="0.25">
      <c r="A376" s="82" t="s">
        <v>683</v>
      </c>
      <c r="B376" s="24">
        <v>147.68</v>
      </c>
      <c r="C376" s="41">
        <f t="shared" si="22"/>
        <v>1.05</v>
      </c>
      <c r="D376" s="43"/>
      <c r="E376" s="24">
        <f t="shared" si="23"/>
        <v>155.06400000000002</v>
      </c>
    </row>
    <row r="377" spans="1:5" x14ac:dyDescent="0.25">
      <c r="A377" s="82" t="s">
        <v>684</v>
      </c>
      <c r="B377" s="24">
        <v>972.69999999999993</v>
      </c>
      <c r="C377" s="41">
        <f t="shared" si="22"/>
        <v>1.05</v>
      </c>
      <c r="D377" s="43"/>
      <c r="E377" s="24">
        <f t="shared" si="23"/>
        <v>1021.3349999999999</v>
      </c>
    </row>
    <row r="378" spans="1:5" x14ac:dyDescent="0.25">
      <c r="A378" s="82" t="s">
        <v>288</v>
      </c>
      <c r="B378" s="24">
        <v>515.45999999999992</v>
      </c>
      <c r="C378" s="41">
        <f t="shared" si="22"/>
        <v>1.05</v>
      </c>
      <c r="D378" s="43"/>
      <c r="E378" s="24">
        <f t="shared" si="23"/>
        <v>541.23299999999995</v>
      </c>
    </row>
    <row r="379" spans="1:5" x14ac:dyDescent="0.25">
      <c r="A379" s="82" t="s">
        <v>142</v>
      </c>
      <c r="B379" s="24">
        <v>809.4</v>
      </c>
      <c r="C379" s="41">
        <f t="shared" si="22"/>
        <v>1.05</v>
      </c>
      <c r="D379" s="43"/>
      <c r="E379" s="24">
        <f t="shared" si="23"/>
        <v>849.87</v>
      </c>
    </row>
    <row r="380" spans="1:5" x14ac:dyDescent="0.25">
      <c r="A380" s="82" t="s">
        <v>685</v>
      </c>
      <c r="B380" s="24">
        <v>809.4</v>
      </c>
      <c r="C380" s="41">
        <f t="shared" si="22"/>
        <v>1.05</v>
      </c>
      <c r="D380" s="43"/>
      <c r="E380" s="24">
        <f t="shared" si="23"/>
        <v>849.87</v>
      </c>
    </row>
    <row r="381" spans="1:5" x14ac:dyDescent="0.25">
      <c r="A381" s="82" t="s">
        <v>289</v>
      </c>
      <c r="B381" s="24">
        <v>550</v>
      </c>
      <c r="C381" s="41">
        <f t="shared" si="22"/>
        <v>1.05</v>
      </c>
      <c r="D381" s="43"/>
      <c r="E381" s="24">
        <f t="shared" si="23"/>
        <v>577.5</v>
      </c>
    </row>
    <row r="382" spans="1:5" x14ac:dyDescent="0.25">
      <c r="A382" s="82" t="s">
        <v>290</v>
      </c>
      <c r="B382" s="24">
        <v>1469.6999999999998</v>
      </c>
      <c r="C382" s="41">
        <f t="shared" si="22"/>
        <v>1.05</v>
      </c>
      <c r="D382" s="43"/>
      <c r="E382" s="24">
        <f t="shared" si="23"/>
        <v>1543.1849999999999</v>
      </c>
    </row>
    <row r="383" spans="1:5" x14ac:dyDescent="0.25">
      <c r="A383" s="82" t="s">
        <v>291</v>
      </c>
      <c r="B383" s="24">
        <v>850</v>
      </c>
      <c r="C383" s="41">
        <f t="shared" si="22"/>
        <v>1.05</v>
      </c>
      <c r="D383" s="43"/>
      <c r="E383" s="24">
        <f t="shared" si="23"/>
        <v>892.5</v>
      </c>
    </row>
    <row r="384" spans="1:5" x14ac:dyDescent="0.25">
      <c r="A384" s="82" t="s">
        <v>292</v>
      </c>
      <c r="B384" s="24">
        <v>950</v>
      </c>
      <c r="C384" s="41">
        <f t="shared" si="22"/>
        <v>1.05</v>
      </c>
      <c r="D384" s="43"/>
      <c r="E384" s="24">
        <f t="shared" si="23"/>
        <v>997.5</v>
      </c>
    </row>
    <row r="385" spans="1:5" x14ac:dyDescent="0.25">
      <c r="A385" s="82" t="s">
        <v>293</v>
      </c>
      <c r="B385" s="24">
        <v>1050</v>
      </c>
      <c r="C385" s="41">
        <f t="shared" si="22"/>
        <v>1.05</v>
      </c>
      <c r="D385" s="43"/>
      <c r="E385" s="24">
        <f t="shared" si="23"/>
        <v>1102.5</v>
      </c>
    </row>
    <row r="386" spans="1:5" x14ac:dyDescent="0.25">
      <c r="A386" s="82" t="s">
        <v>294</v>
      </c>
      <c r="B386" s="24">
        <v>1469.6999999999998</v>
      </c>
      <c r="C386" s="41">
        <f t="shared" si="22"/>
        <v>1.05</v>
      </c>
      <c r="D386" s="43"/>
      <c r="E386" s="24">
        <f t="shared" si="23"/>
        <v>1543.1849999999999</v>
      </c>
    </row>
    <row r="387" spans="1:5" x14ac:dyDescent="0.25">
      <c r="A387" s="82" t="s">
        <v>295</v>
      </c>
      <c r="B387" s="24">
        <v>2205.2599999999998</v>
      </c>
      <c r="C387" s="41">
        <f t="shared" si="22"/>
        <v>1.05</v>
      </c>
      <c r="D387" s="43"/>
      <c r="E387" s="24">
        <f t="shared" si="23"/>
        <v>2315.5229999999997</v>
      </c>
    </row>
    <row r="388" spans="1:5" x14ac:dyDescent="0.25">
      <c r="A388" s="82" t="s">
        <v>268</v>
      </c>
      <c r="B388" s="24">
        <v>2127.16</v>
      </c>
      <c r="C388" s="41">
        <f t="shared" si="22"/>
        <v>1.05</v>
      </c>
      <c r="D388" s="43"/>
      <c r="E388" s="24">
        <f t="shared" si="23"/>
        <v>2233.518</v>
      </c>
    </row>
    <row r="389" spans="1:5" x14ac:dyDescent="0.25">
      <c r="A389" s="83" t="s">
        <v>889</v>
      </c>
      <c r="B389" s="24">
        <v>2134.2599999999998</v>
      </c>
      <c r="C389" s="41">
        <f t="shared" ref="C389:C452" si="25">$D$3</f>
        <v>1.05</v>
      </c>
      <c r="D389" s="43"/>
      <c r="E389" s="24">
        <f t="shared" si="23"/>
        <v>2240.973</v>
      </c>
    </row>
    <row r="390" spans="1:5" x14ac:dyDescent="0.25">
      <c r="A390" s="82" t="s">
        <v>296</v>
      </c>
      <c r="B390" s="24">
        <v>2939.3999999999996</v>
      </c>
      <c r="C390" s="41">
        <f t="shared" si="25"/>
        <v>1.05</v>
      </c>
      <c r="D390" s="43"/>
      <c r="E390" s="24">
        <f t="shared" si="23"/>
        <v>3086.37</v>
      </c>
    </row>
    <row r="391" spans="1:5" x14ac:dyDescent="0.25">
      <c r="A391" s="82" t="s">
        <v>297</v>
      </c>
      <c r="B391" s="24">
        <v>3674.96</v>
      </c>
      <c r="C391" s="41">
        <f t="shared" si="25"/>
        <v>1.05</v>
      </c>
      <c r="D391" s="43"/>
      <c r="E391" s="24">
        <f t="shared" si="23"/>
        <v>3858.7080000000001</v>
      </c>
    </row>
    <row r="392" spans="1:5" x14ac:dyDescent="0.25">
      <c r="A392" s="82" t="s">
        <v>298</v>
      </c>
      <c r="B392" s="24">
        <v>4409.0999999999995</v>
      </c>
      <c r="C392" s="41">
        <f t="shared" si="25"/>
        <v>1.05</v>
      </c>
      <c r="D392" s="43"/>
      <c r="E392" s="24">
        <f t="shared" si="23"/>
        <v>4629.5549999999994</v>
      </c>
    </row>
    <row r="393" spans="1:5" x14ac:dyDescent="0.25">
      <c r="A393" s="82" t="s">
        <v>299</v>
      </c>
      <c r="B393" s="24">
        <v>5144.66</v>
      </c>
      <c r="C393" s="41">
        <f t="shared" si="25"/>
        <v>1.05</v>
      </c>
      <c r="D393" s="43"/>
      <c r="E393" s="24">
        <f t="shared" si="23"/>
        <v>5401.893</v>
      </c>
    </row>
    <row r="394" spans="1:5" x14ac:dyDescent="0.25">
      <c r="A394" s="82" t="s">
        <v>300</v>
      </c>
      <c r="B394" s="24">
        <v>5878.7999999999993</v>
      </c>
      <c r="C394" s="41">
        <f t="shared" si="25"/>
        <v>1.05</v>
      </c>
      <c r="D394" s="43"/>
      <c r="E394" s="24">
        <f t="shared" si="23"/>
        <v>6172.74</v>
      </c>
    </row>
    <row r="395" spans="1:5" x14ac:dyDescent="0.25">
      <c r="A395" s="82" t="s">
        <v>301</v>
      </c>
      <c r="B395" s="24">
        <v>6614.36</v>
      </c>
      <c r="C395" s="41">
        <f t="shared" si="25"/>
        <v>1.05</v>
      </c>
      <c r="D395" s="43"/>
      <c r="E395" s="24">
        <f t="shared" si="23"/>
        <v>6945.0779999999995</v>
      </c>
    </row>
    <row r="396" spans="1:5" x14ac:dyDescent="0.25">
      <c r="A396" s="82" t="s">
        <v>302</v>
      </c>
      <c r="B396" s="24">
        <v>515.45999999999992</v>
      </c>
      <c r="C396" s="41">
        <f t="shared" si="25"/>
        <v>1.05</v>
      </c>
      <c r="D396" s="43"/>
      <c r="E396" s="24">
        <f t="shared" si="23"/>
        <v>541.23299999999995</v>
      </c>
    </row>
    <row r="397" spans="1:5" x14ac:dyDescent="0.25">
      <c r="A397" s="82" t="s">
        <v>141</v>
      </c>
      <c r="B397" s="24">
        <v>1500</v>
      </c>
      <c r="C397" s="41">
        <f t="shared" si="25"/>
        <v>1.05</v>
      </c>
      <c r="D397" s="43"/>
      <c r="E397" s="24">
        <f t="shared" si="23"/>
        <v>1575</v>
      </c>
    </row>
    <row r="398" spans="1:5" x14ac:dyDescent="0.25">
      <c r="A398" s="82" t="s">
        <v>303</v>
      </c>
      <c r="B398" s="24">
        <v>1175.76</v>
      </c>
      <c r="C398" s="41">
        <f t="shared" si="25"/>
        <v>1.05</v>
      </c>
      <c r="D398" s="43"/>
      <c r="E398" s="24">
        <f t="shared" si="23"/>
        <v>1234.548</v>
      </c>
    </row>
    <row r="399" spans="1:5" x14ac:dyDescent="0.25">
      <c r="A399" s="82" t="s">
        <v>304</v>
      </c>
      <c r="B399" s="24">
        <v>1469.6999999999998</v>
      </c>
      <c r="C399" s="41">
        <f t="shared" si="25"/>
        <v>1.05</v>
      </c>
      <c r="D399" s="43"/>
      <c r="E399" s="24">
        <f t="shared" si="23"/>
        <v>1543.1849999999999</v>
      </c>
    </row>
    <row r="400" spans="1:5" x14ac:dyDescent="0.25">
      <c r="A400" s="82" t="s">
        <v>542</v>
      </c>
      <c r="B400" s="24">
        <v>1323.4399999999998</v>
      </c>
      <c r="C400" s="41">
        <f t="shared" si="25"/>
        <v>1.05</v>
      </c>
      <c r="D400" s="43"/>
      <c r="E400" s="24">
        <f t="shared" si="23"/>
        <v>1389.6119999999999</v>
      </c>
    </row>
    <row r="401" spans="1:5" x14ac:dyDescent="0.25">
      <c r="A401" s="82" t="s">
        <v>567</v>
      </c>
      <c r="B401" s="24">
        <v>3567.04</v>
      </c>
      <c r="C401" s="41">
        <f t="shared" si="25"/>
        <v>1.05</v>
      </c>
      <c r="D401" s="43"/>
      <c r="E401" s="24">
        <f t="shared" si="23"/>
        <v>3745.3920000000003</v>
      </c>
    </row>
    <row r="402" spans="1:5" x14ac:dyDescent="0.25">
      <c r="A402" s="82" t="s">
        <v>568</v>
      </c>
      <c r="B402" s="24">
        <v>6414.1399999999994</v>
      </c>
      <c r="C402" s="41">
        <f t="shared" si="25"/>
        <v>1.05</v>
      </c>
      <c r="D402" s="43"/>
      <c r="E402" s="24">
        <f t="shared" si="23"/>
        <v>6734.8469999999998</v>
      </c>
    </row>
    <row r="403" spans="1:5" x14ac:dyDescent="0.25">
      <c r="A403" s="82" t="s">
        <v>569</v>
      </c>
      <c r="B403" s="24">
        <v>8501.5399999999991</v>
      </c>
      <c r="C403" s="41">
        <f t="shared" si="25"/>
        <v>1.05</v>
      </c>
      <c r="D403" s="43"/>
      <c r="E403" s="24">
        <f t="shared" si="23"/>
        <v>8926.6170000000002</v>
      </c>
    </row>
    <row r="404" spans="1:5" x14ac:dyDescent="0.25">
      <c r="A404" s="82" t="s">
        <v>114</v>
      </c>
      <c r="B404" s="24">
        <v>1900</v>
      </c>
      <c r="C404" s="41">
        <f t="shared" si="25"/>
        <v>1.05</v>
      </c>
      <c r="D404" s="43"/>
      <c r="E404" s="24">
        <f t="shared" si="23"/>
        <v>1995</v>
      </c>
    </row>
    <row r="405" spans="1:5" x14ac:dyDescent="0.25">
      <c r="A405" s="83" t="s">
        <v>952</v>
      </c>
      <c r="B405" s="24">
        <v>7000</v>
      </c>
      <c r="C405" s="41">
        <f t="shared" si="25"/>
        <v>1.05</v>
      </c>
      <c r="D405" s="43"/>
      <c r="E405" s="24">
        <f t="shared" ref="E405" si="26">IF(D405=0,B405*C405,B405*D405)</f>
        <v>7350</v>
      </c>
    </row>
    <row r="406" spans="1:5" x14ac:dyDescent="0.25">
      <c r="A406" s="83" t="s">
        <v>1084</v>
      </c>
      <c r="B406" s="24">
        <v>4500</v>
      </c>
      <c r="C406" s="41">
        <f t="shared" si="25"/>
        <v>1.05</v>
      </c>
      <c r="D406" s="43"/>
      <c r="E406" s="24">
        <f t="shared" ref="E406:E407" si="27">IF(D406=0,B406*C406,B406*D406)</f>
        <v>4725</v>
      </c>
    </row>
    <row r="407" spans="1:5" x14ac:dyDescent="0.25">
      <c r="A407" s="83" t="s">
        <v>954</v>
      </c>
      <c r="B407" s="24">
        <v>7810</v>
      </c>
      <c r="C407" s="41">
        <f t="shared" si="25"/>
        <v>1.05</v>
      </c>
      <c r="D407" s="43"/>
      <c r="E407" s="24">
        <f t="shared" si="27"/>
        <v>8200.5</v>
      </c>
    </row>
    <row r="408" spans="1:5" x14ac:dyDescent="0.25">
      <c r="A408" s="83" t="s">
        <v>544</v>
      </c>
      <c r="B408" s="24">
        <v>1143.0999999999999</v>
      </c>
      <c r="C408" s="41">
        <f t="shared" si="25"/>
        <v>1.05</v>
      </c>
      <c r="D408" s="43"/>
      <c r="E408" s="24">
        <f t="shared" si="23"/>
        <v>1200.2549999999999</v>
      </c>
    </row>
    <row r="409" spans="1:5" x14ac:dyDescent="0.25">
      <c r="A409" s="82" t="s">
        <v>136</v>
      </c>
      <c r="B409" s="24">
        <v>328.02</v>
      </c>
      <c r="C409" s="41">
        <f t="shared" si="25"/>
        <v>1.05</v>
      </c>
      <c r="D409" s="43"/>
      <c r="E409" s="24">
        <f t="shared" si="23"/>
        <v>344.42099999999999</v>
      </c>
    </row>
    <row r="410" spans="1:5" x14ac:dyDescent="0.25">
      <c r="A410" s="82" t="s">
        <v>449</v>
      </c>
      <c r="B410" s="24">
        <v>228.61999999999998</v>
      </c>
      <c r="C410" s="41">
        <f t="shared" si="25"/>
        <v>1.05</v>
      </c>
      <c r="D410" s="43"/>
      <c r="E410" s="24">
        <f t="shared" si="23"/>
        <v>240.05099999999999</v>
      </c>
    </row>
    <row r="411" spans="1:5" x14ac:dyDescent="0.25">
      <c r="A411" s="82" t="s">
        <v>450</v>
      </c>
      <c r="B411" s="24">
        <v>310.97999999999996</v>
      </c>
      <c r="C411" s="41">
        <f t="shared" si="25"/>
        <v>1.05</v>
      </c>
      <c r="D411" s="43"/>
      <c r="E411" s="24">
        <f t="shared" si="23"/>
        <v>326.529</v>
      </c>
    </row>
    <row r="412" spans="1:5" x14ac:dyDescent="0.25">
      <c r="A412" s="84" t="s">
        <v>1077</v>
      </c>
      <c r="B412" s="24">
        <v>105</v>
      </c>
      <c r="C412" s="41">
        <f t="shared" si="25"/>
        <v>1.05</v>
      </c>
      <c r="D412" s="43"/>
      <c r="E412" s="24">
        <f t="shared" si="23"/>
        <v>110.25</v>
      </c>
    </row>
    <row r="413" spans="1:5" x14ac:dyDescent="0.25">
      <c r="A413" s="82" t="s">
        <v>688</v>
      </c>
      <c r="B413" s="24">
        <v>1633</v>
      </c>
      <c r="C413" s="41">
        <f t="shared" si="25"/>
        <v>1.05</v>
      </c>
      <c r="D413" s="43"/>
      <c r="E413" s="24">
        <f t="shared" si="23"/>
        <v>1714.65</v>
      </c>
    </row>
    <row r="414" spans="1:5" x14ac:dyDescent="0.25">
      <c r="A414" s="82" t="s">
        <v>452</v>
      </c>
      <c r="B414" s="24">
        <v>2449.5</v>
      </c>
      <c r="C414" s="41">
        <f t="shared" si="25"/>
        <v>1.05</v>
      </c>
      <c r="D414" s="43"/>
      <c r="E414" s="24">
        <f t="shared" si="23"/>
        <v>2571.9749999999999</v>
      </c>
    </row>
    <row r="415" spans="1:5" x14ac:dyDescent="0.25">
      <c r="A415" s="82" t="s">
        <v>453</v>
      </c>
      <c r="B415" s="24">
        <v>816.5</v>
      </c>
      <c r="C415" s="41">
        <f t="shared" si="25"/>
        <v>1.05</v>
      </c>
      <c r="D415" s="43"/>
      <c r="E415" s="24">
        <f t="shared" si="23"/>
        <v>857.32500000000005</v>
      </c>
    </row>
    <row r="416" spans="1:5" x14ac:dyDescent="0.25">
      <c r="A416" s="82" t="s">
        <v>454</v>
      </c>
      <c r="B416" s="24">
        <v>1400</v>
      </c>
      <c r="C416" s="41">
        <f t="shared" si="25"/>
        <v>1.05</v>
      </c>
      <c r="D416" s="43"/>
      <c r="E416" s="24">
        <f t="shared" si="23"/>
        <v>1470</v>
      </c>
    </row>
    <row r="417" spans="1:5" x14ac:dyDescent="0.25">
      <c r="A417" s="82" t="s">
        <v>455</v>
      </c>
      <c r="B417" s="24">
        <v>300</v>
      </c>
      <c r="C417" s="41">
        <f t="shared" si="25"/>
        <v>1.05</v>
      </c>
      <c r="D417" s="43"/>
      <c r="E417" s="24">
        <f t="shared" ref="E417:E482" si="28">IF(D417=0,B417*C417,B417*D417)</f>
        <v>315</v>
      </c>
    </row>
    <row r="418" spans="1:5" x14ac:dyDescent="0.25">
      <c r="A418" s="82" t="s">
        <v>456</v>
      </c>
      <c r="B418" s="24">
        <v>1500</v>
      </c>
      <c r="C418" s="41">
        <f t="shared" si="25"/>
        <v>1.05</v>
      </c>
      <c r="D418" s="43"/>
      <c r="E418" s="24">
        <f t="shared" si="28"/>
        <v>1575</v>
      </c>
    </row>
    <row r="419" spans="1:5" x14ac:dyDescent="0.25">
      <c r="A419" s="82" t="s">
        <v>689</v>
      </c>
      <c r="B419" s="24">
        <v>300</v>
      </c>
      <c r="C419" s="41">
        <f t="shared" si="25"/>
        <v>1.05</v>
      </c>
      <c r="D419" s="43"/>
      <c r="E419" s="24">
        <f t="shared" si="28"/>
        <v>315</v>
      </c>
    </row>
    <row r="420" spans="1:5" x14ac:dyDescent="0.25">
      <c r="A420" s="82" t="s">
        <v>457</v>
      </c>
      <c r="B420" s="24">
        <v>1200</v>
      </c>
      <c r="C420" s="41">
        <f t="shared" si="25"/>
        <v>1.05</v>
      </c>
      <c r="D420" s="43"/>
      <c r="E420" s="24">
        <f t="shared" si="28"/>
        <v>1260</v>
      </c>
    </row>
    <row r="421" spans="1:5" x14ac:dyDescent="0.25">
      <c r="A421" s="82" t="s">
        <v>570</v>
      </c>
      <c r="B421" s="24">
        <v>4500</v>
      </c>
      <c r="C421" s="41">
        <f t="shared" si="25"/>
        <v>1.05</v>
      </c>
      <c r="D421" s="43"/>
      <c r="E421" s="24">
        <f t="shared" si="28"/>
        <v>4725</v>
      </c>
    </row>
    <row r="422" spans="1:5" x14ac:dyDescent="0.25">
      <c r="A422" s="82" t="s">
        <v>547</v>
      </c>
      <c r="B422" s="24">
        <v>5500</v>
      </c>
      <c r="C422" s="41">
        <f t="shared" si="25"/>
        <v>1.05</v>
      </c>
      <c r="D422" s="43"/>
      <c r="E422" s="24">
        <f t="shared" si="28"/>
        <v>5775</v>
      </c>
    </row>
    <row r="423" spans="1:5" x14ac:dyDescent="0.25">
      <c r="A423" s="82" t="s">
        <v>571</v>
      </c>
      <c r="B423" s="24">
        <v>6500</v>
      </c>
      <c r="C423" s="41">
        <f t="shared" si="25"/>
        <v>1.05</v>
      </c>
      <c r="D423" s="43"/>
      <c r="E423" s="24">
        <f t="shared" si="28"/>
        <v>6825</v>
      </c>
    </row>
    <row r="424" spans="1:5" x14ac:dyDescent="0.25">
      <c r="A424" s="82" t="s">
        <v>548</v>
      </c>
      <c r="B424" s="24">
        <v>7500</v>
      </c>
      <c r="C424" s="41">
        <f t="shared" si="25"/>
        <v>1.05</v>
      </c>
      <c r="D424" s="43"/>
      <c r="E424" s="24">
        <f t="shared" si="28"/>
        <v>7875</v>
      </c>
    </row>
    <row r="425" spans="1:5" x14ac:dyDescent="0.25">
      <c r="A425" s="82" t="s">
        <v>229</v>
      </c>
      <c r="B425" s="24">
        <v>3250</v>
      </c>
      <c r="C425" s="41">
        <f t="shared" si="25"/>
        <v>1.05</v>
      </c>
      <c r="D425" s="43"/>
      <c r="E425" s="24">
        <f t="shared" si="28"/>
        <v>3412.5</v>
      </c>
    </row>
    <row r="426" spans="1:5" x14ac:dyDescent="0.25">
      <c r="A426" s="82" t="s">
        <v>458</v>
      </c>
      <c r="B426" s="24">
        <v>8000</v>
      </c>
      <c r="C426" s="41">
        <f t="shared" si="25"/>
        <v>1.05</v>
      </c>
      <c r="D426" s="43"/>
      <c r="E426" s="24">
        <f t="shared" si="28"/>
        <v>8400</v>
      </c>
    </row>
    <row r="427" spans="1:5" x14ac:dyDescent="0.25">
      <c r="A427" s="82" t="s">
        <v>459</v>
      </c>
      <c r="B427" s="24">
        <v>2995</v>
      </c>
      <c r="C427" s="41">
        <f t="shared" si="25"/>
        <v>1.05</v>
      </c>
      <c r="D427" s="43"/>
      <c r="E427" s="24">
        <f t="shared" si="28"/>
        <v>3144.75</v>
      </c>
    </row>
    <row r="428" spans="1:5" x14ac:dyDescent="0.25">
      <c r="A428" s="82" t="s">
        <v>460</v>
      </c>
      <c r="B428" s="24">
        <v>4654.76</v>
      </c>
      <c r="C428" s="41">
        <f t="shared" si="25"/>
        <v>1.05</v>
      </c>
      <c r="D428" s="43"/>
      <c r="E428" s="24">
        <f t="shared" si="28"/>
        <v>4887.4980000000005</v>
      </c>
    </row>
    <row r="429" spans="1:5" x14ac:dyDescent="0.25">
      <c r="A429" s="84" t="s">
        <v>572</v>
      </c>
      <c r="B429" s="24">
        <v>8125</v>
      </c>
      <c r="C429" s="41">
        <f t="shared" si="25"/>
        <v>1.05</v>
      </c>
      <c r="D429" s="43"/>
      <c r="E429" s="24">
        <f t="shared" si="28"/>
        <v>8531.25</v>
      </c>
    </row>
    <row r="430" spans="1:5" x14ac:dyDescent="0.25">
      <c r="A430" s="82" t="s">
        <v>461</v>
      </c>
      <c r="B430" s="24">
        <v>1800</v>
      </c>
      <c r="C430" s="41">
        <f t="shared" si="25"/>
        <v>1.05</v>
      </c>
      <c r="D430" s="43"/>
      <c r="E430" s="24">
        <f t="shared" si="28"/>
        <v>1890</v>
      </c>
    </row>
    <row r="431" spans="1:5" x14ac:dyDescent="0.25">
      <c r="A431" s="82" t="s">
        <v>269</v>
      </c>
      <c r="B431" s="24">
        <v>1900</v>
      </c>
      <c r="C431" s="41">
        <f t="shared" si="25"/>
        <v>1.05</v>
      </c>
      <c r="D431" s="43"/>
      <c r="E431" s="24">
        <f t="shared" si="28"/>
        <v>1995</v>
      </c>
    </row>
    <row r="432" spans="1:5" x14ac:dyDescent="0.25">
      <c r="A432" s="82" t="s">
        <v>694</v>
      </c>
      <c r="B432" s="24">
        <v>2800</v>
      </c>
      <c r="C432" s="41">
        <f t="shared" si="25"/>
        <v>1.05</v>
      </c>
      <c r="D432" s="43"/>
      <c r="E432" s="24">
        <f t="shared" si="28"/>
        <v>2940</v>
      </c>
    </row>
    <row r="433" spans="1:5" x14ac:dyDescent="0.25">
      <c r="A433" s="82" t="s">
        <v>695</v>
      </c>
      <c r="B433" s="24">
        <v>2200</v>
      </c>
      <c r="C433" s="41">
        <f t="shared" si="25"/>
        <v>1.05</v>
      </c>
      <c r="D433" s="43"/>
      <c r="E433" s="24">
        <f t="shared" si="28"/>
        <v>2310</v>
      </c>
    </row>
    <row r="434" spans="1:5" x14ac:dyDescent="0.25">
      <c r="A434" s="82" t="s">
        <v>462</v>
      </c>
      <c r="B434" s="24">
        <v>3100</v>
      </c>
      <c r="C434" s="41">
        <f t="shared" si="25"/>
        <v>1.05</v>
      </c>
      <c r="D434" s="43"/>
      <c r="E434" s="24">
        <f t="shared" si="28"/>
        <v>3255</v>
      </c>
    </row>
    <row r="435" spans="1:5" x14ac:dyDescent="0.25">
      <c r="A435" s="82" t="s">
        <v>696</v>
      </c>
      <c r="B435" s="24">
        <v>9000</v>
      </c>
      <c r="C435" s="41">
        <f t="shared" si="25"/>
        <v>1.05</v>
      </c>
      <c r="D435" s="43"/>
      <c r="E435" s="24">
        <f t="shared" si="28"/>
        <v>9450</v>
      </c>
    </row>
    <row r="436" spans="1:5" x14ac:dyDescent="0.25">
      <c r="A436" s="82" t="s">
        <v>697</v>
      </c>
      <c r="B436" s="24">
        <v>1000</v>
      </c>
      <c r="C436" s="41">
        <f t="shared" si="25"/>
        <v>1.05</v>
      </c>
      <c r="D436" s="43"/>
      <c r="E436" s="24">
        <v>1000</v>
      </c>
    </row>
    <row r="437" spans="1:5" x14ac:dyDescent="0.25">
      <c r="A437" s="83" t="s">
        <v>905</v>
      </c>
      <c r="B437" s="24">
        <v>3850</v>
      </c>
      <c r="C437" s="41">
        <f t="shared" si="25"/>
        <v>1.05</v>
      </c>
      <c r="D437" s="43"/>
      <c r="E437" s="24">
        <f t="shared" si="28"/>
        <v>4042.5</v>
      </c>
    </row>
    <row r="438" spans="1:5" x14ac:dyDescent="0.25">
      <c r="A438" s="82" t="s">
        <v>139</v>
      </c>
      <c r="B438" s="24">
        <v>1950</v>
      </c>
      <c r="C438" s="41">
        <f t="shared" si="25"/>
        <v>1.05</v>
      </c>
      <c r="D438" s="43"/>
      <c r="E438" s="24">
        <f t="shared" si="28"/>
        <v>2047.5</v>
      </c>
    </row>
    <row r="439" spans="1:5" x14ac:dyDescent="0.25">
      <c r="A439" s="82" t="s">
        <v>463</v>
      </c>
      <c r="B439" s="229">
        <v>750</v>
      </c>
      <c r="C439" s="41">
        <f t="shared" si="25"/>
        <v>1.05</v>
      </c>
      <c r="D439" s="43"/>
      <c r="E439" s="24">
        <f t="shared" si="28"/>
        <v>787.5</v>
      </c>
    </row>
    <row r="440" spans="1:5" x14ac:dyDescent="0.25">
      <c r="A440" s="83" t="s">
        <v>464</v>
      </c>
      <c r="B440" s="24">
        <v>1000</v>
      </c>
      <c r="C440" s="41">
        <f t="shared" si="25"/>
        <v>1.05</v>
      </c>
      <c r="D440" s="43"/>
      <c r="E440" s="24">
        <f t="shared" si="28"/>
        <v>1050</v>
      </c>
    </row>
    <row r="441" spans="1:5" x14ac:dyDescent="0.25">
      <c r="A441" s="83" t="s">
        <v>906</v>
      </c>
      <c r="B441" s="24">
        <v>2750</v>
      </c>
      <c r="C441" s="41">
        <f t="shared" si="25"/>
        <v>1.05</v>
      </c>
      <c r="D441" s="43"/>
      <c r="E441" s="24">
        <f t="shared" si="28"/>
        <v>2887.5</v>
      </c>
    </row>
    <row r="442" spans="1:5" x14ac:dyDescent="0.25">
      <c r="A442" s="82" t="s">
        <v>465</v>
      </c>
      <c r="B442" s="24">
        <v>350</v>
      </c>
      <c r="C442" s="41">
        <f t="shared" si="25"/>
        <v>1.05</v>
      </c>
      <c r="D442" s="43"/>
      <c r="E442" s="24">
        <f t="shared" si="28"/>
        <v>367.5</v>
      </c>
    </row>
    <row r="443" spans="1:5" x14ac:dyDescent="0.25">
      <c r="A443" s="82" t="s">
        <v>466</v>
      </c>
      <c r="B443" s="24">
        <v>595</v>
      </c>
      <c r="C443" s="41">
        <f t="shared" si="25"/>
        <v>1.05</v>
      </c>
      <c r="D443" s="43"/>
      <c r="E443" s="24">
        <f t="shared" si="28"/>
        <v>624.75</v>
      </c>
    </row>
    <row r="444" spans="1:5" x14ac:dyDescent="0.25">
      <c r="A444" s="82" t="s">
        <v>467</v>
      </c>
      <c r="B444" s="24">
        <v>695</v>
      </c>
      <c r="C444" s="41">
        <f t="shared" si="25"/>
        <v>1.05</v>
      </c>
      <c r="D444" s="43"/>
      <c r="E444" s="24">
        <f t="shared" si="28"/>
        <v>729.75</v>
      </c>
    </row>
    <row r="445" spans="1:5" x14ac:dyDescent="0.25">
      <c r="A445" s="82" t="s">
        <v>176</v>
      </c>
      <c r="B445" s="24">
        <v>90</v>
      </c>
      <c r="C445" s="41">
        <f t="shared" si="25"/>
        <v>1.05</v>
      </c>
      <c r="D445" s="43"/>
      <c r="E445" s="24">
        <f t="shared" si="28"/>
        <v>94.5</v>
      </c>
    </row>
    <row r="446" spans="1:5" x14ac:dyDescent="0.25">
      <c r="A446" s="82" t="s">
        <v>698</v>
      </c>
      <c r="B446" s="24">
        <v>2130</v>
      </c>
      <c r="C446" s="41">
        <f t="shared" si="25"/>
        <v>1.05</v>
      </c>
      <c r="D446" s="43"/>
      <c r="E446" s="24">
        <f t="shared" si="28"/>
        <v>2236.5</v>
      </c>
    </row>
    <row r="447" spans="1:5" x14ac:dyDescent="0.25">
      <c r="A447" s="82" t="s">
        <v>468</v>
      </c>
      <c r="B447" s="24">
        <v>1150</v>
      </c>
      <c r="C447" s="41">
        <f t="shared" si="25"/>
        <v>1.05</v>
      </c>
      <c r="D447" s="43"/>
      <c r="E447" s="24">
        <f t="shared" si="28"/>
        <v>1207.5</v>
      </c>
    </row>
    <row r="448" spans="1:5" x14ac:dyDescent="0.25">
      <c r="A448" s="82" t="s">
        <v>469</v>
      </c>
      <c r="B448" s="24">
        <v>1150</v>
      </c>
      <c r="C448" s="41">
        <f t="shared" si="25"/>
        <v>1.05</v>
      </c>
      <c r="D448" s="43"/>
      <c r="E448" s="24">
        <f t="shared" si="28"/>
        <v>1207.5</v>
      </c>
    </row>
    <row r="449" spans="1:5" x14ac:dyDescent="0.25">
      <c r="A449" s="82" t="s">
        <v>699</v>
      </c>
      <c r="B449" s="24">
        <v>3700</v>
      </c>
      <c r="C449" s="41">
        <f t="shared" si="25"/>
        <v>1.05</v>
      </c>
      <c r="D449" s="43"/>
      <c r="E449" s="24">
        <f t="shared" si="28"/>
        <v>3885</v>
      </c>
    </row>
    <row r="450" spans="1:5" x14ac:dyDescent="0.25">
      <c r="A450" s="82" t="s">
        <v>700</v>
      </c>
      <c r="B450" s="24">
        <v>1750</v>
      </c>
      <c r="C450" s="41">
        <f t="shared" si="25"/>
        <v>1.05</v>
      </c>
      <c r="D450" s="43"/>
      <c r="E450" s="24">
        <f t="shared" si="28"/>
        <v>1837.5</v>
      </c>
    </row>
    <row r="451" spans="1:5" x14ac:dyDescent="0.25">
      <c r="A451" s="82" t="s">
        <v>470</v>
      </c>
      <c r="B451" s="24">
        <v>1150</v>
      </c>
      <c r="C451" s="41">
        <f t="shared" si="25"/>
        <v>1.05</v>
      </c>
      <c r="D451" s="43"/>
      <c r="E451" s="24">
        <f t="shared" si="28"/>
        <v>1207.5</v>
      </c>
    </row>
    <row r="452" spans="1:5" x14ac:dyDescent="0.25">
      <c r="A452" s="82" t="s">
        <v>140</v>
      </c>
      <c r="B452" s="24">
        <v>1800</v>
      </c>
      <c r="C452" s="41">
        <f t="shared" si="25"/>
        <v>1.05</v>
      </c>
      <c r="D452" s="43"/>
      <c r="E452" s="24">
        <f t="shared" si="28"/>
        <v>1890</v>
      </c>
    </row>
    <row r="453" spans="1:5" x14ac:dyDescent="0.25">
      <c r="A453" s="82" t="s">
        <v>471</v>
      </c>
      <c r="B453" s="24">
        <v>1200</v>
      </c>
      <c r="C453" s="41">
        <f t="shared" ref="C453:C516" si="29">$D$3</f>
        <v>1.05</v>
      </c>
      <c r="D453" s="43"/>
      <c r="E453" s="24">
        <f t="shared" si="28"/>
        <v>1260</v>
      </c>
    </row>
    <row r="454" spans="1:5" x14ac:dyDescent="0.25">
      <c r="A454" s="82" t="s">
        <v>549</v>
      </c>
      <c r="B454" s="24">
        <v>2950</v>
      </c>
      <c r="C454" s="41">
        <f t="shared" si="29"/>
        <v>1.05</v>
      </c>
      <c r="D454" s="43"/>
      <c r="E454" s="24">
        <f t="shared" si="28"/>
        <v>3097.5</v>
      </c>
    </row>
    <row r="455" spans="1:5" x14ac:dyDescent="0.25">
      <c r="A455" s="82" t="s">
        <v>472</v>
      </c>
      <c r="B455" s="24">
        <v>1800</v>
      </c>
      <c r="C455" s="41">
        <f t="shared" si="29"/>
        <v>1.05</v>
      </c>
      <c r="D455" s="43"/>
      <c r="E455" s="24">
        <f t="shared" si="28"/>
        <v>1890</v>
      </c>
    </row>
    <row r="456" spans="1:5" x14ac:dyDescent="0.25">
      <c r="A456" s="82" t="s">
        <v>134</v>
      </c>
      <c r="B456" s="24">
        <v>1980</v>
      </c>
      <c r="C456" s="41">
        <f t="shared" si="29"/>
        <v>1.05</v>
      </c>
      <c r="D456" s="43"/>
      <c r="E456" s="24">
        <f t="shared" si="28"/>
        <v>2079</v>
      </c>
    </row>
    <row r="457" spans="1:5" x14ac:dyDescent="0.25">
      <c r="A457" s="82" t="s">
        <v>550</v>
      </c>
      <c r="B457" s="24">
        <v>1250</v>
      </c>
      <c r="C457" s="41">
        <f t="shared" si="29"/>
        <v>1.05</v>
      </c>
      <c r="D457" s="43"/>
      <c r="E457" s="24">
        <f t="shared" si="28"/>
        <v>1312.5</v>
      </c>
    </row>
    <row r="458" spans="1:5" x14ac:dyDescent="0.25">
      <c r="A458" s="82" t="s">
        <v>551</v>
      </c>
      <c r="B458" s="24">
        <v>2250</v>
      </c>
      <c r="C458" s="41">
        <f t="shared" si="29"/>
        <v>1.05</v>
      </c>
      <c r="D458" s="43"/>
      <c r="E458" s="24">
        <f t="shared" si="28"/>
        <v>2362.5</v>
      </c>
    </row>
    <row r="459" spans="1:5" x14ac:dyDescent="0.25">
      <c r="A459" s="82" t="s">
        <v>135</v>
      </c>
      <c r="B459" s="24">
        <v>2350</v>
      </c>
      <c r="C459" s="41">
        <f t="shared" si="29"/>
        <v>1.05</v>
      </c>
      <c r="D459" s="43"/>
      <c r="E459" s="24">
        <f t="shared" si="28"/>
        <v>2467.5</v>
      </c>
    </row>
    <row r="460" spans="1:5" x14ac:dyDescent="0.25">
      <c r="A460" s="82" t="s">
        <v>552</v>
      </c>
      <c r="B460" s="24">
        <v>1400</v>
      </c>
      <c r="C460" s="41">
        <f t="shared" si="29"/>
        <v>1.05</v>
      </c>
      <c r="D460" s="43"/>
      <c r="E460" s="24">
        <f t="shared" si="28"/>
        <v>1470</v>
      </c>
    </row>
    <row r="461" spans="1:5" x14ac:dyDescent="0.25">
      <c r="A461" s="82" t="s">
        <v>553</v>
      </c>
      <c r="B461" s="24">
        <v>2795</v>
      </c>
      <c r="C461" s="41">
        <f t="shared" si="29"/>
        <v>1.05</v>
      </c>
      <c r="D461" s="43"/>
      <c r="E461" s="24">
        <f t="shared" si="28"/>
        <v>2934.75</v>
      </c>
    </row>
    <row r="462" spans="1:5" x14ac:dyDescent="0.25">
      <c r="A462" s="82" t="s">
        <v>554</v>
      </c>
      <c r="B462" s="24">
        <v>6800</v>
      </c>
      <c r="C462" s="41">
        <f t="shared" si="29"/>
        <v>1.05</v>
      </c>
      <c r="D462" s="43"/>
      <c r="E462" s="24">
        <f t="shared" si="28"/>
        <v>7140</v>
      </c>
    </row>
    <row r="463" spans="1:5" x14ac:dyDescent="0.25">
      <c r="A463" s="82" t="s">
        <v>167</v>
      </c>
      <c r="B463" s="24">
        <v>3100</v>
      </c>
      <c r="C463" s="41">
        <f t="shared" si="29"/>
        <v>1.05</v>
      </c>
      <c r="D463" s="43"/>
      <c r="E463" s="24">
        <f t="shared" si="28"/>
        <v>3255</v>
      </c>
    </row>
    <row r="464" spans="1:5" x14ac:dyDescent="0.25">
      <c r="A464" s="82" t="s">
        <v>473</v>
      </c>
      <c r="B464" s="24">
        <v>450</v>
      </c>
      <c r="C464" s="41">
        <f t="shared" si="29"/>
        <v>1.05</v>
      </c>
      <c r="D464" s="43"/>
      <c r="E464" s="24">
        <f t="shared" si="28"/>
        <v>472.5</v>
      </c>
    </row>
    <row r="465" spans="1:5" x14ac:dyDescent="0.25">
      <c r="A465" s="82" t="s">
        <v>555</v>
      </c>
      <c r="B465" s="24">
        <v>155</v>
      </c>
      <c r="C465" s="41">
        <f t="shared" si="29"/>
        <v>1.05</v>
      </c>
      <c r="D465" s="43"/>
      <c r="E465" s="24">
        <f t="shared" si="28"/>
        <v>162.75</v>
      </c>
    </row>
    <row r="466" spans="1:5" x14ac:dyDescent="0.25">
      <c r="A466" s="82" t="s">
        <v>556</v>
      </c>
      <c r="B466" s="24">
        <v>155</v>
      </c>
      <c r="C466" s="41">
        <f t="shared" si="29"/>
        <v>1.05</v>
      </c>
      <c r="D466" s="43"/>
      <c r="E466" s="24">
        <f t="shared" si="28"/>
        <v>162.75</v>
      </c>
    </row>
    <row r="467" spans="1:5" x14ac:dyDescent="0.25">
      <c r="A467" s="82" t="s">
        <v>557</v>
      </c>
      <c r="B467" s="24">
        <v>155</v>
      </c>
      <c r="C467" s="41">
        <f t="shared" si="29"/>
        <v>1.05</v>
      </c>
      <c r="D467" s="43"/>
      <c r="E467" s="24">
        <f t="shared" si="28"/>
        <v>162.75</v>
      </c>
    </row>
    <row r="468" spans="1:5" x14ac:dyDescent="0.25">
      <c r="A468" s="82" t="s">
        <v>701</v>
      </c>
      <c r="B468" s="24">
        <v>155</v>
      </c>
      <c r="C468" s="41">
        <f t="shared" si="29"/>
        <v>1.05</v>
      </c>
      <c r="D468" s="43"/>
      <c r="E468" s="24">
        <f t="shared" si="28"/>
        <v>162.75</v>
      </c>
    </row>
    <row r="469" spans="1:5" x14ac:dyDescent="0.25">
      <c r="A469" s="82" t="s">
        <v>558</v>
      </c>
      <c r="B469" s="24">
        <v>155</v>
      </c>
      <c r="C469" s="41">
        <f t="shared" si="29"/>
        <v>1.05</v>
      </c>
      <c r="D469" s="43"/>
      <c r="E469" s="24">
        <f t="shared" si="28"/>
        <v>162.75</v>
      </c>
    </row>
    <row r="470" spans="1:5" x14ac:dyDescent="0.25">
      <c r="A470" s="82" t="s">
        <v>559</v>
      </c>
      <c r="B470" s="24">
        <v>2155</v>
      </c>
      <c r="C470" s="41">
        <f t="shared" si="29"/>
        <v>1.05</v>
      </c>
      <c r="D470" s="43"/>
      <c r="E470" s="24">
        <f t="shared" si="28"/>
        <v>2262.75</v>
      </c>
    </row>
    <row r="471" spans="1:5" x14ac:dyDescent="0.25">
      <c r="A471" s="82" t="s">
        <v>560</v>
      </c>
      <c r="B471" s="24">
        <v>1455</v>
      </c>
      <c r="C471" s="41">
        <f t="shared" si="29"/>
        <v>1.05</v>
      </c>
      <c r="D471" s="43"/>
      <c r="E471" s="24">
        <f t="shared" si="28"/>
        <v>1527.75</v>
      </c>
    </row>
    <row r="472" spans="1:5" x14ac:dyDescent="0.25">
      <c r="A472" s="82" t="s">
        <v>561</v>
      </c>
      <c r="B472" s="24">
        <v>855</v>
      </c>
      <c r="C472" s="41">
        <f t="shared" si="29"/>
        <v>1.05</v>
      </c>
      <c r="D472" s="43"/>
      <c r="E472" s="24">
        <f t="shared" si="28"/>
        <v>897.75</v>
      </c>
    </row>
    <row r="473" spans="1:5" x14ac:dyDescent="0.25">
      <c r="A473" s="82" t="s">
        <v>474</v>
      </c>
      <c r="B473" s="24">
        <v>655</v>
      </c>
      <c r="C473" s="41">
        <f t="shared" si="29"/>
        <v>1.05</v>
      </c>
      <c r="D473" s="43"/>
      <c r="E473" s="24">
        <f t="shared" si="28"/>
        <v>687.75</v>
      </c>
    </row>
    <row r="474" spans="1:5" x14ac:dyDescent="0.25">
      <c r="A474" s="82" t="s">
        <v>562</v>
      </c>
      <c r="B474" s="24">
        <v>2900</v>
      </c>
      <c r="C474" s="41">
        <f t="shared" si="29"/>
        <v>1.05</v>
      </c>
      <c r="D474" s="43"/>
      <c r="E474" s="24">
        <f t="shared" si="28"/>
        <v>3045</v>
      </c>
    </row>
    <row r="475" spans="1:5" x14ac:dyDescent="0.25">
      <c r="A475" s="82" t="s">
        <v>563</v>
      </c>
      <c r="B475" s="24">
        <v>1350</v>
      </c>
      <c r="C475" s="41">
        <f t="shared" si="29"/>
        <v>1.05</v>
      </c>
      <c r="D475" s="43"/>
      <c r="E475" s="24">
        <f t="shared" si="28"/>
        <v>1417.5</v>
      </c>
    </row>
    <row r="476" spans="1:5" x14ac:dyDescent="0.25">
      <c r="A476" s="82" t="s">
        <v>702</v>
      </c>
      <c r="B476" s="24">
        <v>2840</v>
      </c>
      <c r="C476" s="41">
        <f t="shared" si="29"/>
        <v>1.05</v>
      </c>
      <c r="D476" s="43"/>
      <c r="E476" s="24">
        <f t="shared" si="28"/>
        <v>2982</v>
      </c>
    </row>
    <row r="477" spans="1:5" x14ac:dyDescent="0.25">
      <c r="A477" s="82" t="s">
        <v>703</v>
      </c>
      <c r="B477" s="24">
        <v>710</v>
      </c>
      <c r="C477" s="41">
        <f t="shared" si="29"/>
        <v>1.05</v>
      </c>
      <c r="D477" s="43"/>
      <c r="E477" s="24">
        <f t="shared" si="28"/>
        <v>745.5</v>
      </c>
    </row>
    <row r="478" spans="1:5" x14ac:dyDescent="0.25">
      <c r="A478" s="50" t="s">
        <v>573</v>
      </c>
      <c r="B478" s="46">
        <v>6390</v>
      </c>
      <c r="C478" s="41">
        <f t="shared" si="29"/>
        <v>1.05</v>
      </c>
      <c r="D478" s="43"/>
      <c r="E478" s="24">
        <f t="shared" si="28"/>
        <v>6709.5</v>
      </c>
    </row>
    <row r="479" spans="1:5" x14ac:dyDescent="0.25">
      <c r="A479" s="50" t="s">
        <v>574</v>
      </c>
      <c r="B479" s="46">
        <v>7810</v>
      </c>
      <c r="C479" s="41">
        <f t="shared" si="29"/>
        <v>1.05</v>
      </c>
      <c r="D479" s="43"/>
      <c r="E479" s="24">
        <f t="shared" si="28"/>
        <v>8200.5</v>
      </c>
    </row>
    <row r="480" spans="1:5" x14ac:dyDescent="0.25">
      <c r="A480" s="50" t="s">
        <v>718</v>
      </c>
      <c r="B480" s="46">
        <v>8520</v>
      </c>
      <c r="C480" s="41">
        <f t="shared" si="29"/>
        <v>1.05</v>
      </c>
      <c r="D480" s="43"/>
      <c r="E480" s="24">
        <f t="shared" si="28"/>
        <v>8946</v>
      </c>
    </row>
    <row r="481" spans="1:5" x14ac:dyDescent="0.25">
      <c r="A481" s="50" t="s">
        <v>719</v>
      </c>
      <c r="B481" s="46">
        <v>6390</v>
      </c>
      <c r="C481" s="41">
        <f t="shared" si="29"/>
        <v>1.05</v>
      </c>
      <c r="D481" s="43"/>
      <c r="E481" s="24">
        <f t="shared" si="28"/>
        <v>6709.5</v>
      </c>
    </row>
    <row r="482" spans="1:5" x14ac:dyDescent="0.25">
      <c r="A482" s="50" t="s">
        <v>720</v>
      </c>
      <c r="B482" s="46">
        <v>7810</v>
      </c>
      <c r="C482" s="41">
        <f t="shared" si="29"/>
        <v>1.05</v>
      </c>
      <c r="D482" s="43"/>
      <c r="E482" s="24">
        <f t="shared" si="28"/>
        <v>8200.5</v>
      </c>
    </row>
    <row r="483" spans="1:5" x14ac:dyDescent="0.25">
      <c r="A483" s="50" t="s">
        <v>58</v>
      </c>
      <c r="B483" s="46">
        <v>6390</v>
      </c>
      <c r="C483" s="41">
        <f t="shared" si="29"/>
        <v>1.05</v>
      </c>
      <c r="D483" s="43"/>
      <c r="E483" s="24">
        <f t="shared" ref="E483:E532" si="30">IF(D483=0,B483*C483,B483*D483)</f>
        <v>6709.5</v>
      </c>
    </row>
    <row r="484" spans="1:5" x14ac:dyDescent="0.25">
      <c r="A484" s="50" t="s">
        <v>10</v>
      </c>
      <c r="B484" s="46">
        <v>9940</v>
      </c>
      <c r="C484" s="41">
        <f t="shared" si="29"/>
        <v>1.05</v>
      </c>
      <c r="D484" s="43"/>
      <c r="E484" s="24">
        <f t="shared" si="30"/>
        <v>10437</v>
      </c>
    </row>
    <row r="485" spans="1:5" x14ac:dyDescent="0.25">
      <c r="A485" s="50" t="s">
        <v>11</v>
      </c>
      <c r="B485" s="46">
        <v>11360</v>
      </c>
      <c r="C485" s="41">
        <f t="shared" si="29"/>
        <v>1.05</v>
      </c>
      <c r="D485" s="43"/>
      <c r="E485" s="24">
        <f t="shared" si="30"/>
        <v>11928</v>
      </c>
    </row>
    <row r="486" spans="1:5" x14ac:dyDescent="0.25">
      <c r="A486" s="50" t="s">
        <v>163</v>
      </c>
      <c r="B486" s="24">
        <v>284</v>
      </c>
      <c r="C486" s="41">
        <f t="shared" si="29"/>
        <v>1.05</v>
      </c>
      <c r="D486" s="43"/>
      <c r="E486" s="24">
        <f t="shared" si="30"/>
        <v>298.2</v>
      </c>
    </row>
    <row r="487" spans="1:5" x14ac:dyDescent="0.25">
      <c r="A487" s="50" t="s">
        <v>575</v>
      </c>
      <c r="B487" s="24">
        <v>355</v>
      </c>
      <c r="C487" s="41">
        <f t="shared" si="29"/>
        <v>1.05</v>
      </c>
      <c r="D487" s="43"/>
      <c r="E487" s="24">
        <f t="shared" si="30"/>
        <v>372.75</v>
      </c>
    </row>
    <row r="488" spans="1:5" x14ac:dyDescent="0.25">
      <c r="A488" s="50" t="s">
        <v>13</v>
      </c>
      <c r="B488" s="24">
        <v>923</v>
      </c>
      <c r="C488" s="41">
        <f t="shared" si="29"/>
        <v>1.05</v>
      </c>
      <c r="D488" s="43"/>
      <c r="E488" s="24">
        <f t="shared" si="30"/>
        <v>969.15000000000009</v>
      </c>
    </row>
    <row r="489" spans="1:5" x14ac:dyDescent="0.25">
      <c r="A489" s="50" t="s">
        <v>55</v>
      </c>
      <c r="B489" s="24">
        <v>142</v>
      </c>
      <c r="C489" s="41">
        <f t="shared" si="29"/>
        <v>1.05</v>
      </c>
      <c r="D489" s="43"/>
      <c r="E489" s="24">
        <f t="shared" si="30"/>
        <v>149.1</v>
      </c>
    </row>
    <row r="490" spans="1:5" x14ac:dyDescent="0.25">
      <c r="A490" s="50" t="s">
        <v>14</v>
      </c>
      <c r="B490" s="24">
        <v>284</v>
      </c>
      <c r="C490" s="41">
        <f t="shared" si="29"/>
        <v>1.05</v>
      </c>
      <c r="D490" s="43"/>
      <c r="E490" s="24">
        <f t="shared" si="30"/>
        <v>298.2</v>
      </c>
    </row>
    <row r="491" spans="1:5" x14ac:dyDescent="0.25">
      <c r="A491" s="50" t="s">
        <v>15</v>
      </c>
      <c r="B491" s="24">
        <v>355</v>
      </c>
      <c r="C491" s="41">
        <f t="shared" si="29"/>
        <v>1.05</v>
      </c>
      <c r="D491" s="43"/>
      <c r="E491" s="24">
        <f t="shared" si="30"/>
        <v>372.75</v>
      </c>
    </row>
    <row r="492" spans="1:5" x14ac:dyDescent="0.25">
      <c r="A492" s="50" t="s">
        <v>576</v>
      </c>
      <c r="B492" s="24">
        <v>3124</v>
      </c>
      <c r="C492" s="41">
        <f t="shared" si="29"/>
        <v>1.05</v>
      </c>
      <c r="D492" s="43"/>
      <c r="E492" s="24">
        <f t="shared" si="30"/>
        <v>3280.2000000000003</v>
      </c>
    </row>
    <row r="493" spans="1:5" x14ac:dyDescent="0.25">
      <c r="A493" s="50" t="s">
        <v>577</v>
      </c>
      <c r="B493" s="24">
        <v>3692</v>
      </c>
      <c r="C493" s="41">
        <f t="shared" si="29"/>
        <v>1.05</v>
      </c>
      <c r="D493" s="43"/>
      <c r="E493" s="24">
        <f t="shared" si="30"/>
        <v>3876.6000000000004</v>
      </c>
    </row>
    <row r="494" spans="1:5" x14ac:dyDescent="0.25">
      <c r="A494" s="50" t="s">
        <v>578</v>
      </c>
      <c r="B494" s="24">
        <v>2698</v>
      </c>
      <c r="C494" s="41">
        <f t="shared" si="29"/>
        <v>1.05</v>
      </c>
      <c r="D494" s="43"/>
      <c r="E494" s="24">
        <f t="shared" si="30"/>
        <v>2832.9</v>
      </c>
    </row>
    <row r="495" spans="1:5" x14ac:dyDescent="0.25">
      <c r="A495" s="50" t="s">
        <v>579</v>
      </c>
      <c r="B495" s="24">
        <v>3266</v>
      </c>
      <c r="C495" s="41">
        <f t="shared" si="29"/>
        <v>1.05</v>
      </c>
      <c r="D495" s="43"/>
      <c r="E495" s="24">
        <f t="shared" si="30"/>
        <v>3429.3</v>
      </c>
    </row>
    <row r="496" spans="1:5" x14ac:dyDescent="0.25">
      <c r="A496" s="50" t="s">
        <v>20</v>
      </c>
      <c r="B496" s="24">
        <v>1136</v>
      </c>
      <c r="C496" s="41">
        <f t="shared" si="29"/>
        <v>1.05</v>
      </c>
      <c r="D496" s="43"/>
      <c r="E496" s="24">
        <f t="shared" si="30"/>
        <v>1192.8</v>
      </c>
    </row>
    <row r="497" spans="1:5" x14ac:dyDescent="0.25">
      <c r="A497" s="50" t="s">
        <v>21</v>
      </c>
      <c r="B497" s="24">
        <v>1136</v>
      </c>
      <c r="C497" s="41">
        <f t="shared" si="29"/>
        <v>1.05</v>
      </c>
      <c r="D497" s="43"/>
      <c r="E497" s="24">
        <f t="shared" si="30"/>
        <v>1192.8</v>
      </c>
    </row>
    <row r="498" spans="1:5" x14ac:dyDescent="0.25">
      <c r="A498" s="50" t="s">
        <v>22</v>
      </c>
      <c r="B498" s="24">
        <v>142</v>
      </c>
      <c r="C498" s="41">
        <f t="shared" si="29"/>
        <v>1.05</v>
      </c>
      <c r="D498" s="43"/>
      <c r="E498" s="24">
        <f t="shared" si="30"/>
        <v>149.1</v>
      </c>
    </row>
    <row r="499" spans="1:5" x14ac:dyDescent="0.25">
      <c r="A499" s="50" t="s">
        <v>23</v>
      </c>
      <c r="B499" s="24">
        <v>497</v>
      </c>
      <c r="C499" s="41">
        <f t="shared" si="29"/>
        <v>1.05</v>
      </c>
      <c r="D499" s="43"/>
      <c r="E499" s="24">
        <f t="shared" si="30"/>
        <v>521.85</v>
      </c>
    </row>
    <row r="500" spans="1:5" x14ac:dyDescent="0.25">
      <c r="A500" s="50" t="s">
        <v>721</v>
      </c>
      <c r="B500" s="24">
        <v>852</v>
      </c>
      <c r="C500" s="41">
        <f t="shared" si="29"/>
        <v>1.05</v>
      </c>
      <c r="D500" s="43"/>
      <c r="E500" s="24">
        <f t="shared" si="30"/>
        <v>894.6</v>
      </c>
    </row>
    <row r="501" spans="1:5" x14ac:dyDescent="0.25">
      <c r="A501" s="50" t="s">
        <v>24</v>
      </c>
      <c r="B501" s="24">
        <v>1022.4</v>
      </c>
      <c r="C501" s="41">
        <f t="shared" si="29"/>
        <v>1.05</v>
      </c>
      <c r="D501" s="43"/>
      <c r="E501" s="24">
        <f t="shared" si="30"/>
        <v>1073.52</v>
      </c>
    </row>
    <row r="502" spans="1:5" x14ac:dyDescent="0.25">
      <c r="A502" s="50" t="s">
        <v>25</v>
      </c>
      <c r="B502" s="24">
        <v>213</v>
      </c>
      <c r="C502" s="41">
        <f t="shared" si="29"/>
        <v>1.05</v>
      </c>
      <c r="D502" s="43"/>
      <c r="E502" s="24">
        <f t="shared" si="30"/>
        <v>223.65</v>
      </c>
    </row>
    <row r="503" spans="1:5" x14ac:dyDescent="0.25">
      <c r="A503" s="50" t="s">
        <v>26</v>
      </c>
      <c r="B503" s="24">
        <v>497</v>
      </c>
      <c r="C503" s="41">
        <f t="shared" si="29"/>
        <v>1.05</v>
      </c>
      <c r="D503" s="43"/>
      <c r="E503" s="24">
        <f t="shared" si="30"/>
        <v>521.85</v>
      </c>
    </row>
    <row r="504" spans="1:5" x14ac:dyDescent="0.25">
      <c r="A504" s="50" t="s">
        <v>42</v>
      </c>
      <c r="B504" s="24">
        <v>213</v>
      </c>
      <c r="C504" s="41">
        <f t="shared" si="29"/>
        <v>1.05</v>
      </c>
      <c r="D504" s="43"/>
      <c r="E504" s="24">
        <f t="shared" si="30"/>
        <v>223.65</v>
      </c>
    </row>
    <row r="505" spans="1:5" x14ac:dyDescent="0.25">
      <c r="A505" s="50" t="s">
        <v>27</v>
      </c>
      <c r="B505" s="24">
        <v>355</v>
      </c>
      <c r="C505" s="41">
        <f t="shared" si="29"/>
        <v>1.05</v>
      </c>
      <c r="D505" s="43"/>
      <c r="E505" s="24">
        <f t="shared" si="30"/>
        <v>372.75</v>
      </c>
    </row>
    <row r="506" spans="1:5" x14ac:dyDescent="0.25">
      <c r="A506" s="50" t="s">
        <v>28</v>
      </c>
      <c r="B506" s="24">
        <v>1420</v>
      </c>
      <c r="C506" s="41">
        <f t="shared" si="29"/>
        <v>1.05</v>
      </c>
      <c r="D506" s="43"/>
      <c r="E506" s="24">
        <f t="shared" si="30"/>
        <v>1491</v>
      </c>
    </row>
    <row r="507" spans="1:5" x14ac:dyDescent="0.25">
      <c r="A507" s="50" t="s">
        <v>722</v>
      </c>
      <c r="B507" s="24">
        <v>1988</v>
      </c>
      <c r="C507" s="41">
        <f t="shared" si="29"/>
        <v>1.05</v>
      </c>
      <c r="D507" s="43"/>
      <c r="E507" s="24">
        <f t="shared" si="30"/>
        <v>2087.4</v>
      </c>
    </row>
    <row r="508" spans="1:5" x14ac:dyDescent="0.25">
      <c r="A508" s="50" t="s">
        <v>29</v>
      </c>
      <c r="B508" s="24">
        <v>426</v>
      </c>
      <c r="C508" s="41">
        <f t="shared" si="29"/>
        <v>1.05</v>
      </c>
      <c r="D508" s="43"/>
      <c r="E508" s="24">
        <f t="shared" si="30"/>
        <v>447.3</v>
      </c>
    </row>
    <row r="509" spans="1:5" x14ac:dyDescent="0.25">
      <c r="A509" s="50" t="s">
        <v>30</v>
      </c>
      <c r="B509" s="24">
        <v>1136</v>
      </c>
      <c r="C509" s="41">
        <f t="shared" si="29"/>
        <v>1.05</v>
      </c>
      <c r="D509" s="43"/>
      <c r="E509" s="24">
        <f t="shared" si="30"/>
        <v>1192.8</v>
      </c>
    </row>
    <row r="510" spans="1:5" x14ac:dyDescent="0.25">
      <c r="A510" s="50" t="s">
        <v>31</v>
      </c>
      <c r="B510" s="24">
        <v>1988</v>
      </c>
      <c r="C510" s="41">
        <f t="shared" si="29"/>
        <v>1.05</v>
      </c>
      <c r="D510" s="43"/>
      <c r="E510" s="24">
        <f t="shared" si="30"/>
        <v>2087.4</v>
      </c>
    </row>
    <row r="511" spans="1:5" x14ac:dyDescent="0.25">
      <c r="A511" s="50" t="s">
        <v>32</v>
      </c>
      <c r="B511">
        <v>4970</v>
      </c>
      <c r="C511" s="41">
        <f t="shared" si="29"/>
        <v>1.05</v>
      </c>
      <c r="D511" s="43"/>
      <c r="E511" s="24">
        <f t="shared" si="30"/>
        <v>5218.5</v>
      </c>
    </row>
    <row r="512" spans="1:5" x14ac:dyDescent="0.25">
      <c r="A512" s="50" t="s">
        <v>33</v>
      </c>
      <c r="B512">
        <v>7810</v>
      </c>
      <c r="C512" s="41">
        <f t="shared" si="29"/>
        <v>1.05</v>
      </c>
      <c r="D512" s="43"/>
      <c r="E512" s="24">
        <f t="shared" si="30"/>
        <v>8200.5</v>
      </c>
    </row>
    <row r="513" spans="1:5" x14ac:dyDescent="0.25">
      <c r="A513" s="50" t="s">
        <v>34</v>
      </c>
      <c r="B513">
        <v>10650</v>
      </c>
      <c r="C513" s="41">
        <f t="shared" si="29"/>
        <v>1.05</v>
      </c>
      <c r="D513" s="43"/>
      <c r="E513" s="24">
        <f t="shared" si="30"/>
        <v>11182.5</v>
      </c>
    </row>
    <row r="514" spans="1:5" x14ac:dyDescent="0.25">
      <c r="A514" s="50" t="s">
        <v>35</v>
      </c>
      <c r="B514">
        <v>1420</v>
      </c>
      <c r="C514" s="41">
        <f t="shared" si="29"/>
        <v>1.05</v>
      </c>
      <c r="D514" s="43"/>
      <c r="E514" s="24">
        <f t="shared" si="30"/>
        <v>1491</v>
      </c>
    </row>
    <row r="515" spans="1:5" x14ac:dyDescent="0.25">
      <c r="A515" s="50" t="s">
        <v>36</v>
      </c>
      <c r="B515">
        <v>2130</v>
      </c>
      <c r="C515" s="41">
        <f t="shared" si="29"/>
        <v>1.05</v>
      </c>
      <c r="D515" s="43"/>
      <c r="E515" s="24">
        <f t="shared" si="30"/>
        <v>2236.5</v>
      </c>
    </row>
    <row r="516" spans="1:5" x14ac:dyDescent="0.25">
      <c r="A516" s="50" t="s">
        <v>37</v>
      </c>
      <c r="B516" s="24">
        <v>426</v>
      </c>
      <c r="C516" s="41">
        <f t="shared" si="29"/>
        <v>1.05</v>
      </c>
      <c r="D516" s="43"/>
      <c r="E516" s="24">
        <f t="shared" si="30"/>
        <v>447.3</v>
      </c>
    </row>
    <row r="517" spans="1:5" x14ac:dyDescent="0.25">
      <c r="A517" s="50" t="s">
        <v>38</v>
      </c>
      <c r="B517" s="24">
        <v>710</v>
      </c>
      <c r="C517" s="41">
        <f t="shared" ref="C517:C580" si="31">$D$3</f>
        <v>1.05</v>
      </c>
      <c r="D517" s="43"/>
      <c r="E517" s="24">
        <f t="shared" si="30"/>
        <v>745.5</v>
      </c>
    </row>
    <row r="518" spans="1:5" x14ac:dyDescent="0.25">
      <c r="A518" s="50" t="s">
        <v>39</v>
      </c>
      <c r="B518" s="24">
        <v>2769</v>
      </c>
      <c r="C518" s="41">
        <f t="shared" si="31"/>
        <v>1.05</v>
      </c>
      <c r="D518" s="43"/>
      <c r="E518" s="24">
        <f t="shared" si="30"/>
        <v>2907.4500000000003</v>
      </c>
    </row>
    <row r="519" spans="1:5" x14ac:dyDescent="0.25">
      <c r="A519" s="50" t="s">
        <v>40</v>
      </c>
      <c r="B519" s="24">
        <v>1704</v>
      </c>
      <c r="C519" s="41">
        <f t="shared" si="31"/>
        <v>1.05</v>
      </c>
      <c r="D519" s="43"/>
      <c r="E519" s="24">
        <f t="shared" si="30"/>
        <v>1789.2</v>
      </c>
    </row>
    <row r="520" spans="1:5" x14ac:dyDescent="0.25">
      <c r="A520" s="50" t="s">
        <v>580</v>
      </c>
      <c r="B520" s="24">
        <v>681.59999999999991</v>
      </c>
      <c r="C520" s="41">
        <f t="shared" si="31"/>
        <v>1.05</v>
      </c>
      <c r="D520" s="43"/>
      <c r="E520" s="24">
        <f t="shared" si="30"/>
        <v>715.68</v>
      </c>
    </row>
    <row r="521" spans="1:5" x14ac:dyDescent="0.25">
      <c r="A521" s="50" t="s">
        <v>581</v>
      </c>
      <c r="B521" s="24">
        <v>532.5</v>
      </c>
      <c r="C521" s="41">
        <f t="shared" si="31"/>
        <v>1.05</v>
      </c>
      <c r="D521" s="43"/>
      <c r="E521" s="24">
        <f t="shared" si="30"/>
        <v>559.125</v>
      </c>
    </row>
    <row r="522" spans="1:5" x14ac:dyDescent="0.25">
      <c r="A522" s="50" t="s">
        <v>582</v>
      </c>
      <c r="B522" s="24">
        <v>852</v>
      </c>
      <c r="C522" s="41">
        <f t="shared" si="31"/>
        <v>1.05</v>
      </c>
      <c r="D522" s="43"/>
      <c r="E522" s="24">
        <f t="shared" si="30"/>
        <v>894.6</v>
      </c>
    </row>
    <row r="523" spans="1:5" x14ac:dyDescent="0.25">
      <c r="A523" s="50" t="s">
        <v>583</v>
      </c>
      <c r="B523" s="24">
        <v>1278</v>
      </c>
      <c r="C523" s="41">
        <f t="shared" si="31"/>
        <v>1.05</v>
      </c>
      <c r="D523" s="43"/>
      <c r="E523" s="24">
        <f t="shared" si="30"/>
        <v>1341.9</v>
      </c>
    </row>
    <row r="524" spans="1:5" x14ac:dyDescent="0.25">
      <c r="A524" s="50" t="s">
        <v>584</v>
      </c>
      <c r="B524" s="24">
        <v>1562</v>
      </c>
      <c r="C524" s="41">
        <f t="shared" si="31"/>
        <v>1.05</v>
      </c>
      <c r="D524" s="43"/>
      <c r="E524" s="24">
        <f t="shared" si="30"/>
        <v>1640.1000000000001</v>
      </c>
    </row>
    <row r="525" spans="1:5" x14ac:dyDescent="0.25">
      <c r="A525" s="50" t="s">
        <v>585</v>
      </c>
      <c r="B525" s="24">
        <v>2130</v>
      </c>
      <c r="C525" s="41">
        <f t="shared" si="31"/>
        <v>1.05</v>
      </c>
      <c r="D525" s="43"/>
      <c r="E525" s="24">
        <f t="shared" si="30"/>
        <v>2236.5</v>
      </c>
    </row>
    <row r="526" spans="1:5" x14ac:dyDescent="0.25">
      <c r="A526" s="50" t="s">
        <v>586</v>
      </c>
      <c r="B526" s="24">
        <v>2840</v>
      </c>
      <c r="C526" s="41">
        <f t="shared" si="31"/>
        <v>1.05</v>
      </c>
      <c r="D526" s="46"/>
      <c r="E526" s="46">
        <f t="shared" si="30"/>
        <v>2982</v>
      </c>
    </row>
    <row r="527" spans="1:5" x14ac:dyDescent="0.25">
      <c r="A527" s="45" t="s">
        <v>762</v>
      </c>
      <c r="B527" s="24">
        <v>3550</v>
      </c>
      <c r="C527" s="41">
        <f t="shared" si="31"/>
        <v>1.05</v>
      </c>
      <c r="D527" s="43"/>
      <c r="E527" s="24">
        <f>IF(D527=0,B527*C527,B527*D527)</f>
        <v>3727.5</v>
      </c>
    </row>
    <row r="528" spans="1:5" x14ac:dyDescent="0.25">
      <c r="A528" s="50" t="s">
        <v>926</v>
      </c>
      <c r="B528" s="24">
        <v>461.5</v>
      </c>
      <c r="C528" s="41">
        <f t="shared" si="31"/>
        <v>1.05</v>
      </c>
      <c r="D528" s="43"/>
      <c r="E528" s="24">
        <f t="shared" si="30"/>
        <v>484.57500000000005</v>
      </c>
    </row>
    <row r="529" spans="1:5" x14ac:dyDescent="0.25">
      <c r="A529" s="50" t="s">
        <v>587</v>
      </c>
      <c r="B529" s="24">
        <v>639</v>
      </c>
      <c r="C529" s="41">
        <f t="shared" si="31"/>
        <v>1.05</v>
      </c>
      <c r="D529" s="43"/>
      <c r="E529" s="24">
        <f t="shared" si="30"/>
        <v>670.95</v>
      </c>
    </row>
    <row r="530" spans="1:5" x14ac:dyDescent="0.25">
      <c r="A530" s="50" t="s">
        <v>588</v>
      </c>
      <c r="B530" s="24">
        <v>71</v>
      </c>
      <c r="C530" s="41">
        <f t="shared" si="31"/>
        <v>1.05</v>
      </c>
      <c r="D530" s="43"/>
      <c r="E530" s="24">
        <f t="shared" si="30"/>
        <v>74.55</v>
      </c>
    </row>
    <row r="531" spans="1:5" x14ac:dyDescent="0.25">
      <c r="A531" s="50" t="s">
        <v>723</v>
      </c>
      <c r="B531" s="24">
        <v>284</v>
      </c>
      <c r="C531" s="41">
        <f t="shared" si="31"/>
        <v>1.05</v>
      </c>
      <c r="D531" s="46"/>
      <c r="E531" s="46">
        <f t="shared" si="30"/>
        <v>298.2</v>
      </c>
    </row>
    <row r="532" spans="1:5" x14ac:dyDescent="0.25">
      <c r="A532" s="45" t="s">
        <v>763</v>
      </c>
      <c r="B532" s="24">
        <v>766.8</v>
      </c>
      <c r="C532" s="41">
        <f t="shared" si="31"/>
        <v>1.05</v>
      </c>
      <c r="D532" s="43"/>
      <c r="E532" s="24">
        <f t="shared" si="30"/>
        <v>805.14</v>
      </c>
    </row>
    <row r="533" spans="1:5" x14ac:dyDescent="0.25">
      <c r="A533" s="50" t="s">
        <v>589</v>
      </c>
      <c r="B533" s="24">
        <v>355</v>
      </c>
      <c r="C533" s="41">
        <f t="shared" si="31"/>
        <v>1.05</v>
      </c>
      <c r="D533" s="43"/>
      <c r="E533" s="24">
        <f>IF(D533=0,B533*C533,B533*D533)</f>
        <v>372.75</v>
      </c>
    </row>
    <row r="534" spans="1:5" x14ac:dyDescent="0.25">
      <c r="A534" s="50" t="s">
        <v>174</v>
      </c>
      <c r="B534" s="24">
        <v>142</v>
      </c>
      <c r="C534" s="41">
        <f t="shared" si="31"/>
        <v>1.05</v>
      </c>
      <c r="D534" s="43"/>
      <c r="E534" s="24">
        <f>IF(D534=0,B534*C534,B534*D534)</f>
        <v>149.1</v>
      </c>
    </row>
    <row r="535" spans="1:5" x14ac:dyDescent="0.25">
      <c r="A535" s="50" t="s">
        <v>175</v>
      </c>
      <c r="B535" s="24">
        <v>142</v>
      </c>
      <c r="C535" s="41">
        <f t="shared" si="31"/>
        <v>1.05</v>
      </c>
      <c r="D535" s="46"/>
      <c r="E535" s="46">
        <f t="shared" ref="E535" si="32">IF(D535=0,B535*C535,B535*D535)</f>
        <v>149.1</v>
      </c>
    </row>
    <row r="536" spans="1:5" x14ac:dyDescent="0.25">
      <c r="A536" s="45" t="s">
        <v>767</v>
      </c>
      <c r="B536" s="24">
        <v>710</v>
      </c>
      <c r="C536" s="41">
        <f t="shared" si="31"/>
        <v>1.05</v>
      </c>
      <c r="D536" s="46"/>
      <c r="E536" s="46">
        <f>IF(D536=0,B536*C536,B536*D536)</f>
        <v>745.5</v>
      </c>
    </row>
    <row r="537" spans="1:5" x14ac:dyDescent="0.25">
      <c r="A537" s="45" t="s">
        <v>768</v>
      </c>
      <c r="B537" s="24">
        <v>639</v>
      </c>
      <c r="C537" s="41">
        <f t="shared" si="31"/>
        <v>1.05</v>
      </c>
      <c r="D537" s="46"/>
      <c r="E537" s="46">
        <f>IF(D537=0,B537*C537,B537*D537)</f>
        <v>670.95</v>
      </c>
    </row>
    <row r="538" spans="1:5" x14ac:dyDescent="0.25">
      <c r="A538" s="45" t="s">
        <v>769</v>
      </c>
      <c r="B538" s="24">
        <v>355</v>
      </c>
      <c r="C538" s="41">
        <f t="shared" si="31"/>
        <v>1.05</v>
      </c>
      <c r="D538" s="46"/>
      <c r="E538" s="46">
        <f>IF(D538=0,B538*C538,B538*D538)</f>
        <v>372.75</v>
      </c>
    </row>
    <row r="539" spans="1:5" x14ac:dyDescent="0.25">
      <c r="A539" s="45" t="s">
        <v>770</v>
      </c>
      <c r="B539" s="24">
        <v>766.8</v>
      </c>
      <c r="C539" s="41">
        <f t="shared" si="31"/>
        <v>1.05</v>
      </c>
      <c r="D539" s="54"/>
      <c r="E539" s="54">
        <f>IF(D539=0,B539*C539,B539*D539)</f>
        <v>805.14</v>
      </c>
    </row>
    <row r="540" spans="1:5" x14ac:dyDescent="0.25">
      <c r="A540" s="52" t="s">
        <v>771</v>
      </c>
      <c r="B540" s="85">
        <v>1192.8</v>
      </c>
      <c r="C540" s="41">
        <f t="shared" si="31"/>
        <v>1.05</v>
      </c>
      <c r="D540" s="46"/>
      <c r="E540" s="46">
        <f>IF(D540=0,B540*C540,B540*D540)</f>
        <v>1252.44</v>
      </c>
    </row>
    <row r="541" spans="1:5" x14ac:dyDescent="0.25">
      <c r="A541" s="53" t="s">
        <v>772</v>
      </c>
      <c r="B541" s="24">
        <v>766.8</v>
      </c>
      <c r="C541" s="41">
        <f t="shared" si="31"/>
        <v>1.05</v>
      </c>
      <c r="D541" s="46"/>
      <c r="E541" s="46">
        <f t="shared" ref="E541:E575" si="33">IF(D541=0,B541*C541,B541*D541)</f>
        <v>805.14</v>
      </c>
    </row>
    <row r="542" spans="1:5" x14ac:dyDescent="0.25">
      <c r="A542" s="45" t="s">
        <v>773</v>
      </c>
      <c r="B542" s="24">
        <v>1022.4</v>
      </c>
      <c r="C542" s="41">
        <f t="shared" si="31"/>
        <v>1.05</v>
      </c>
      <c r="D542" s="46"/>
      <c r="E542" s="46">
        <f t="shared" si="33"/>
        <v>1073.52</v>
      </c>
    </row>
    <row r="543" spans="1:5" x14ac:dyDescent="0.25">
      <c r="A543" s="45" t="s">
        <v>774</v>
      </c>
      <c r="B543" s="24">
        <v>234.29999999999998</v>
      </c>
      <c r="C543" s="41">
        <f t="shared" si="31"/>
        <v>1.05</v>
      </c>
      <c r="D543" s="46"/>
      <c r="E543" s="46">
        <f t="shared" si="33"/>
        <v>246.01499999999999</v>
      </c>
    </row>
    <row r="544" spans="1:5" x14ac:dyDescent="0.25">
      <c r="A544" s="45" t="s">
        <v>775</v>
      </c>
      <c r="B544" s="24">
        <v>766.8</v>
      </c>
      <c r="C544" s="41">
        <f t="shared" si="31"/>
        <v>1.05</v>
      </c>
      <c r="D544" s="46"/>
      <c r="E544" s="46">
        <f t="shared" si="33"/>
        <v>805.14</v>
      </c>
    </row>
    <row r="545" spans="1:5" x14ac:dyDescent="0.25">
      <c r="A545" s="45" t="s">
        <v>776</v>
      </c>
      <c r="B545" s="24">
        <v>2556</v>
      </c>
      <c r="C545" s="41">
        <f t="shared" si="31"/>
        <v>1.05</v>
      </c>
      <c r="D545" s="46"/>
      <c r="E545" s="46">
        <f t="shared" si="33"/>
        <v>2683.8</v>
      </c>
    </row>
    <row r="546" spans="1:5" x14ac:dyDescent="0.25">
      <c r="A546" s="45" t="s">
        <v>777</v>
      </c>
      <c r="B546" s="24">
        <v>568</v>
      </c>
      <c r="C546" s="41">
        <f t="shared" si="31"/>
        <v>1.05</v>
      </c>
      <c r="D546" s="46"/>
      <c r="E546" s="46">
        <f t="shared" si="33"/>
        <v>596.4</v>
      </c>
    </row>
    <row r="547" spans="1:5" x14ac:dyDescent="0.25">
      <c r="A547" s="45" t="s">
        <v>778</v>
      </c>
      <c r="B547" s="24">
        <v>639</v>
      </c>
      <c r="C547" s="41">
        <f t="shared" si="31"/>
        <v>1.05</v>
      </c>
      <c r="D547" s="46"/>
      <c r="E547" s="46">
        <f t="shared" si="33"/>
        <v>670.95</v>
      </c>
    </row>
    <row r="548" spans="1:5" x14ac:dyDescent="0.25">
      <c r="A548" s="45" t="s">
        <v>779</v>
      </c>
      <c r="B548" s="24">
        <v>284</v>
      </c>
      <c r="C548" s="41">
        <f t="shared" si="31"/>
        <v>1.05</v>
      </c>
      <c r="D548" s="46"/>
      <c r="E548" s="46">
        <f t="shared" si="33"/>
        <v>298.2</v>
      </c>
    </row>
    <row r="549" spans="1:5" x14ac:dyDescent="0.25">
      <c r="A549" s="45" t="s">
        <v>780</v>
      </c>
      <c r="B549" s="24">
        <v>142</v>
      </c>
      <c r="C549" s="41">
        <f t="shared" si="31"/>
        <v>1.05</v>
      </c>
      <c r="D549" s="46"/>
      <c r="E549" s="46">
        <f t="shared" si="33"/>
        <v>149.1</v>
      </c>
    </row>
    <row r="550" spans="1:5" x14ac:dyDescent="0.25">
      <c r="A550" s="45" t="s">
        <v>781</v>
      </c>
      <c r="B550" s="24">
        <v>710</v>
      </c>
      <c r="C550" s="41">
        <f t="shared" si="31"/>
        <v>1.05</v>
      </c>
      <c r="D550" s="46"/>
      <c r="E550" s="46">
        <f t="shared" si="33"/>
        <v>745.5</v>
      </c>
    </row>
    <row r="551" spans="1:5" x14ac:dyDescent="0.25">
      <c r="A551" s="45" t="s">
        <v>782</v>
      </c>
      <c r="B551" s="24">
        <v>766.8</v>
      </c>
      <c r="C551" s="41">
        <f t="shared" si="31"/>
        <v>1.05</v>
      </c>
      <c r="D551" s="46"/>
      <c r="E551" s="46">
        <f t="shared" si="33"/>
        <v>805.14</v>
      </c>
    </row>
    <row r="552" spans="1:5" x14ac:dyDescent="0.25">
      <c r="A552" s="45" t="s">
        <v>783</v>
      </c>
      <c r="B552" s="24">
        <v>255.6</v>
      </c>
      <c r="C552" s="41">
        <f t="shared" si="31"/>
        <v>1.05</v>
      </c>
      <c r="D552" s="46"/>
      <c r="E552" s="46">
        <f t="shared" si="33"/>
        <v>268.38</v>
      </c>
    </row>
    <row r="553" spans="1:5" x14ac:dyDescent="0.25">
      <c r="A553" s="45" t="s">
        <v>784</v>
      </c>
      <c r="B553" s="24">
        <v>1278</v>
      </c>
      <c r="C553" s="41">
        <f t="shared" si="31"/>
        <v>1.05</v>
      </c>
      <c r="D553" s="46"/>
      <c r="E553" s="46">
        <f t="shared" si="33"/>
        <v>1341.9</v>
      </c>
    </row>
    <row r="554" spans="1:5" x14ac:dyDescent="0.25">
      <c r="A554" s="45" t="s">
        <v>785</v>
      </c>
      <c r="B554" s="24">
        <v>2840</v>
      </c>
      <c r="C554" s="41">
        <f t="shared" si="31"/>
        <v>1.05</v>
      </c>
      <c r="D554" s="46"/>
      <c r="E554" s="46">
        <f t="shared" si="33"/>
        <v>2982</v>
      </c>
    </row>
    <row r="555" spans="1:5" x14ac:dyDescent="0.25">
      <c r="A555" s="45" t="s">
        <v>786</v>
      </c>
      <c r="B555" s="24">
        <v>4260</v>
      </c>
      <c r="C555" s="41">
        <f t="shared" si="31"/>
        <v>1.05</v>
      </c>
      <c r="D555" s="46"/>
      <c r="E555" s="46">
        <f t="shared" si="33"/>
        <v>4473</v>
      </c>
    </row>
    <row r="556" spans="1:5" x14ac:dyDescent="0.25">
      <c r="A556" s="45" t="s">
        <v>787</v>
      </c>
      <c r="B556" s="24">
        <v>7668</v>
      </c>
      <c r="C556" s="41">
        <f t="shared" si="31"/>
        <v>1.05</v>
      </c>
      <c r="D556" s="46"/>
      <c r="E556" s="46">
        <f t="shared" si="33"/>
        <v>8051.4000000000005</v>
      </c>
    </row>
    <row r="557" spans="1:5" x14ac:dyDescent="0.25">
      <c r="A557" s="45" t="s">
        <v>788</v>
      </c>
      <c r="B557" s="24">
        <v>2840</v>
      </c>
      <c r="C557" s="41">
        <f t="shared" si="31"/>
        <v>1.05</v>
      </c>
      <c r="D557" s="46"/>
      <c r="E557" s="46">
        <f t="shared" si="33"/>
        <v>2982</v>
      </c>
    </row>
    <row r="558" spans="1:5" x14ac:dyDescent="0.25">
      <c r="A558" s="45" t="s">
        <v>789</v>
      </c>
      <c r="B558" s="24">
        <v>7668</v>
      </c>
      <c r="C558" s="41">
        <f t="shared" si="31"/>
        <v>1.05</v>
      </c>
      <c r="D558" s="46"/>
      <c r="E558" s="46">
        <f t="shared" si="33"/>
        <v>8051.4000000000005</v>
      </c>
    </row>
    <row r="559" spans="1:5" x14ac:dyDescent="0.25">
      <c r="A559" s="45" t="s">
        <v>790</v>
      </c>
      <c r="B559" s="24">
        <v>4828</v>
      </c>
      <c r="C559" s="41">
        <f t="shared" si="31"/>
        <v>1.05</v>
      </c>
      <c r="D559" s="46"/>
      <c r="E559" s="46">
        <f t="shared" si="33"/>
        <v>5069.4000000000005</v>
      </c>
    </row>
    <row r="560" spans="1:5" x14ac:dyDescent="0.25">
      <c r="A560" s="45" t="s">
        <v>791</v>
      </c>
      <c r="B560" s="24">
        <v>5964</v>
      </c>
      <c r="C560" s="41">
        <f t="shared" si="31"/>
        <v>1.05</v>
      </c>
      <c r="D560" s="46"/>
      <c r="E560" s="46">
        <f t="shared" si="33"/>
        <v>6262.2</v>
      </c>
    </row>
    <row r="561" spans="1:5" x14ac:dyDescent="0.25">
      <c r="A561" s="45" t="s">
        <v>792</v>
      </c>
      <c r="B561" s="24">
        <v>5964</v>
      </c>
      <c r="C561" s="41">
        <f t="shared" si="31"/>
        <v>1.05</v>
      </c>
      <c r="D561" s="46"/>
      <c r="E561" s="46">
        <f t="shared" si="33"/>
        <v>6262.2</v>
      </c>
    </row>
    <row r="562" spans="1:5" x14ac:dyDescent="0.25">
      <c r="A562" s="45" t="s">
        <v>793</v>
      </c>
      <c r="B562" s="24">
        <v>7668</v>
      </c>
      <c r="C562" s="41">
        <f t="shared" si="31"/>
        <v>1.05</v>
      </c>
      <c r="D562" s="46"/>
      <c r="E562" s="46">
        <f t="shared" si="33"/>
        <v>8051.4000000000005</v>
      </c>
    </row>
    <row r="563" spans="1:5" x14ac:dyDescent="0.25">
      <c r="A563" s="45" t="s">
        <v>794</v>
      </c>
      <c r="B563" s="24">
        <v>2840</v>
      </c>
      <c r="C563" s="41">
        <f t="shared" si="31"/>
        <v>1.05</v>
      </c>
      <c r="D563" s="46"/>
      <c r="E563" s="46">
        <f t="shared" si="33"/>
        <v>2982</v>
      </c>
    </row>
    <row r="564" spans="1:5" x14ac:dyDescent="0.25">
      <c r="A564" s="45" t="s">
        <v>795</v>
      </c>
      <c r="B564" s="24">
        <v>4260</v>
      </c>
      <c r="C564" s="41">
        <f t="shared" si="31"/>
        <v>1.05</v>
      </c>
      <c r="D564" s="46"/>
      <c r="E564" s="46">
        <f t="shared" si="33"/>
        <v>4473</v>
      </c>
    </row>
    <row r="565" spans="1:5" x14ac:dyDescent="0.25">
      <c r="A565" s="45" t="s">
        <v>796</v>
      </c>
      <c r="B565" s="24">
        <v>2840</v>
      </c>
      <c r="C565" s="41">
        <f t="shared" si="31"/>
        <v>1.05</v>
      </c>
      <c r="D565" s="46"/>
      <c r="E565" s="46">
        <f t="shared" si="33"/>
        <v>2982</v>
      </c>
    </row>
    <row r="566" spans="1:5" x14ac:dyDescent="0.25">
      <c r="A566" s="45" t="s">
        <v>797</v>
      </c>
      <c r="B566" s="24">
        <v>4260</v>
      </c>
      <c r="C566" s="41">
        <f t="shared" si="31"/>
        <v>1.05</v>
      </c>
      <c r="D566" s="46"/>
      <c r="E566" s="46">
        <f t="shared" si="33"/>
        <v>4473</v>
      </c>
    </row>
    <row r="567" spans="1:5" x14ac:dyDescent="0.25">
      <c r="A567" s="45" t="s">
        <v>798</v>
      </c>
      <c r="B567" s="24">
        <v>7668</v>
      </c>
      <c r="C567" s="41">
        <f t="shared" si="31"/>
        <v>1.05</v>
      </c>
      <c r="D567" s="46"/>
      <c r="E567" s="46">
        <f t="shared" si="33"/>
        <v>8051.4000000000005</v>
      </c>
    </row>
    <row r="568" spans="1:5" x14ac:dyDescent="0.25">
      <c r="A568" s="45" t="s">
        <v>799</v>
      </c>
      <c r="B568" s="24">
        <v>7668</v>
      </c>
      <c r="C568" s="41">
        <f t="shared" si="31"/>
        <v>1.05</v>
      </c>
      <c r="D568" s="46"/>
      <c r="E568" s="46">
        <f t="shared" si="33"/>
        <v>8051.4000000000005</v>
      </c>
    </row>
    <row r="569" spans="1:5" x14ac:dyDescent="0.25">
      <c r="A569" s="45" t="s">
        <v>800</v>
      </c>
      <c r="B569" s="24">
        <v>2556</v>
      </c>
      <c r="C569" s="41">
        <f t="shared" si="31"/>
        <v>1.05</v>
      </c>
      <c r="D569" s="46"/>
      <c r="E569" s="46">
        <f t="shared" si="33"/>
        <v>2683.8</v>
      </c>
    </row>
    <row r="570" spans="1:5" x14ac:dyDescent="0.25">
      <c r="A570" s="45" t="s">
        <v>801</v>
      </c>
      <c r="B570" s="24">
        <v>7668</v>
      </c>
      <c r="C570" s="41">
        <f t="shared" si="31"/>
        <v>1.05</v>
      </c>
      <c r="D570" s="46"/>
      <c r="E570" s="46">
        <f t="shared" si="33"/>
        <v>8051.4000000000005</v>
      </c>
    </row>
    <row r="571" spans="1:5" x14ac:dyDescent="0.25">
      <c r="A571" s="45" t="s">
        <v>802</v>
      </c>
      <c r="B571" s="24">
        <v>2556</v>
      </c>
      <c r="C571" s="41">
        <f t="shared" si="31"/>
        <v>1.05</v>
      </c>
      <c r="D571" s="46"/>
      <c r="E571" s="46">
        <f t="shared" si="33"/>
        <v>2683.8</v>
      </c>
    </row>
    <row r="572" spans="1:5" x14ac:dyDescent="0.25">
      <c r="A572" s="45" t="s">
        <v>803</v>
      </c>
      <c r="B572" s="24">
        <v>106.5</v>
      </c>
      <c r="C572" s="41">
        <f t="shared" si="31"/>
        <v>1.05</v>
      </c>
      <c r="D572" s="46"/>
      <c r="E572" s="46">
        <f t="shared" si="33"/>
        <v>111.825</v>
      </c>
    </row>
    <row r="573" spans="1:5" x14ac:dyDescent="0.25">
      <c r="A573" s="45" t="s">
        <v>804</v>
      </c>
      <c r="B573" s="24">
        <v>85.199999999999989</v>
      </c>
      <c r="C573" s="41">
        <f t="shared" si="31"/>
        <v>1.05</v>
      </c>
      <c r="D573" s="46"/>
      <c r="E573" s="46">
        <f t="shared" si="33"/>
        <v>89.46</v>
      </c>
    </row>
    <row r="574" spans="1:5" x14ac:dyDescent="0.25">
      <c r="A574" s="45" t="s">
        <v>805</v>
      </c>
      <c r="B574" s="24">
        <v>42.599999999999994</v>
      </c>
      <c r="C574" s="41">
        <f t="shared" si="31"/>
        <v>1.05</v>
      </c>
      <c r="D574" s="46"/>
      <c r="E574" s="46">
        <f t="shared" si="33"/>
        <v>44.73</v>
      </c>
    </row>
    <row r="575" spans="1:5" x14ac:dyDescent="0.25">
      <c r="A575" s="45" t="s">
        <v>168</v>
      </c>
      <c r="B575" s="24">
        <v>213</v>
      </c>
      <c r="C575" s="41">
        <f t="shared" si="31"/>
        <v>1.05</v>
      </c>
      <c r="D575" s="46"/>
      <c r="E575" s="46">
        <f t="shared" si="33"/>
        <v>223.65</v>
      </c>
    </row>
    <row r="576" spans="1:5" x14ac:dyDescent="0.25">
      <c r="A576" s="45" t="s">
        <v>807</v>
      </c>
      <c r="B576" s="24">
        <v>2556</v>
      </c>
      <c r="C576" s="41">
        <f t="shared" si="31"/>
        <v>1.05</v>
      </c>
      <c r="D576" s="43"/>
      <c r="E576" s="24">
        <f t="shared" ref="E576:E639" si="34">IF(D576=0,B576*C576,B576*D576)</f>
        <v>2683.8</v>
      </c>
    </row>
    <row r="577" spans="1:5" x14ac:dyDescent="0.25">
      <c r="A577" s="50" t="s">
        <v>929</v>
      </c>
      <c r="B577" s="24">
        <v>1420</v>
      </c>
      <c r="C577" s="41">
        <f t="shared" si="31"/>
        <v>1.05</v>
      </c>
      <c r="D577" s="43"/>
      <c r="E577" s="24">
        <f t="shared" si="34"/>
        <v>1491</v>
      </c>
    </row>
    <row r="578" spans="1:5" x14ac:dyDescent="0.25">
      <c r="A578" s="50" t="s">
        <v>927</v>
      </c>
      <c r="B578" s="24">
        <v>44375</v>
      </c>
      <c r="C578" s="41">
        <f t="shared" si="31"/>
        <v>1.05</v>
      </c>
      <c r="D578" s="43"/>
      <c r="E578" s="24">
        <f t="shared" si="34"/>
        <v>46593.75</v>
      </c>
    </row>
    <row r="579" spans="1:5" x14ac:dyDescent="0.25">
      <c r="A579" s="50" t="s">
        <v>592</v>
      </c>
      <c r="B579" s="24">
        <v>170.39999999999998</v>
      </c>
      <c r="C579" s="41">
        <f t="shared" si="31"/>
        <v>1.05</v>
      </c>
      <c r="D579" s="43"/>
      <c r="E579" s="24">
        <f t="shared" si="34"/>
        <v>178.92</v>
      </c>
    </row>
    <row r="580" spans="1:5" x14ac:dyDescent="0.25">
      <c r="A580" s="50" t="s">
        <v>246</v>
      </c>
      <c r="B580" s="24">
        <v>426</v>
      </c>
      <c r="C580" s="41">
        <f t="shared" si="31"/>
        <v>1.05</v>
      </c>
      <c r="D580" s="43"/>
      <c r="E580" s="24">
        <f t="shared" si="34"/>
        <v>447.3</v>
      </c>
    </row>
    <row r="581" spans="1:5" x14ac:dyDescent="0.25">
      <c r="A581" s="50" t="s">
        <v>209</v>
      </c>
      <c r="B581" s="24">
        <v>10650</v>
      </c>
      <c r="C581" s="41">
        <f t="shared" ref="C581:C644" si="35">$D$3</f>
        <v>1.05</v>
      </c>
      <c r="D581" s="43"/>
      <c r="E581" s="24">
        <f t="shared" si="34"/>
        <v>11182.5</v>
      </c>
    </row>
    <row r="582" spans="1:5" x14ac:dyDescent="0.25">
      <c r="A582" s="50" t="s">
        <v>265</v>
      </c>
      <c r="B582" s="91">
        <v>17750</v>
      </c>
      <c r="C582" s="41">
        <f t="shared" si="35"/>
        <v>1.05</v>
      </c>
      <c r="D582" s="43"/>
      <c r="E582" s="24">
        <f t="shared" si="34"/>
        <v>18637.5</v>
      </c>
    </row>
    <row r="583" spans="1:5" x14ac:dyDescent="0.25">
      <c r="A583" s="50" t="s">
        <v>907</v>
      </c>
      <c r="B583" s="24">
        <v>18460</v>
      </c>
      <c r="C583" s="41">
        <f t="shared" si="35"/>
        <v>1.05</v>
      </c>
      <c r="D583" s="43"/>
      <c r="E583" s="24">
        <f t="shared" si="34"/>
        <v>19383</v>
      </c>
    </row>
    <row r="584" spans="1:5" x14ac:dyDescent="0.25">
      <c r="A584" s="50" t="s">
        <v>908</v>
      </c>
      <c r="B584" s="24">
        <v>19170</v>
      </c>
      <c r="C584" s="41">
        <f t="shared" si="35"/>
        <v>1.05</v>
      </c>
      <c r="D584" s="43"/>
      <c r="E584" s="24">
        <f t="shared" si="34"/>
        <v>20128.5</v>
      </c>
    </row>
    <row r="585" spans="1:5" x14ac:dyDescent="0.25">
      <c r="A585" s="50" t="s">
        <v>909</v>
      </c>
      <c r="B585" s="24">
        <v>19880</v>
      </c>
      <c r="C585" s="41">
        <f t="shared" si="35"/>
        <v>1.05</v>
      </c>
      <c r="D585" s="43"/>
      <c r="E585" s="24">
        <f t="shared" si="34"/>
        <v>20874</v>
      </c>
    </row>
    <row r="586" spans="1:5" x14ac:dyDescent="0.25">
      <c r="A586" s="50" t="s">
        <v>910</v>
      </c>
      <c r="B586" s="24">
        <v>19170</v>
      </c>
      <c r="C586" s="41">
        <f t="shared" si="35"/>
        <v>1.05</v>
      </c>
      <c r="D586" s="43"/>
      <c r="E586" s="24">
        <f t="shared" si="34"/>
        <v>20128.5</v>
      </c>
    </row>
    <row r="587" spans="1:5" x14ac:dyDescent="0.25">
      <c r="A587" s="50" t="s">
        <v>594</v>
      </c>
      <c r="B587" s="24">
        <v>14200</v>
      </c>
      <c r="C587" s="41">
        <f t="shared" si="35"/>
        <v>1.05</v>
      </c>
      <c r="D587" s="43"/>
      <c r="E587" s="24">
        <f t="shared" si="34"/>
        <v>14910</v>
      </c>
    </row>
    <row r="588" spans="1:5" x14ac:dyDescent="0.25">
      <c r="A588" s="50" t="s">
        <v>911</v>
      </c>
      <c r="B588">
        <v>9940</v>
      </c>
      <c r="C588" s="41">
        <f t="shared" si="35"/>
        <v>1.05</v>
      </c>
      <c r="D588" s="43"/>
      <c r="E588" s="24">
        <f t="shared" si="34"/>
        <v>10437</v>
      </c>
    </row>
    <row r="589" spans="1:5" x14ac:dyDescent="0.25">
      <c r="A589" s="50" t="s">
        <v>6</v>
      </c>
      <c r="B589" s="24">
        <v>2130</v>
      </c>
      <c r="C589" s="41">
        <f t="shared" si="35"/>
        <v>1.05</v>
      </c>
      <c r="D589" s="43"/>
      <c r="E589" s="24">
        <f t="shared" si="34"/>
        <v>2236.5</v>
      </c>
    </row>
    <row r="590" spans="1:5" x14ac:dyDescent="0.25">
      <c r="A590" s="50" t="s">
        <v>7</v>
      </c>
      <c r="B590" s="24">
        <v>994</v>
      </c>
      <c r="C590" s="41">
        <f t="shared" si="35"/>
        <v>1.05</v>
      </c>
      <c r="D590" s="43"/>
      <c r="E590" s="24">
        <f t="shared" si="34"/>
        <v>1043.7</v>
      </c>
    </row>
    <row r="591" spans="1:5" x14ac:dyDescent="0.25">
      <c r="A591" s="50" t="s">
        <v>912</v>
      </c>
      <c r="B591" s="24">
        <v>994</v>
      </c>
      <c r="C591" s="41">
        <f t="shared" si="35"/>
        <v>1.05</v>
      </c>
      <c r="D591" s="43"/>
      <c r="E591" s="24">
        <f t="shared" si="34"/>
        <v>1043.7</v>
      </c>
    </row>
    <row r="592" spans="1:5" x14ac:dyDescent="0.25">
      <c r="A592" s="50" t="s">
        <v>913</v>
      </c>
      <c r="B592" s="24">
        <v>2769</v>
      </c>
      <c r="C592" s="41">
        <f t="shared" si="35"/>
        <v>1.05</v>
      </c>
      <c r="D592" s="43"/>
      <c r="E592" s="24">
        <f t="shared" si="34"/>
        <v>2907.4500000000003</v>
      </c>
    </row>
    <row r="593" spans="1:5" x14ac:dyDescent="0.25">
      <c r="A593" s="50" t="s">
        <v>9</v>
      </c>
      <c r="B593" s="24">
        <v>1420</v>
      </c>
      <c r="C593" s="41">
        <f t="shared" si="35"/>
        <v>1.05</v>
      </c>
      <c r="D593" s="43"/>
      <c r="E593" s="24">
        <f t="shared" si="34"/>
        <v>1491</v>
      </c>
    </row>
    <row r="594" spans="1:5" x14ac:dyDescent="0.25">
      <c r="A594" s="50" t="s">
        <v>106</v>
      </c>
      <c r="B594" s="24">
        <v>11360</v>
      </c>
      <c r="C594" s="41">
        <f t="shared" si="35"/>
        <v>1.05</v>
      </c>
      <c r="D594" s="43"/>
      <c r="E594" s="24">
        <f t="shared" si="34"/>
        <v>11928</v>
      </c>
    </row>
    <row r="595" spans="1:5" x14ac:dyDescent="0.25">
      <c r="A595" s="50" t="s">
        <v>595</v>
      </c>
      <c r="B595" s="24">
        <v>2130</v>
      </c>
      <c r="C595" s="41">
        <f t="shared" si="35"/>
        <v>1.05</v>
      </c>
      <c r="D595" s="43"/>
      <c r="E595" s="24">
        <f t="shared" si="34"/>
        <v>2236.5</v>
      </c>
    </row>
    <row r="596" spans="1:5" x14ac:dyDescent="0.25">
      <c r="A596" s="50" t="s">
        <v>596</v>
      </c>
      <c r="B596" s="24">
        <v>852</v>
      </c>
      <c r="C596" s="41">
        <f t="shared" si="35"/>
        <v>1.05</v>
      </c>
      <c r="D596" s="43"/>
      <c r="E596" s="24">
        <f t="shared" si="34"/>
        <v>894.6</v>
      </c>
    </row>
    <row r="597" spans="1:5" x14ac:dyDescent="0.25">
      <c r="A597" s="50" t="s">
        <v>108</v>
      </c>
      <c r="B597" s="24">
        <v>21300</v>
      </c>
      <c r="C597" s="41">
        <f t="shared" si="35"/>
        <v>1.05</v>
      </c>
      <c r="D597" s="43"/>
      <c r="E597" s="24">
        <f t="shared" si="34"/>
        <v>22365</v>
      </c>
    </row>
    <row r="598" spans="1:5" x14ac:dyDescent="0.25">
      <c r="A598" s="50" t="s">
        <v>597</v>
      </c>
      <c r="B598" s="24">
        <v>2130</v>
      </c>
      <c r="C598" s="41">
        <f t="shared" si="35"/>
        <v>1.05</v>
      </c>
      <c r="D598" s="43"/>
      <c r="E598" s="24">
        <f t="shared" si="34"/>
        <v>2236.5</v>
      </c>
    </row>
    <row r="599" spans="1:5" x14ac:dyDescent="0.25">
      <c r="A599" s="50" t="s">
        <v>598</v>
      </c>
      <c r="B599" s="24">
        <v>852</v>
      </c>
      <c r="C599" s="41">
        <f t="shared" si="35"/>
        <v>1.05</v>
      </c>
      <c r="D599" s="43"/>
      <c r="E599" s="24">
        <f t="shared" si="34"/>
        <v>894.6</v>
      </c>
    </row>
    <row r="600" spans="1:5" x14ac:dyDescent="0.25">
      <c r="A600" s="50" t="s">
        <v>599</v>
      </c>
      <c r="B600" s="24">
        <v>1065</v>
      </c>
      <c r="C600" s="41">
        <f t="shared" si="35"/>
        <v>1.05</v>
      </c>
      <c r="D600" s="43"/>
      <c r="E600" s="24">
        <f t="shared" si="34"/>
        <v>1118.25</v>
      </c>
    </row>
    <row r="601" spans="1:5" x14ac:dyDescent="0.25">
      <c r="A601" s="50" t="s">
        <v>600</v>
      </c>
      <c r="B601" s="24">
        <v>9230</v>
      </c>
      <c r="C601" s="41">
        <f t="shared" si="35"/>
        <v>1.05</v>
      </c>
      <c r="D601" s="43"/>
      <c r="E601" s="24">
        <f t="shared" si="34"/>
        <v>9691.5</v>
      </c>
    </row>
    <row r="602" spans="1:5" x14ac:dyDescent="0.25">
      <c r="A602" s="50" t="s">
        <v>601</v>
      </c>
      <c r="B602" s="24">
        <v>7810</v>
      </c>
      <c r="C602" s="41">
        <f t="shared" si="35"/>
        <v>1.05</v>
      </c>
      <c r="D602" s="43"/>
      <c r="E602" s="24">
        <f t="shared" si="34"/>
        <v>8200.5</v>
      </c>
    </row>
    <row r="603" spans="1:5" x14ac:dyDescent="0.25">
      <c r="A603" s="50" t="s">
        <v>914</v>
      </c>
      <c r="B603" s="24">
        <v>9940</v>
      </c>
      <c r="C603" s="41">
        <f t="shared" si="35"/>
        <v>1.05</v>
      </c>
      <c r="D603" s="43"/>
      <c r="E603" s="24">
        <f>IF(D603=0,B603*C603,B603*D603)</f>
        <v>10437</v>
      </c>
    </row>
    <row r="604" spans="1:5" x14ac:dyDescent="0.25">
      <c r="A604" s="50" t="s">
        <v>915</v>
      </c>
      <c r="B604" s="24">
        <v>8520</v>
      </c>
      <c r="C604" s="41">
        <f t="shared" si="35"/>
        <v>1.05</v>
      </c>
      <c r="D604" s="43"/>
      <c r="E604" s="24">
        <f t="shared" ref="E604:E606" si="36">IF(D604=0,B604*C604,B604*D604)</f>
        <v>8946</v>
      </c>
    </row>
    <row r="605" spans="1:5" x14ac:dyDescent="0.25">
      <c r="A605" s="50" t="s">
        <v>916</v>
      </c>
      <c r="B605" s="24">
        <v>6390</v>
      </c>
      <c r="C605" s="41">
        <f t="shared" si="35"/>
        <v>1.05</v>
      </c>
      <c r="D605" s="43"/>
      <c r="E605" s="24">
        <f t="shared" si="36"/>
        <v>6709.5</v>
      </c>
    </row>
    <row r="606" spans="1:5" x14ac:dyDescent="0.25">
      <c r="A606" s="50" t="s">
        <v>917</v>
      </c>
      <c r="B606" s="24">
        <v>6390</v>
      </c>
      <c r="C606" s="41">
        <f t="shared" si="35"/>
        <v>1.05</v>
      </c>
      <c r="D606" s="43"/>
      <c r="E606" s="24">
        <f t="shared" si="36"/>
        <v>6709.5</v>
      </c>
    </row>
    <row r="607" spans="1:5" x14ac:dyDescent="0.25">
      <c r="A607" s="50" t="s">
        <v>918</v>
      </c>
      <c r="B607" s="24">
        <v>2130</v>
      </c>
      <c r="C607" s="41">
        <f t="shared" si="35"/>
        <v>1.05</v>
      </c>
      <c r="D607" s="43"/>
      <c r="E607" s="24">
        <f t="shared" si="34"/>
        <v>2236.5</v>
      </c>
    </row>
    <row r="608" spans="1:5" x14ac:dyDescent="0.25">
      <c r="A608" s="50" t="s">
        <v>278</v>
      </c>
      <c r="B608" s="24">
        <v>1278</v>
      </c>
      <c r="C608" s="41">
        <f t="shared" si="35"/>
        <v>1.05</v>
      </c>
      <c r="D608" s="43"/>
      <c r="E608" s="24">
        <f t="shared" si="34"/>
        <v>1341.9</v>
      </c>
    </row>
    <row r="609" spans="1:5" x14ac:dyDescent="0.25">
      <c r="A609" s="50" t="s">
        <v>602</v>
      </c>
      <c r="B609" s="24">
        <v>1065</v>
      </c>
      <c r="C609" s="41">
        <f t="shared" si="35"/>
        <v>1.05</v>
      </c>
      <c r="D609" s="43"/>
      <c r="E609" s="24">
        <f t="shared" si="34"/>
        <v>1118.25</v>
      </c>
    </row>
    <row r="610" spans="1:5" x14ac:dyDescent="0.25">
      <c r="A610" s="50" t="s">
        <v>243</v>
      </c>
      <c r="B610" s="24">
        <v>1874.3999999999999</v>
      </c>
      <c r="C610" s="41">
        <f t="shared" si="35"/>
        <v>1.05</v>
      </c>
      <c r="D610" s="43"/>
      <c r="E610" s="24">
        <f t="shared" si="34"/>
        <v>1968.12</v>
      </c>
    </row>
    <row r="611" spans="1:5" x14ac:dyDescent="0.25">
      <c r="A611" s="50" t="s">
        <v>244</v>
      </c>
      <c r="B611" s="24">
        <v>1363.1999999999998</v>
      </c>
      <c r="C611" s="41">
        <f t="shared" si="35"/>
        <v>1.05</v>
      </c>
      <c r="D611" s="43"/>
      <c r="E611" s="24">
        <f t="shared" si="34"/>
        <v>1431.36</v>
      </c>
    </row>
    <row r="612" spans="1:5" x14ac:dyDescent="0.25">
      <c r="A612" s="50" t="s">
        <v>725</v>
      </c>
      <c r="B612" s="24">
        <v>852</v>
      </c>
      <c r="C612" s="41">
        <f t="shared" si="35"/>
        <v>1.05</v>
      </c>
      <c r="D612" s="43"/>
      <c r="E612" s="24">
        <f t="shared" si="34"/>
        <v>894.6</v>
      </c>
    </row>
    <row r="613" spans="1:5" x14ac:dyDescent="0.25">
      <c r="A613" s="50" t="s">
        <v>66</v>
      </c>
      <c r="B613" s="24">
        <v>3408</v>
      </c>
      <c r="C613" s="41">
        <f t="shared" si="35"/>
        <v>1.05</v>
      </c>
      <c r="D613" s="43"/>
      <c r="E613" s="24">
        <f t="shared" si="34"/>
        <v>3578.4</v>
      </c>
    </row>
    <row r="614" spans="1:5" x14ac:dyDescent="0.25">
      <c r="A614" s="50" t="s">
        <v>67</v>
      </c>
      <c r="B614" s="24">
        <v>1704</v>
      </c>
      <c r="C614" s="41">
        <f t="shared" si="35"/>
        <v>1.05</v>
      </c>
      <c r="D614" s="43"/>
      <c r="E614" s="24">
        <f t="shared" si="34"/>
        <v>1789.2</v>
      </c>
    </row>
    <row r="615" spans="1:5" x14ac:dyDescent="0.25">
      <c r="A615" s="50" t="s">
        <v>603</v>
      </c>
      <c r="B615" s="24">
        <v>994</v>
      </c>
      <c r="C615" s="41">
        <f t="shared" si="35"/>
        <v>1.05</v>
      </c>
      <c r="D615" s="43"/>
      <c r="E615" s="24">
        <f t="shared" si="34"/>
        <v>1043.7</v>
      </c>
    </row>
    <row r="616" spans="1:5" x14ac:dyDescent="0.25">
      <c r="A616" s="50" t="s">
        <v>273</v>
      </c>
      <c r="B616" s="24">
        <v>2840</v>
      </c>
      <c r="C616" s="41">
        <f t="shared" si="35"/>
        <v>1.05</v>
      </c>
      <c r="D616" s="43"/>
      <c r="E616" s="24">
        <f t="shared" si="34"/>
        <v>2982</v>
      </c>
    </row>
    <row r="617" spans="1:5" x14ac:dyDescent="0.25">
      <c r="A617" s="50" t="s">
        <v>211</v>
      </c>
      <c r="B617" s="24">
        <v>1420</v>
      </c>
      <c r="C617" s="41">
        <f t="shared" si="35"/>
        <v>1.05</v>
      </c>
      <c r="D617" s="43"/>
      <c r="E617" s="24">
        <f t="shared" si="34"/>
        <v>1491</v>
      </c>
    </row>
    <row r="618" spans="1:5" x14ac:dyDescent="0.25">
      <c r="A618" s="50" t="s">
        <v>604</v>
      </c>
      <c r="B618" s="24">
        <v>568</v>
      </c>
      <c r="C618" s="41">
        <f t="shared" si="35"/>
        <v>1.05</v>
      </c>
      <c r="D618" s="43"/>
      <c r="E618" s="24">
        <f t="shared" si="34"/>
        <v>596.4</v>
      </c>
    </row>
    <row r="619" spans="1:5" x14ac:dyDescent="0.25">
      <c r="A619" s="50" t="s">
        <v>605</v>
      </c>
      <c r="B619" s="24">
        <v>1065</v>
      </c>
      <c r="C619" s="41">
        <f t="shared" si="35"/>
        <v>1.05</v>
      </c>
      <c r="D619" s="43"/>
      <c r="E619" s="24">
        <f t="shared" si="34"/>
        <v>1118.25</v>
      </c>
    </row>
    <row r="620" spans="1:5" x14ac:dyDescent="0.25">
      <c r="A620" s="50" t="s">
        <v>606</v>
      </c>
      <c r="B620" s="24">
        <v>426</v>
      </c>
      <c r="C620" s="41">
        <f t="shared" si="35"/>
        <v>1.05</v>
      </c>
      <c r="D620" s="43"/>
      <c r="E620" s="24">
        <f t="shared" si="34"/>
        <v>447.3</v>
      </c>
    </row>
    <row r="621" spans="1:5" x14ac:dyDescent="0.25">
      <c r="A621" s="50" t="s">
        <v>607</v>
      </c>
      <c r="B621" s="24">
        <v>568</v>
      </c>
      <c r="C621" s="41">
        <f t="shared" si="35"/>
        <v>1.05</v>
      </c>
      <c r="D621" s="43"/>
      <c r="E621" s="24">
        <f t="shared" si="34"/>
        <v>596.4</v>
      </c>
    </row>
    <row r="622" spans="1:5" x14ac:dyDescent="0.25">
      <c r="A622" s="50" t="s">
        <v>608</v>
      </c>
      <c r="B622" s="24">
        <v>1136</v>
      </c>
      <c r="C622" s="41">
        <f t="shared" si="35"/>
        <v>1.05</v>
      </c>
      <c r="D622" s="43"/>
      <c r="E622" s="24">
        <f t="shared" si="34"/>
        <v>1192.8</v>
      </c>
    </row>
    <row r="623" spans="1:5" x14ac:dyDescent="0.25">
      <c r="A623" s="50" t="s">
        <v>68</v>
      </c>
      <c r="B623" s="24">
        <v>426</v>
      </c>
      <c r="C623" s="41">
        <f t="shared" si="35"/>
        <v>1.05</v>
      </c>
      <c r="D623" s="43"/>
      <c r="E623" s="24">
        <f t="shared" si="34"/>
        <v>447.3</v>
      </c>
    </row>
    <row r="624" spans="1:5" x14ac:dyDescent="0.25">
      <c r="A624" s="50" t="s">
        <v>69</v>
      </c>
      <c r="B624" s="24">
        <v>340.79999999999995</v>
      </c>
      <c r="C624" s="41">
        <f t="shared" si="35"/>
        <v>1.05</v>
      </c>
      <c r="D624" s="43"/>
      <c r="E624" s="24">
        <f t="shared" si="34"/>
        <v>357.84</v>
      </c>
    </row>
    <row r="625" spans="1:5" x14ac:dyDescent="0.25">
      <c r="A625" s="50" t="s">
        <v>70</v>
      </c>
      <c r="B625" s="24">
        <v>198.79999999999998</v>
      </c>
      <c r="C625" s="41">
        <f t="shared" si="35"/>
        <v>1.05</v>
      </c>
      <c r="D625" s="43"/>
      <c r="E625" s="24">
        <f t="shared" si="34"/>
        <v>208.73999999999998</v>
      </c>
    </row>
    <row r="626" spans="1:5" x14ac:dyDescent="0.25">
      <c r="A626" s="50" t="s">
        <v>609</v>
      </c>
      <c r="B626" s="24">
        <v>6390</v>
      </c>
      <c r="C626" s="41">
        <f t="shared" si="35"/>
        <v>1.05</v>
      </c>
      <c r="D626" s="43"/>
      <c r="E626" s="24">
        <f t="shared" si="34"/>
        <v>6709.5</v>
      </c>
    </row>
    <row r="627" spans="1:5" x14ac:dyDescent="0.25">
      <c r="A627" s="50" t="s">
        <v>610</v>
      </c>
      <c r="B627" s="24">
        <v>7100</v>
      </c>
      <c r="C627" s="41">
        <f t="shared" si="35"/>
        <v>1.05</v>
      </c>
      <c r="D627" s="43"/>
      <c r="E627" s="24">
        <f t="shared" si="34"/>
        <v>7455</v>
      </c>
    </row>
    <row r="628" spans="1:5" x14ac:dyDescent="0.25">
      <c r="A628" s="50" t="s">
        <v>611</v>
      </c>
      <c r="B628" s="24">
        <v>7810</v>
      </c>
      <c r="C628" s="41">
        <f t="shared" si="35"/>
        <v>1.05</v>
      </c>
      <c r="D628" s="43"/>
      <c r="E628" s="24">
        <f t="shared" si="34"/>
        <v>8200.5</v>
      </c>
    </row>
    <row r="629" spans="1:5" x14ac:dyDescent="0.25">
      <c r="A629" s="50" t="s">
        <v>612</v>
      </c>
      <c r="B629" s="24">
        <v>8520</v>
      </c>
      <c r="C629" s="41">
        <f t="shared" si="35"/>
        <v>1.05</v>
      </c>
      <c r="D629" s="43"/>
      <c r="E629" s="24">
        <f t="shared" si="34"/>
        <v>8946</v>
      </c>
    </row>
    <row r="630" spans="1:5" x14ac:dyDescent="0.25">
      <c r="A630" s="50" t="s">
        <v>613</v>
      </c>
      <c r="B630" s="24">
        <v>8520</v>
      </c>
      <c r="C630" s="41">
        <f t="shared" si="35"/>
        <v>1.05</v>
      </c>
      <c r="D630" s="43"/>
      <c r="E630" s="24">
        <f t="shared" si="34"/>
        <v>8946</v>
      </c>
    </row>
    <row r="631" spans="1:5" x14ac:dyDescent="0.25">
      <c r="A631" s="50" t="s">
        <v>614</v>
      </c>
      <c r="B631" s="24">
        <v>8520</v>
      </c>
      <c r="C631" s="41">
        <f t="shared" si="35"/>
        <v>1.05</v>
      </c>
      <c r="D631" s="43"/>
      <c r="E631" s="24">
        <f t="shared" si="34"/>
        <v>8946</v>
      </c>
    </row>
    <row r="632" spans="1:5" x14ac:dyDescent="0.25">
      <c r="A632" s="50" t="s">
        <v>615</v>
      </c>
      <c r="B632" s="24">
        <v>10224</v>
      </c>
      <c r="C632" s="41">
        <f t="shared" si="35"/>
        <v>1.05</v>
      </c>
      <c r="D632" s="43"/>
      <c r="E632" s="24">
        <f t="shared" si="34"/>
        <v>10735.2</v>
      </c>
    </row>
    <row r="633" spans="1:5" x14ac:dyDescent="0.25">
      <c r="A633" s="50" t="s">
        <v>253</v>
      </c>
      <c r="B633" s="24">
        <v>4970</v>
      </c>
      <c r="C633" s="41">
        <f t="shared" si="35"/>
        <v>1.05</v>
      </c>
      <c r="D633" s="43"/>
      <c r="E633" s="24">
        <f t="shared" si="34"/>
        <v>5218.5</v>
      </c>
    </row>
    <row r="634" spans="1:5" x14ac:dyDescent="0.25">
      <c r="A634" s="50" t="s">
        <v>78</v>
      </c>
      <c r="B634" s="24">
        <v>4970</v>
      </c>
      <c r="C634" s="41">
        <f t="shared" si="35"/>
        <v>1.05</v>
      </c>
      <c r="D634" s="43"/>
      <c r="E634" s="24">
        <f t="shared" si="34"/>
        <v>5218.5</v>
      </c>
    </row>
    <row r="635" spans="1:5" x14ac:dyDescent="0.25">
      <c r="A635" s="50" t="s">
        <v>616</v>
      </c>
      <c r="B635" s="24">
        <v>1902.8</v>
      </c>
      <c r="C635" s="41">
        <f t="shared" si="35"/>
        <v>1.05</v>
      </c>
      <c r="D635" s="43"/>
      <c r="E635" s="24">
        <f t="shared" si="34"/>
        <v>1997.94</v>
      </c>
    </row>
    <row r="636" spans="1:5" x14ac:dyDescent="0.25">
      <c r="A636" s="50" t="s">
        <v>617</v>
      </c>
      <c r="B636" s="24">
        <v>2414</v>
      </c>
      <c r="C636" s="41">
        <f t="shared" si="35"/>
        <v>1.05</v>
      </c>
      <c r="D636" s="43"/>
      <c r="E636" s="24">
        <f t="shared" si="34"/>
        <v>2534.7000000000003</v>
      </c>
    </row>
    <row r="637" spans="1:5" x14ac:dyDescent="0.25">
      <c r="A637" s="50" t="s">
        <v>618</v>
      </c>
      <c r="B637" s="24">
        <v>14910</v>
      </c>
      <c r="C637" s="41">
        <f t="shared" si="35"/>
        <v>1.05</v>
      </c>
      <c r="D637" s="43"/>
      <c r="E637" s="24">
        <f t="shared" si="34"/>
        <v>15655.5</v>
      </c>
    </row>
    <row r="638" spans="1:5" x14ac:dyDescent="0.25">
      <c r="A638" s="50" t="s">
        <v>619</v>
      </c>
      <c r="B638" s="24">
        <v>16898</v>
      </c>
      <c r="C638" s="41">
        <f t="shared" si="35"/>
        <v>1.05</v>
      </c>
      <c r="D638" s="43"/>
      <c r="E638" s="24">
        <f t="shared" si="34"/>
        <v>17742.900000000001</v>
      </c>
    </row>
    <row r="639" spans="1:5" x14ac:dyDescent="0.25">
      <c r="A639" s="50" t="s">
        <v>620</v>
      </c>
      <c r="B639" s="24">
        <v>18744</v>
      </c>
      <c r="C639" s="41">
        <f t="shared" si="35"/>
        <v>1.05</v>
      </c>
      <c r="D639" s="43"/>
      <c r="E639" s="24">
        <f t="shared" si="34"/>
        <v>19681.2</v>
      </c>
    </row>
    <row r="640" spans="1:5" x14ac:dyDescent="0.25">
      <c r="A640" s="50" t="s">
        <v>621</v>
      </c>
      <c r="B640" s="24">
        <v>20448</v>
      </c>
      <c r="C640" s="41">
        <f t="shared" si="35"/>
        <v>1.05</v>
      </c>
      <c r="D640" s="43"/>
      <c r="E640" s="24">
        <f t="shared" ref="E640:E676" si="37">IF(D640=0,B640*C640,B640*D640)</f>
        <v>21470.400000000001</v>
      </c>
    </row>
    <row r="641" spans="1:5" x14ac:dyDescent="0.25">
      <c r="A641" s="50" t="s">
        <v>622</v>
      </c>
      <c r="B641" s="24">
        <v>25560</v>
      </c>
      <c r="C641" s="41">
        <f t="shared" si="35"/>
        <v>1.05</v>
      </c>
      <c r="D641" s="43"/>
      <c r="E641" s="24">
        <f t="shared" si="37"/>
        <v>26838</v>
      </c>
    </row>
    <row r="642" spans="1:5" x14ac:dyDescent="0.25">
      <c r="A642" s="50" t="s">
        <v>623</v>
      </c>
      <c r="B642" s="24">
        <v>28968</v>
      </c>
      <c r="C642" s="41">
        <f t="shared" si="35"/>
        <v>1.05</v>
      </c>
      <c r="D642" s="43"/>
      <c r="E642" s="24">
        <f t="shared" si="37"/>
        <v>30416.400000000001</v>
      </c>
    </row>
    <row r="643" spans="1:5" x14ac:dyDescent="0.25">
      <c r="A643" s="50" t="s">
        <v>624</v>
      </c>
      <c r="B643" s="24">
        <v>34080</v>
      </c>
      <c r="C643" s="41">
        <f t="shared" si="35"/>
        <v>1.05</v>
      </c>
      <c r="D643" s="43"/>
      <c r="E643" s="24">
        <f t="shared" si="37"/>
        <v>35784</v>
      </c>
    </row>
    <row r="644" spans="1:5" x14ac:dyDescent="0.25">
      <c r="A644" s="50" t="s">
        <v>625</v>
      </c>
      <c r="B644" s="24">
        <v>4970</v>
      </c>
      <c r="C644" s="41">
        <f t="shared" si="35"/>
        <v>1.05</v>
      </c>
      <c r="D644" s="43"/>
      <c r="E644" s="24">
        <f t="shared" si="37"/>
        <v>5218.5</v>
      </c>
    </row>
    <row r="645" spans="1:5" x14ac:dyDescent="0.25">
      <c r="A645" s="50" t="s">
        <v>274</v>
      </c>
      <c r="B645" s="24">
        <v>4260</v>
      </c>
      <c r="C645" s="41">
        <f t="shared" ref="C645:C679" si="38">$D$3</f>
        <v>1.05</v>
      </c>
      <c r="D645" s="43"/>
      <c r="E645" s="24">
        <f t="shared" si="37"/>
        <v>4473</v>
      </c>
    </row>
    <row r="646" spans="1:5" x14ac:dyDescent="0.25">
      <c r="A646" s="50" t="s">
        <v>86</v>
      </c>
      <c r="B646" s="24">
        <v>9940</v>
      </c>
      <c r="C646" s="41">
        <f t="shared" si="38"/>
        <v>1.05</v>
      </c>
      <c r="D646" s="43"/>
      <c r="E646" s="24">
        <f t="shared" si="37"/>
        <v>10437</v>
      </c>
    </row>
    <row r="647" spans="1:5" x14ac:dyDescent="0.25">
      <c r="A647" s="50" t="s">
        <v>626</v>
      </c>
      <c r="B647" s="24">
        <v>1704</v>
      </c>
      <c r="C647" s="41">
        <f t="shared" si="38"/>
        <v>1.05</v>
      </c>
      <c r="D647" s="43"/>
      <c r="E647" s="24">
        <f t="shared" si="37"/>
        <v>1789.2</v>
      </c>
    </row>
    <row r="648" spans="1:5" x14ac:dyDescent="0.25">
      <c r="A648" s="50" t="s">
        <v>256</v>
      </c>
      <c r="B648" s="24">
        <v>255.6</v>
      </c>
      <c r="C648" s="41">
        <f t="shared" si="38"/>
        <v>1.05</v>
      </c>
      <c r="D648" s="43"/>
      <c r="E648" s="24">
        <f t="shared" si="37"/>
        <v>268.38</v>
      </c>
    </row>
    <row r="649" spans="1:5" x14ac:dyDescent="0.25">
      <c r="A649" s="50" t="s">
        <v>919</v>
      </c>
      <c r="B649" s="24">
        <v>2698</v>
      </c>
      <c r="C649" s="41">
        <f t="shared" si="38"/>
        <v>1.05</v>
      </c>
      <c r="D649" s="43"/>
      <c r="E649" s="24">
        <f t="shared" si="37"/>
        <v>2832.9</v>
      </c>
    </row>
    <row r="650" spans="1:5" x14ac:dyDescent="0.25">
      <c r="A650" s="50" t="s">
        <v>627</v>
      </c>
      <c r="B650" s="24">
        <v>2044.8</v>
      </c>
      <c r="C650" s="41">
        <f t="shared" si="38"/>
        <v>1.05</v>
      </c>
      <c r="D650" s="43"/>
      <c r="E650" s="24">
        <f t="shared" si="37"/>
        <v>2147.04</v>
      </c>
    </row>
    <row r="651" spans="1:5" x14ac:dyDescent="0.25">
      <c r="A651" s="50" t="s">
        <v>213</v>
      </c>
      <c r="B651" s="24">
        <v>4970</v>
      </c>
      <c r="C651" s="41">
        <f t="shared" si="38"/>
        <v>1.05</v>
      </c>
      <c r="D651" s="43"/>
      <c r="E651" s="24">
        <f t="shared" si="37"/>
        <v>5218.5</v>
      </c>
    </row>
    <row r="652" spans="1:5" x14ac:dyDescent="0.25">
      <c r="A652" s="50" t="s">
        <v>214</v>
      </c>
      <c r="B652" s="24">
        <v>2840</v>
      </c>
      <c r="C652" s="41">
        <f t="shared" si="38"/>
        <v>1.05</v>
      </c>
      <c r="D652" s="43"/>
      <c r="E652" s="24">
        <f t="shared" si="37"/>
        <v>2982</v>
      </c>
    </row>
    <row r="653" spans="1:5" x14ac:dyDescent="0.25">
      <c r="A653" s="50" t="s">
        <v>628</v>
      </c>
      <c r="B653" s="24">
        <v>6390</v>
      </c>
      <c r="C653" s="41">
        <f t="shared" si="38"/>
        <v>1.05</v>
      </c>
      <c r="D653" s="43"/>
      <c r="E653" s="24">
        <f t="shared" si="37"/>
        <v>6709.5</v>
      </c>
    </row>
    <row r="654" spans="1:5" x14ac:dyDescent="0.25">
      <c r="A654" s="50" t="s">
        <v>88</v>
      </c>
      <c r="B654" s="24">
        <v>5680</v>
      </c>
      <c r="C654" s="41">
        <f t="shared" si="38"/>
        <v>1.05</v>
      </c>
      <c r="D654" s="43"/>
      <c r="E654" s="24">
        <f t="shared" si="37"/>
        <v>5964</v>
      </c>
    </row>
    <row r="655" spans="1:5" x14ac:dyDescent="0.25">
      <c r="A655" s="50" t="s">
        <v>89</v>
      </c>
      <c r="B655" s="24">
        <v>5680</v>
      </c>
      <c r="C655" s="41">
        <f t="shared" si="38"/>
        <v>1.05</v>
      </c>
      <c r="D655" s="43"/>
      <c r="E655" s="24">
        <f t="shared" si="37"/>
        <v>5964</v>
      </c>
    </row>
    <row r="656" spans="1:5" x14ac:dyDescent="0.25">
      <c r="A656" s="50" t="s">
        <v>633</v>
      </c>
      <c r="B656" s="24">
        <v>766.8</v>
      </c>
      <c r="C656" s="41">
        <f t="shared" si="38"/>
        <v>1.05</v>
      </c>
      <c r="D656" s="43"/>
      <c r="E656" s="24">
        <f t="shared" si="37"/>
        <v>805.14</v>
      </c>
    </row>
    <row r="657" spans="1:5" x14ac:dyDescent="0.25">
      <c r="A657" s="50" t="s">
        <v>634</v>
      </c>
      <c r="B657" s="24">
        <v>852</v>
      </c>
      <c r="C657" s="41">
        <f t="shared" si="38"/>
        <v>1.05</v>
      </c>
      <c r="D657" s="43"/>
      <c r="E657" s="24">
        <f t="shared" si="37"/>
        <v>894.6</v>
      </c>
    </row>
    <row r="658" spans="1:5" x14ac:dyDescent="0.25">
      <c r="A658" s="50" t="s">
        <v>635</v>
      </c>
      <c r="B658" s="24">
        <v>284</v>
      </c>
      <c r="C658" s="41">
        <f t="shared" si="38"/>
        <v>1.05</v>
      </c>
      <c r="D658" s="43"/>
      <c r="E658" s="24">
        <f t="shared" si="37"/>
        <v>298.2</v>
      </c>
    </row>
    <row r="659" spans="1:5" x14ac:dyDescent="0.25">
      <c r="A659" s="50" t="s">
        <v>93</v>
      </c>
      <c r="B659" s="24">
        <v>198.79999999999998</v>
      </c>
      <c r="C659" s="41">
        <f t="shared" si="38"/>
        <v>1.05</v>
      </c>
      <c r="D659" s="43"/>
      <c r="E659" s="24">
        <f t="shared" si="37"/>
        <v>208.73999999999998</v>
      </c>
    </row>
    <row r="660" spans="1:5" x14ac:dyDescent="0.25">
      <c r="A660" s="50" t="s">
        <v>257</v>
      </c>
      <c r="B660" s="24">
        <v>2414</v>
      </c>
      <c r="C660" s="41">
        <f t="shared" si="38"/>
        <v>1.05</v>
      </c>
      <c r="D660" s="43"/>
      <c r="E660" s="24">
        <f t="shared" si="37"/>
        <v>2534.7000000000003</v>
      </c>
    </row>
    <row r="661" spans="1:5" x14ac:dyDescent="0.25">
      <c r="A661" s="50" t="s">
        <v>258</v>
      </c>
      <c r="B661" s="24">
        <v>4970</v>
      </c>
      <c r="C661" s="41">
        <f t="shared" si="38"/>
        <v>1.05</v>
      </c>
      <c r="D661" s="43"/>
      <c r="E661" s="24">
        <f t="shared" si="37"/>
        <v>5218.5</v>
      </c>
    </row>
    <row r="662" spans="1:5" x14ac:dyDescent="0.25">
      <c r="A662" s="50" t="s">
        <v>636</v>
      </c>
      <c r="B662" s="24">
        <v>4402</v>
      </c>
      <c r="C662" s="41">
        <f t="shared" si="38"/>
        <v>1.05</v>
      </c>
      <c r="D662" s="43"/>
      <c r="E662" s="24">
        <f t="shared" si="37"/>
        <v>4622.1000000000004</v>
      </c>
    </row>
    <row r="663" spans="1:5" x14ac:dyDescent="0.25">
      <c r="A663" s="50" t="s">
        <v>637</v>
      </c>
      <c r="B663" s="24">
        <v>1704</v>
      </c>
      <c r="C663" s="41">
        <f t="shared" si="38"/>
        <v>1.05</v>
      </c>
      <c r="D663" s="43"/>
      <c r="E663" s="24">
        <f t="shared" si="37"/>
        <v>1789.2</v>
      </c>
    </row>
    <row r="664" spans="1:5" x14ac:dyDescent="0.25">
      <c r="A664" s="50" t="s">
        <v>638</v>
      </c>
      <c r="B664" s="24">
        <v>2101.6</v>
      </c>
      <c r="C664" s="41">
        <f t="shared" si="38"/>
        <v>1.05</v>
      </c>
      <c r="D664" s="43"/>
      <c r="E664" s="24">
        <f t="shared" si="37"/>
        <v>2206.6799999999998</v>
      </c>
    </row>
    <row r="665" spans="1:5" x14ac:dyDescent="0.25">
      <c r="A665" s="50" t="s">
        <v>639</v>
      </c>
      <c r="B665" s="24">
        <v>2385.6</v>
      </c>
      <c r="C665" s="41">
        <f t="shared" si="38"/>
        <v>1.05</v>
      </c>
      <c r="D665" s="43"/>
      <c r="E665" s="24">
        <f t="shared" si="37"/>
        <v>2504.88</v>
      </c>
    </row>
    <row r="666" spans="1:5" x14ac:dyDescent="0.25">
      <c r="A666" s="50" t="s">
        <v>640</v>
      </c>
      <c r="B666" s="24">
        <v>2215.1999999999998</v>
      </c>
      <c r="C666" s="41">
        <f t="shared" si="38"/>
        <v>1.05</v>
      </c>
      <c r="D666" s="43"/>
      <c r="E666" s="24">
        <f t="shared" si="37"/>
        <v>2325.96</v>
      </c>
    </row>
    <row r="667" spans="1:5" x14ac:dyDescent="0.25">
      <c r="A667" s="50" t="s">
        <v>98</v>
      </c>
      <c r="B667" s="24">
        <v>4686</v>
      </c>
      <c r="C667" s="41">
        <f t="shared" si="38"/>
        <v>1.05</v>
      </c>
      <c r="D667" s="43"/>
      <c r="E667" s="24">
        <f t="shared" si="37"/>
        <v>4920.3</v>
      </c>
    </row>
    <row r="668" spans="1:5" x14ac:dyDescent="0.25">
      <c r="A668" s="50" t="s">
        <v>99</v>
      </c>
      <c r="B668" s="24">
        <v>5112</v>
      </c>
      <c r="C668" s="41">
        <f t="shared" si="38"/>
        <v>1.05</v>
      </c>
      <c r="D668" s="43"/>
      <c r="E668" s="24">
        <f t="shared" si="37"/>
        <v>5367.6</v>
      </c>
    </row>
    <row r="669" spans="1:5" x14ac:dyDescent="0.25">
      <c r="A669" s="50" t="s">
        <v>100</v>
      </c>
      <c r="B669" s="24">
        <v>2130</v>
      </c>
      <c r="C669" s="41">
        <f t="shared" si="38"/>
        <v>1.05</v>
      </c>
      <c r="D669" s="43"/>
      <c r="E669" s="24">
        <f t="shared" si="37"/>
        <v>2236.5</v>
      </c>
    </row>
    <row r="670" spans="1:5" x14ac:dyDescent="0.25">
      <c r="A670" s="50" t="s">
        <v>641</v>
      </c>
      <c r="B670" s="24">
        <v>3408</v>
      </c>
      <c r="C670" s="41">
        <f t="shared" si="38"/>
        <v>1.05</v>
      </c>
      <c r="D670" s="43"/>
      <c r="E670" s="24">
        <f t="shared" si="37"/>
        <v>3578.4</v>
      </c>
    </row>
    <row r="671" spans="1:5" x14ac:dyDescent="0.25">
      <c r="A671" s="50" t="s">
        <v>920</v>
      </c>
      <c r="B671" s="24">
        <v>2130</v>
      </c>
      <c r="C671" s="41">
        <f t="shared" si="38"/>
        <v>1.05</v>
      </c>
      <c r="D671" s="43"/>
      <c r="E671" s="24">
        <f t="shared" si="37"/>
        <v>2236.5</v>
      </c>
    </row>
    <row r="672" spans="1:5" x14ac:dyDescent="0.25">
      <c r="A672" s="50" t="s">
        <v>642</v>
      </c>
      <c r="B672" s="24">
        <v>3230.5</v>
      </c>
      <c r="C672" s="41">
        <f t="shared" si="38"/>
        <v>1.05</v>
      </c>
      <c r="D672" s="43"/>
      <c r="E672" s="24">
        <f t="shared" si="37"/>
        <v>3392.0250000000001</v>
      </c>
    </row>
    <row r="673" spans="1:5" x14ac:dyDescent="0.25">
      <c r="A673" s="50" t="s">
        <v>643</v>
      </c>
      <c r="B673" s="24">
        <v>1917</v>
      </c>
      <c r="C673" s="41">
        <f t="shared" si="38"/>
        <v>1.05</v>
      </c>
      <c r="D673" s="43"/>
      <c r="E673" s="24">
        <f t="shared" si="37"/>
        <v>2012.8500000000001</v>
      </c>
    </row>
    <row r="674" spans="1:5" x14ac:dyDescent="0.25">
      <c r="A674" s="50" t="s">
        <v>262</v>
      </c>
      <c r="B674" s="24">
        <v>1065</v>
      </c>
      <c r="C674" s="41">
        <f t="shared" si="38"/>
        <v>1.05</v>
      </c>
      <c r="D674" s="43"/>
      <c r="E674" s="24">
        <f t="shared" si="37"/>
        <v>1118.25</v>
      </c>
    </row>
    <row r="675" spans="1:5" x14ac:dyDescent="0.25">
      <c r="A675" s="50" t="s">
        <v>263</v>
      </c>
      <c r="B675" s="24">
        <v>2414</v>
      </c>
      <c r="C675" s="41">
        <f t="shared" si="38"/>
        <v>1.05</v>
      </c>
      <c r="D675" s="43"/>
      <c r="E675" s="24">
        <f t="shared" si="37"/>
        <v>2534.7000000000003</v>
      </c>
    </row>
    <row r="676" spans="1:5" x14ac:dyDescent="0.25">
      <c r="A676" s="50" t="s">
        <v>264</v>
      </c>
      <c r="B676" s="24">
        <v>1107.5999999999999</v>
      </c>
      <c r="C676" s="41">
        <f t="shared" si="38"/>
        <v>1.05</v>
      </c>
      <c r="D676" s="43"/>
      <c r="E676" s="24">
        <f t="shared" si="37"/>
        <v>1162.98</v>
      </c>
    </row>
    <row r="677" spans="1:5" x14ac:dyDescent="0.25">
      <c r="A677" s="50" t="s">
        <v>102</v>
      </c>
      <c r="B677" s="24">
        <v>1107.5999999999999</v>
      </c>
      <c r="C677" s="41">
        <f t="shared" si="38"/>
        <v>1.05</v>
      </c>
      <c r="D677" s="43"/>
      <c r="E677" s="24">
        <f>IF(D677=0,B677*C677,B677*D677)</f>
        <v>1162.98</v>
      </c>
    </row>
    <row r="678" spans="1:5" x14ac:dyDescent="0.25">
      <c r="A678" s="50" t="s">
        <v>644</v>
      </c>
      <c r="B678" s="24">
        <v>568</v>
      </c>
      <c r="C678" s="41">
        <f t="shared" si="38"/>
        <v>1.05</v>
      </c>
      <c r="D678" s="43"/>
      <c r="E678" s="24">
        <f>IF(D678=0,B678*C678,B678*D678)</f>
        <v>596.4</v>
      </c>
    </row>
    <row r="679" spans="1:5" x14ac:dyDescent="0.25">
      <c r="A679" s="50" t="s">
        <v>928</v>
      </c>
      <c r="B679" s="24">
        <v>2130</v>
      </c>
      <c r="C679" s="41">
        <f t="shared" si="38"/>
        <v>1.05</v>
      </c>
      <c r="D679" s="43"/>
      <c r="E679" s="24">
        <f>IF(D679=0,B679*C679,B679*D679)</f>
        <v>2236.5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D3" name="Диапазон1"/>
    <protectedRange sqref="D3 D532:D534 D527:D530 D576:D679 D5:D525" name="Диапазон2"/>
  </protectedRanges>
  <mergeCells count="1">
    <mergeCell ref="A3:C3"/>
  </mergeCells>
  <conditionalFormatting sqref="D532:D534 D527:D530 D247:D279 D282 D376:D405 D408:D525 D301:D373 D576:D677 D5:D245 D284:D298">
    <cfRule type="expression" dxfId="117" priority="43">
      <formula>$D5&lt;&gt;0</formula>
    </cfRule>
  </conditionalFormatting>
  <conditionalFormatting sqref="C5:C679">
    <cfRule type="expression" dxfId="116" priority="45">
      <formula>$D5=0</formula>
    </cfRule>
  </conditionalFormatting>
  <conditionalFormatting sqref="D678">
    <cfRule type="expression" dxfId="115" priority="28">
      <formula>$D678&lt;&gt;0</formula>
    </cfRule>
  </conditionalFormatting>
  <conditionalFormatting sqref="D679">
    <cfRule type="expression" dxfId="114" priority="26">
      <formula>$D679&lt;&gt;0</formula>
    </cfRule>
  </conditionalFormatting>
  <conditionalFormatting sqref="D246">
    <cfRule type="expression" dxfId="113" priority="24">
      <formula>$D246&lt;&gt;0</formula>
    </cfRule>
  </conditionalFormatting>
  <conditionalFormatting sqref="D280">
    <cfRule type="expression" dxfId="112" priority="22">
      <formula>$D280&lt;&gt;0</formula>
    </cfRule>
  </conditionalFormatting>
  <conditionalFormatting sqref="D281">
    <cfRule type="expression" dxfId="111" priority="20">
      <formula>$D281&lt;&gt;0</formula>
    </cfRule>
  </conditionalFormatting>
  <conditionalFormatting sqref="D283">
    <cfRule type="expression" dxfId="110" priority="18">
      <formula>$D283&lt;&gt;0</formula>
    </cfRule>
  </conditionalFormatting>
  <conditionalFormatting sqref="D299">
    <cfRule type="expression" dxfId="109" priority="16">
      <formula>$D299&lt;&gt;0</formula>
    </cfRule>
  </conditionalFormatting>
  <conditionalFormatting sqref="D300">
    <cfRule type="expression" dxfId="108" priority="14">
      <formula>$D300&lt;&gt;0</formula>
    </cfRule>
  </conditionalFormatting>
  <conditionalFormatting sqref="D374:D375">
    <cfRule type="expression" dxfId="107" priority="12">
      <formula>$D374&lt;&gt;0</formula>
    </cfRule>
  </conditionalFormatting>
  <conditionalFormatting sqref="D406:D407">
    <cfRule type="expression" dxfId="106" priority="10">
      <formula>$D406&lt;&gt;0</formula>
    </cfRule>
  </conditionalFormatting>
  <conditionalFormatting sqref="A151:A157">
    <cfRule type="expression" dxfId="105" priority="3">
      <formula>$B151=0</formula>
    </cfRule>
  </conditionalFormatting>
  <conditionalFormatting sqref="A204:A206">
    <cfRule type="expression" dxfId="104" priority="2">
      <formula>$B204=0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11111111">
    <tabColor rgb="FF00B050"/>
  </sheetPr>
  <dimension ref="A1:C684"/>
  <sheetViews>
    <sheetView tabSelected="1" topLeftCell="A153" zoomScale="110" zoomScaleNormal="110" workbookViewId="0">
      <selection activeCell="A153" sqref="A153"/>
    </sheetView>
  </sheetViews>
  <sheetFormatPr defaultColWidth="8.77734375" defaultRowHeight="13.2" x14ac:dyDescent="0.25"/>
  <cols>
    <col min="1" max="1" width="51.33203125" style="170" customWidth="1"/>
    <col min="2" max="2" width="6.33203125" style="2" customWidth="1"/>
    <col min="3" max="3" width="6.44140625" style="169" customWidth="1"/>
    <col min="5" max="5" width="12" customWidth="1"/>
  </cols>
  <sheetData>
    <row r="1" spans="1:3" ht="21" customHeight="1" x14ac:dyDescent="0.25">
      <c r="A1" s="214" t="s">
        <v>1174</v>
      </c>
      <c r="B1" s="215"/>
      <c r="C1" s="216"/>
    </row>
    <row r="2" spans="1:3" ht="21" customHeight="1" x14ac:dyDescent="0.25">
      <c r="A2" s="276"/>
      <c r="B2" s="277"/>
      <c r="C2" s="278"/>
    </row>
    <row r="3" spans="1:3" ht="21" customHeight="1" thickBot="1" x14ac:dyDescent="0.3">
      <c r="A3" s="279"/>
      <c r="B3" s="280"/>
      <c r="C3" s="281"/>
    </row>
    <row r="4" spans="1:3" ht="27.6" customHeight="1" x14ac:dyDescent="0.25">
      <c r="A4" s="282" t="s">
        <v>272</v>
      </c>
      <c r="B4" s="283"/>
      <c r="C4" s="284"/>
    </row>
    <row r="5" spans="1:3" ht="16.2" x14ac:dyDescent="0.25">
      <c r="A5" s="273" t="s">
        <v>1171</v>
      </c>
      <c r="B5" s="274"/>
      <c r="C5" s="275"/>
    </row>
    <row r="6" spans="1:3" x14ac:dyDescent="0.25">
      <c r="A6" s="87" t="s">
        <v>728</v>
      </c>
      <c r="B6" s="167" t="s">
        <v>729</v>
      </c>
      <c r="C6" s="165"/>
    </row>
    <row r="7" spans="1:3" x14ac:dyDescent="0.25">
      <c r="A7" s="217" t="s">
        <v>168</v>
      </c>
      <c r="B7" s="218"/>
      <c r="C7" s="219"/>
    </row>
    <row r="8" spans="1:3" x14ac:dyDescent="0.25">
      <c r="A8" s="88" t="s">
        <v>305</v>
      </c>
      <c r="B8" s="168">
        <f>'Прайс для расчета'!E5</f>
        <v>89.25</v>
      </c>
      <c r="C8" s="109" t="s">
        <v>3</v>
      </c>
    </row>
    <row r="9" spans="1:3" x14ac:dyDescent="0.25">
      <c r="A9" s="89" t="s">
        <v>889</v>
      </c>
      <c r="B9" s="168">
        <f>'Прайс для расчета'!E6</f>
        <v>157.5</v>
      </c>
      <c r="C9" s="109" t="s">
        <v>2</v>
      </c>
    </row>
    <row r="10" spans="1:3" x14ac:dyDescent="0.25">
      <c r="A10" s="88" t="s">
        <v>307</v>
      </c>
      <c r="B10" s="168">
        <f>'Прайс для расчета'!E7</f>
        <v>292.23599999999999</v>
      </c>
      <c r="C10" s="109" t="s">
        <v>2</v>
      </c>
    </row>
    <row r="11" spans="1:3" x14ac:dyDescent="0.25">
      <c r="A11" s="88" t="s">
        <v>308</v>
      </c>
      <c r="B11" s="168">
        <f>'Прайс для расчета'!E8</f>
        <v>367.5</v>
      </c>
      <c r="C11" s="109" t="s">
        <v>2</v>
      </c>
    </row>
    <row r="12" spans="1:3" x14ac:dyDescent="0.25">
      <c r="A12" s="90" t="s">
        <v>309</v>
      </c>
      <c r="B12" s="168">
        <f>'Прайс для расчета'!E9</f>
        <v>120.771</v>
      </c>
      <c r="C12" s="109" t="s">
        <v>2</v>
      </c>
    </row>
    <row r="13" spans="1:3" x14ac:dyDescent="0.25">
      <c r="A13" s="88" t="s">
        <v>310</v>
      </c>
      <c r="B13" s="168">
        <f>'Прайс для расчета'!E10</f>
        <v>102.87899999999999</v>
      </c>
      <c r="C13" s="109" t="s">
        <v>2</v>
      </c>
    </row>
    <row r="14" spans="1:3" ht="105.6" x14ac:dyDescent="0.25">
      <c r="A14" s="90" t="s">
        <v>1080</v>
      </c>
      <c r="B14" s="168">
        <f>'Прайс для расчета'!E11</f>
        <v>1837.5</v>
      </c>
      <c r="C14" s="109" t="s">
        <v>2</v>
      </c>
    </row>
    <row r="15" spans="1:3" ht="92.4" x14ac:dyDescent="0.25">
      <c r="A15" s="90" t="s">
        <v>1079</v>
      </c>
      <c r="B15" s="168">
        <f>'Прайс для расчета'!E12</f>
        <v>2677.5</v>
      </c>
      <c r="C15" s="109" t="s">
        <v>2</v>
      </c>
    </row>
    <row r="16" spans="1:3" x14ac:dyDescent="0.25">
      <c r="A16" s="88" t="s">
        <v>59</v>
      </c>
      <c r="B16" s="168">
        <f>'Прайс для расчета'!E13</f>
        <v>367.5</v>
      </c>
      <c r="C16" s="109" t="s">
        <v>2</v>
      </c>
    </row>
    <row r="17" spans="1:3" x14ac:dyDescent="0.25">
      <c r="A17" s="88" t="s">
        <v>311</v>
      </c>
      <c r="B17" s="168">
        <f>'Прайс для расчета'!E14</f>
        <v>315</v>
      </c>
      <c r="C17" s="109" t="s">
        <v>2</v>
      </c>
    </row>
    <row r="18" spans="1:3" x14ac:dyDescent="0.25">
      <c r="A18" s="88" t="s">
        <v>312</v>
      </c>
      <c r="B18" s="168">
        <f>'Прайс для расчета'!E15</f>
        <v>162.75</v>
      </c>
      <c r="C18" s="109" t="s">
        <v>2</v>
      </c>
    </row>
    <row r="19" spans="1:3" x14ac:dyDescent="0.25">
      <c r="A19" s="88" t="s">
        <v>313</v>
      </c>
      <c r="B19" s="168">
        <f>'Прайс для расчета'!E16</f>
        <v>162.75</v>
      </c>
      <c r="C19" s="109" t="s">
        <v>2</v>
      </c>
    </row>
    <row r="20" spans="1:3" x14ac:dyDescent="0.25">
      <c r="A20" s="88" t="s">
        <v>314</v>
      </c>
      <c r="B20" s="168">
        <f>'Прайс для расчета'!E17</f>
        <v>335.47500000000002</v>
      </c>
      <c r="C20" s="109" t="s">
        <v>2</v>
      </c>
    </row>
    <row r="21" spans="1:3" x14ac:dyDescent="0.25">
      <c r="A21" s="88" t="s">
        <v>658</v>
      </c>
      <c r="B21" s="168">
        <f>'Прайс для расчета'!E18</f>
        <v>73.5</v>
      </c>
      <c r="C21" s="109" t="s">
        <v>2</v>
      </c>
    </row>
    <row r="22" spans="1:3" x14ac:dyDescent="0.25">
      <c r="A22" s="88" t="s">
        <v>315</v>
      </c>
      <c r="B22" s="168">
        <f>'Прайс для расчета'!E19</f>
        <v>420.46199999999999</v>
      </c>
      <c r="C22" s="109" t="s">
        <v>2</v>
      </c>
    </row>
    <row r="23" spans="1:3" x14ac:dyDescent="0.25">
      <c r="A23" s="88" t="s">
        <v>316</v>
      </c>
      <c r="B23" s="168">
        <f>'Прайс для расчета'!E20</f>
        <v>577.5</v>
      </c>
      <c r="C23" s="109" t="s">
        <v>2</v>
      </c>
    </row>
    <row r="24" spans="1:3" x14ac:dyDescent="0.25">
      <c r="A24" s="88" t="s">
        <v>317</v>
      </c>
      <c r="B24" s="168">
        <f>'Прайс для расчета'!E21</f>
        <v>262.5</v>
      </c>
      <c r="C24" s="109" t="s">
        <v>2</v>
      </c>
    </row>
    <row r="25" spans="1:3" x14ac:dyDescent="0.25">
      <c r="A25" s="88" t="s">
        <v>318</v>
      </c>
      <c r="B25" s="168">
        <f>'Прайс для расчета'!E22</f>
        <v>644.11199999999997</v>
      </c>
      <c r="C25" s="109" t="s">
        <v>3</v>
      </c>
    </row>
    <row r="26" spans="1:3" x14ac:dyDescent="0.25">
      <c r="A26" s="88" t="s">
        <v>319</v>
      </c>
      <c r="B26" s="168">
        <f>'Прайс для расчета'!E23</f>
        <v>111.825</v>
      </c>
      <c r="C26" s="109" t="s">
        <v>3</v>
      </c>
    </row>
    <row r="27" spans="1:3" x14ac:dyDescent="0.25">
      <c r="A27" s="88" t="s">
        <v>320</v>
      </c>
      <c r="B27" s="168">
        <f>'Прайс для расчета'!E24</f>
        <v>523.34100000000001</v>
      </c>
      <c r="C27" s="109" t="s">
        <v>3</v>
      </c>
    </row>
    <row r="28" spans="1:3" x14ac:dyDescent="0.25">
      <c r="A28" s="88" t="s">
        <v>219</v>
      </c>
      <c r="B28" s="168">
        <f>'Прайс для расчета'!E25</f>
        <v>335.47500000000002</v>
      </c>
      <c r="C28" s="109" t="s">
        <v>2</v>
      </c>
    </row>
    <row r="29" spans="1:3" x14ac:dyDescent="0.25">
      <c r="A29" s="89" t="s">
        <v>564</v>
      </c>
      <c r="B29" s="168">
        <f>'Прайс для расчета'!E26</f>
        <v>1786.2179999999998</v>
      </c>
      <c r="C29" s="109" t="s">
        <v>3</v>
      </c>
    </row>
    <row r="30" spans="1:3" x14ac:dyDescent="0.25">
      <c r="A30" s="88" t="s">
        <v>565</v>
      </c>
      <c r="B30" s="168">
        <f>'Прайс для расчета'!E27</f>
        <v>4045.0829999999996</v>
      </c>
      <c r="C30" s="109" t="s">
        <v>3</v>
      </c>
    </row>
    <row r="31" spans="1:3" x14ac:dyDescent="0.25">
      <c r="A31" s="88" t="s">
        <v>706</v>
      </c>
      <c r="B31" s="168">
        <f>'Прайс для расчета'!E28</f>
        <v>1186.836</v>
      </c>
      <c r="C31" s="109" t="s">
        <v>0</v>
      </c>
    </row>
    <row r="32" spans="1:3" x14ac:dyDescent="0.25">
      <c r="A32" s="88" t="s">
        <v>321</v>
      </c>
      <c r="B32" s="168">
        <f>'Прайс для расчета'!E29</f>
        <v>68.585999999999999</v>
      </c>
      <c r="C32" s="109" t="s">
        <v>3</v>
      </c>
    </row>
    <row r="33" spans="1:3" x14ac:dyDescent="0.25">
      <c r="A33" s="88" t="s">
        <v>322</v>
      </c>
      <c r="B33" s="168">
        <f>'Прайс для расчета'!E30</f>
        <v>231</v>
      </c>
      <c r="C33" s="109" t="s">
        <v>0</v>
      </c>
    </row>
    <row r="34" spans="1:3" x14ac:dyDescent="0.25">
      <c r="A34" s="88" t="s">
        <v>220</v>
      </c>
      <c r="B34" s="168">
        <f>'Прайс для расчета'!E31</f>
        <v>210</v>
      </c>
      <c r="C34" s="109" t="s">
        <v>2</v>
      </c>
    </row>
    <row r="35" spans="1:3" x14ac:dyDescent="0.25">
      <c r="A35" s="88" t="s">
        <v>323</v>
      </c>
      <c r="B35" s="168">
        <f>'Прайс для расчета'!E32</f>
        <v>205.75799999999998</v>
      </c>
      <c r="C35" s="109" t="s">
        <v>2</v>
      </c>
    </row>
    <row r="36" spans="1:3" x14ac:dyDescent="0.25">
      <c r="A36" s="88" t="s">
        <v>154</v>
      </c>
      <c r="B36" s="168">
        <f>'Прайс для расчета'!E33</f>
        <v>205.75799999999998</v>
      </c>
      <c r="C36" s="109" t="s">
        <v>2</v>
      </c>
    </row>
    <row r="37" spans="1:3" x14ac:dyDescent="0.25">
      <c r="A37" s="88" t="s">
        <v>324</v>
      </c>
      <c r="B37" s="168">
        <f>'Прайс для расчета'!E34</f>
        <v>506.94</v>
      </c>
      <c r="C37" s="109" t="s">
        <v>2</v>
      </c>
    </row>
    <row r="38" spans="1:3" x14ac:dyDescent="0.25">
      <c r="A38" s="88" t="s">
        <v>325</v>
      </c>
      <c r="B38" s="168">
        <f>'Прайс для расчета'!E35</f>
        <v>205.75799999999998</v>
      </c>
      <c r="C38" s="109" t="s">
        <v>2</v>
      </c>
    </row>
    <row r="39" spans="1:3" x14ac:dyDescent="0.25">
      <c r="A39" s="88" t="s">
        <v>155</v>
      </c>
      <c r="B39" s="168">
        <f>'Прайс для расчета'!E36</f>
        <v>205.75799999999998</v>
      </c>
      <c r="C39" s="109" t="s">
        <v>2</v>
      </c>
    </row>
    <row r="40" spans="1:3" x14ac:dyDescent="0.25">
      <c r="A40" s="88" t="s">
        <v>659</v>
      </c>
      <c r="B40" s="168">
        <f>'Прайс для расчета'!E37</f>
        <v>204.75</v>
      </c>
      <c r="C40" s="109" t="s">
        <v>2</v>
      </c>
    </row>
    <row r="41" spans="1:3" x14ac:dyDescent="0.25">
      <c r="A41" s="88" t="s">
        <v>660</v>
      </c>
      <c r="B41" s="168">
        <f>'Прайс для расчета'!E38</f>
        <v>292.23599999999999</v>
      </c>
      <c r="C41" s="109" t="s">
        <v>3</v>
      </c>
    </row>
    <row r="42" spans="1:3" x14ac:dyDescent="0.25">
      <c r="A42" s="88" t="s">
        <v>326</v>
      </c>
      <c r="B42" s="168">
        <f>'Прайс для расчета'!E39</f>
        <v>164.01</v>
      </c>
      <c r="C42" s="109" t="s">
        <v>2</v>
      </c>
    </row>
    <row r="43" spans="1:3" x14ac:dyDescent="0.25">
      <c r="A43" s="88" t="s">
        <v>327</v>
      </c>
      <c r="B43" s="168">
        <f>'Прайс для расчета'!E40</f>
        <v>335.47500000000002</v>
      </c>
      <c r="C43" s="109" t="s">
        <v>0</v>
      </c>
    </row>
    <row r="44" spans="1:3" x14ac:dyDescent="0.25">
      <c r="A44" s="88" t="s">
        <v>328</v>
      </c>
      <c r="B44" s="168">
        <f>'Прайс для расчета'!E41</f>
        <v>315</v>
      </c>
      <c r="C44" s="109" t="s">
        <v>2</v>
      </c>
    </row>
    <row r="45" spans="1:3" x14ac:dyDescent="0.25">
      <c r="A45" s="88" t="s">
        <v>329</v>
      </c>
      <c r="B45" s="168">
        <f>'Прайс для расчета'!E42</f>
        <v>292.23599999999999</v>
      </c>
      <c r="C45" s="109" t="s">
        <v>2</v>
      </c>
    </row>
    <row r="46" spans="1:3" x14ac:dyDescent="0.25">
      <c r="A46" s="88" t="s">
        <v>222</v>
      </c>
      <c r="B46" s="168">
        <f>'Прайс для расчета'!E43</f>
        <v>335.47500000000002</v>
      </c>
      <c r="C46" s="109" t="s">
        <v>2</v>
      </c>
    </row>
    <row r="47" spans="1:3" x14ac:dyDescent="0.25">
      <c r="A47" s="88" t="s">
        <v>330</v>
      </c>
      <c r="B47" s="168">
        <f>'Прайс для расчета'!E44</f>
        <v>335.47500000000002</v>
      </c>
      <c r="C47" s="109" t="s">
        <v>2</v>
      </c>
    </row>
    <row r="48" spans="1:3" x14ac:dyDescent="0.25">
      <c r="A48" s="88" t="s">
        <v>475</v>
      </c>
      <c r="B48" s="168">
        <f>'Прайс для расчета'!E45</f>
        <v>102.87899999999999</v>
      </c>
      <c r="C48" s="109" t="s">
        <v>2</v>
      </c>
    </row>
    <row r="49" spans="1:3" x14ac:dyDescent="0.25">
      <c r="A49" s="88" t="s">
        <v>476</v>
      </c>
      <c r="B49" s="168">
        <f>'Прайс для расчета'!E46</f>
        <v>164.01</v>
      </c>
      <c r="C49" s="109" t="s">
        <v>2</v>
      </c>
    </row>
    <row r="50" spans="1:3" x14ac:dyDescent="0.25">
      <c r="A50" s="88" t="s">
        <v>477</v>
      </c>
      <c r="B50" s="168">
        <f>'Прайс для расчета'!E47</f>
        <v>849.87</v>
      </c>
      <c r="C50" s="109" t="s">
        <v>2</v>
      </c>
    </row>
    <row r="51" spans="1:3" x14ac:dyDescent="0.25">
      <c r="A51" s="88" t="s">
        <v>478</v>
      </c>
      <c r="B51" s="168">
        <f>'Прайс для расчета'!E48</f>
        <v>1021.3349999999999</v>
      </c>
      <c r="C51" s="109" t="s">
        <v>2</v>
      </c>
    </row>
    <row r="52" spans="1:3" x14ac:dyDescent="0.25">
      <c r="A52" s="88" t="s">
        <v>479</v>
      </c>
      <c r="B52" s="168">
        <f>'Прайс для расчета'!E49</f>
        <v>1192.8</v>
      </c>
      <c r="C52" s="109" t="s">
        <v>2</v>
      </c>
    </row>
    <row r="53" spans="1:3" x14ac:dyDescent="0.25">
      <c r="A53" s="88" t="s">
        <v>480</v>
      </c>
      <c r="B53" s="168">
        <f>'Прайс для расчета'!E50</f>
        <v>1364.2650000000001</v>
      </c>
      <c r="C53" s="109" t="s">
        <v>2</v>
      </c>
    </row>
    <row r="54" spans="1:3" x14ac:dyDescent="0.25">
      <c r="A54" s="88" t="s">
        <v>331</v>
      </c>
      <c r="B54" s="168">
        <f>'Прайс для расчета'!E51</f>
        <v>849.87</v>
      </c>
      <c r="C54" s="109" t="s">
        <v>2</v>
      </c>
    </row>
    <row r="55" spans="1:3" x14ac:dyDescent="0.25">
      <c r="A55" s="88" t="s">
        <v>332</v>
      </c>
      <c r="B55" s="168">
        <f>'Прайс для расчета'!E52</f>
        <v>506.94</v>
      </c>
      <c r="C55" s="109" t="s">
        <v>2</v>
      </c>
    </row>
    <row r="56" spans="1:3" x14ac:dyDescent="0.25">
      <c r="A56" s="88" t="s">
        <v>333</v>
      </c>
      <c r="B56" s="168">
        <f>'Прайс для расчета'!E53</f>
        <v>5093.2559999999994</v>
      </c>
      <c r="C56" s="109" t="s">
        <v>2</v>
      </c>
    </row>
    <row r="57" spans="1:3" x14ac:dyDescent="0.25">
      <c r="A57" s="88" t="s">
        <v>45</v>
      </c>
      <c r="B57" s="168">
        <f>'Прайс для расчета'!E54</f>
        <v>335.47500000000002</v>
      </c>
      <c r="C57" s="109" t="s">
        <v>2</v>
      </c>
    </row>
    <row r="58" spans="1:3" x14ac:dyDescent="0.25">
      <c r="A58" s="88" t="s">
        <v>46</v>
      </c>
      <c r="B58" s="168">
        <f>'Прайс для расчета'!E55</f>
        <v>137.172</v>
      </c>
      <c r="C58" s="109" t="s">
        <v>3</v>
      </c>
    </row>
    <row r="59" spans="1:3" x14ac:dyDescent="0.25">
      <c r="A59" s="88" t="s">
        <v>60</v>
      </c>
      <c r="B59" s="168">
        <f>'Прайс для расчета'!E56</f>
        <v>205.75799999999998</v>
      </c>
      <c r="C59" s="109" t="s">
        <v>3</v>
      </c>
    </row>
    <row r="60" spans="1:3" x14ac:dyDescent="0.25">
      <c r="A60" s="88" t="s">
        <v>47</v>
      </c>
      <c r="B60" s="168">
        <f>'Прайс для расчета'!E57</f>
        <v>137.172</v>
      </c>
      <c r="C60" s="109" t="s">
        <v>3</v>
      </c>
    </row>
    <row r="61" spans="1:3" x14ac:dyDescent="0.25">
      <c r="A61" s="88" t="s">
        <v>48</v>
      </c>
      <c r="B61" s="168">
        <f>'Прайс для расчета'!E58</f>
        <v>205.75799999999998</v>
      </c>
      <c r="C61" s="109" t="s">
        <v>3</v>
      </c>
    </row>
    <row r="62" spans="1:3" x14ac:dyDescent="0.25">
      <c r="A62" s="88" t="s">
        <v>49</v>
      </c>
      <c r="B62" s="168">
        <f>'Прайс для расчета'!E59</f>
        <v>43.239000000000004</v>
      </c>
      <c r="C62" s="109" t="s">
        <v>3</v>
      </c>
    </row>
    <row r="63" spans="1:3" x14ac:dyDescent="0.25">
      <c r="A63" s="88" t="s">
        <v>50</v>
      </c>
      <c r="B63" s="168">
        <f>'Прайс для расчета'!E60</f>
        <v>86.478000000000009</v>
      </c>
      <c r="C63" s="109" t="s">
        <v>3</v>
      </c>
    </row>
    <row r="64" spans="1:3" x14ac:dyDescent="0.25">
      <c r="A64" s="88" t="s">
        <v>51</v>
      </c>
      <c r="B64" s="168">
        <f>'Прайс для расчета'!E61</f>
        <v>43.239000000000004</v>
      </c>
      <c r="C64" s="109" t="s">
        <v>3</v>
      </c>
    </row>
    <row r="65" spans="1:3" x14ac:dyDescent="0.25">
      <c r="A65" s="88" t="s">
        <v>334</v>
      </c>
      <c r="B65" s="168">
        <f>'Прайс для расчета'!E62</f>
        <v>110.25</v>
      </c>
      <c r="C65" s="109" t="s">
        <v>3</v>
      </c>
    </row>
    <row r="66" spans="1:3" x14ac:dyDescent="0.25">
      <c r="A66" s="88" t="s">
        <v>335</v>
      </c>
      <c r="B66" s="168">
        <f>'Прайс для расчета'!E63</f>
        <v>248.99699999999999</v>
      </c>
      <c r="C66" s="109" t="s">
        <v>2</v>
      </c>
    </row>
    <row r="67" spans="1:3" x14ac:dyDescent="0.25">
      <c r="A67" s="88" t="s">
        <v>336</v>
      </c>
      <c r="B67" s="168">
        <f>'Прайс для расчета'!E64</f>
        <v>205.75799999999998</v>
      </c>
      <c r="C67" s="109" t="s">
        <v>2</v>
      </c>
    </row>
    <row r="68" spans="1:3" x14ac:dyDescent="0.25">
      <c r="A68" s="88" t="s">
        <v>481</v>
      </c>
      <c r="B68" s="168">
        <f>'Прайс для расчета'!E65</f>
        <v>155.06400000000002</v>
      </c>
      <c r="C68" s="109" t="s">
        <v>2</v>
      </c>
    </row>
    <row r="69" spans="1:3" x14ac:dyDescent="0.25">
      <c r="A69" s="88" t="s">
        <v>482</v>
      </c>
      <c r="B69" s="168">
        <f>'Прайс для расчета'!E66</f>
        <v>137.172</v>
      </c>
      <c r="C69" s="109" t="s">
        <v>2</v>
      </c>
    </row>
    <row r="70" spans="1:3" ht="26.4" x14ac:dyDescent="0.25">
      <c r="A70" s="88" t="s">
        <v>483</v>
      </c>
      <c r="B70" s="168">
        <f>'Прайс для расчета'!E67</f>
        <v>86.478000000000009</v>
      </c>
      <c r="C70" s="109" t="s">
        <v>2</v>
      </c>
    </row>
    <row r="71" spans="1:3" x14ac:dyDescent="0.25">
      <c r="A71" s="88" t="s">
        <v>484</v>
      </c>
      <c r="B71" s="168">
        <f>'Прайс для расчета'!E68</f>
        <v>102.87899999999999</v>
      </c>
      <c r="C71" s="109" t="s">
        <v>2</v>
      </c>
    </row>
    <row r="72" spans="1:3" x14ac:dyDescent="0.25">
      <c r="A72" s="88" t="s">
        <v>337</v>
      </c>
      <c r="B72" s="168">
        <f>'Прайс для расчета'!E69</f>
        <v>164.01</v>
      </c>
      <c r="C72" s="109" t="s">
        <v>0</v>
      </c>
    </row>
    <row r="73" spans="1:3" x14ac:dyDescent="0.25">
      <c r="A73" s="88" t="s">
        <v>661</v>
      </c>
      <c r="B73" s="168">
        <f>'Прайс для расчета'!E70</f>
        <v>377.22300000000001</v>
      </c>
      <c r="C73" s="109" t="s">
        <v>2</v>
      </c>
    </row>
    <row r="74" spans="1:3" x14ac:dyDescent="0.25">
      <c r="A74" s="88" t="s">
        <v>338</v>
      </c>
      <c r="B74" s="168">
        <f>'Прайс для расчета'!E71</f>
        <v>274.34399999999999</v>
      </c>
      <c r="C74" s="109" t="s">
        <v>3</v>
      </c>
    </row>
    <row r="75" spans="1:3" x14ac:dyDescent="0.25">
      <c r="A75" s="88" t="s">
        <v>138</v>
      </c>
      <c r="B75" s="168">
        <f>'Прайс для расчета'!E72</f>
        <v>204.75</v>
      </c>
      <c r="C75" s="109" t="s">
        <v>3</v>
      </c>
    </row>
    <row r="76" spans="1:3" x14ac:dyDescent="0.25">
      <c r="A76" s="88" t="s">
        <v>339</v>
      </c>
      <c r="B76" s="168">
        <f>'Прайс для расчета'!E73</f>
        <v>274.34399999999999</v>
      </c>
      <c r="C76" s="109" t="s">
        <v>2</v>
      </c>
    </row>
    <row r="77" spans="1:3" x14ac:dyDescent="0.25">
      <c r="A77" s="88" t="s">
        <v>156</v>
      </c>
      <c r="B77" s="168">
        <f>'Прайс для расчета'!E74</f>
        <v>223.65</v>
      </c>
      <c r="C77" s="109" t="s">
        <v>2</v>
      </c>
    </row>
    <row r="78" spans="1:3" x14ac:dyDescent="0.25">
      <c r="A78" s="88" t="s">
        <v>340</v>
      </c>
      <c r="B78" s="168">
        <f>'Прайс для расчета'!E75</f>
        <v>506.94</v>
      </c>
      <c r="C78" s="109" t="s">
        <v>2</v>
      </c>
    </row>
    <row r="79" spans="1:3" x14ac:dyDescent="0.25">
      <c r="A79" s="88" t="s">
        <v>54</v>
      </c>
      <c r="B79" s="168">
        <f>'Прайс для расчета'!E76</f>
        <v>591.92700000000002</v>
      </c>
      <c r="C79" s="109" t="s">
        <v>2</v>
      </c>
    </row>
    <row r="80" spans="1:3" x14ac:dyDescent="0.25">
      <c r="A80" s="88" t="s">
        <v>221</v>
      </c>
      <c r="B80" s="168">
        <f>'Прайс для расчета'!E77</f>
        <v>210</v>
      </c>
      <c r="C80" s="109" t="s">
        <v>2</v>
      </c>
    </row>
    <row r="81" spans="1:3" x14ac:dyDescent="0.25">
      <c r="A81" s="88" t="s">
        <v>157</v>
      </c>
      <c r="B81" s="168">
        <f>'Прайс для расчета'!E78</f>
        <v>240.05099999999999</v>
      </c>
      <c r="C81" s="109" t="s">
        <v>2</v>
      </c>
    </row>
    <row r="82" spans="1:3" x14ac:dyDescent="0.25">
      <c r="A82" s="88" t="s">
        <v>662</v>
      </c>
      <c r="B82" s="168">
        <f>'Прайс для расчета'!E79</f>
        <v>86.478000000000009</v>
      </c>
      <c r="C82" s="109" t="s">
        <v>3</v>
      </c>
    </row>
    <row r="83" spans="1:3" x14ac:dyDescent="0.25">
      <c r="A83" s="88" t="s">
        <v>485</v>
      </c>
      <c r="B83" s="168">
        <f>'Прайс для расчета'!E80</f>
        <v>420.46199999999999</v>
      </c>
      <c r="C83" s="109" t="s">
        <v>2</v>
      </c>
    </row>
    <row r="84" spans="1:3" x14ac:dyDescent="0.25">
      <c r="A84" s="88" t="s">
        <v>486</v>
      </c>
      <c r="B84" s="168">
        <f>'Прайс для расчета'!E81</f>
        <v>591.92700000000002</v>
      </c>
      <c r="C84" s="109" t="s">
        <v>2</v>
      </c>
    </row>
    <row r="85" spans="1:3" x14ac:dyDescent="0.25">
      <c r="A85" s="88" t="s">
        <v>341</v>
      </c>
      <c r="B85" s="168">
        <f>'Прайс для расчета'!E82</f>
        <v>335.47500000000002</v>
      </c>
      <c r="C85" s="109" t="s">
        <v>0</v>
      </c>
    </row>
    <row r="86" spans="1:3" x14ac:dyDescent="0.25">
      <c r="A86" s="88" t="s">
        <v>61</v>
      </c>
      <c r="B86" s="168">
        <f>'Прайс для расчета'!E83</f>
        <v>102.87899999999999</v>
      </c>
      <c r="C86" s="109" t="s">
        <v>3</v>
      </c>
    </row>
    <row r="87" spans="1:3" x14ac:dyDescent="0.25">
      <c r="A87" s="88" t="s">
        <v>342</v>
      </c>
      <c r="B87" s="168">
        <f>'Прайс для расчета'!E84</f>
        <v>644.11199999999997</v>
      </c>
      <c r="C87" s="109" t="s">
        <v>2</v>
      </c>
    </row>
    <row r="88" spans="1:3" x14ac:dyDescent="0.25">
      <c r="A88" s="88" t="s">
        <v>343</v>
      </c>
      <c r="B88" s="168">
        <f>'Прайс для расчета'!E85</f>
        <v>678.40500000000009</v>
      </c>
      <c r="C88" s="109" t="s">
        <v>2</v>
      </c>
    </row>
    <row r="89" spans="1:3" x14ac:dyDescent="0.25">
      <c r="A89" s="88" t="s">
        <v>663</v>
      </c>
      <c r="B89" s="168">
        <f>'Прайс для расчета'!E86</f>
        <v>395.11499999999995</v>
      </c>
      <c r="C89" s="109" t="s">
        <v>3</v>
      </c>
    </row>
    <row r="90" spans="1:3" x14ac:dyDescent="0.25">
      <c r="A90" s="88" t="s">
        <v>344</v>
      </c>
      <c r="B90" s="168">
        <f>'Прайс для расчета'!E87</f>
        <v>849.87</v>
      </c>
      <c r="C90" s="109" t="s">
        <v>2</v>
      </c>
    </row>
    <row r="91" spans="1:3" x14ac:dyDescent="0.25">
      <c r="A91" s="88" t="s">
        <v>158</v>
      </c>
      <c r="B91" s="168">
        <f>'Прайс для расчета'!E88</f>
        <v>987.04200000000003</v>
      </c>
      <c r="C91" s="109" t="s">
        <v>2</v>
      </c>
    </row>
    <row r="92" spans="1:3" x14ac:dyDescent="0.25">
      <c r="A92" s="88" t="s">
        <v>345</v>
      </c>
      <c r="B92" s="168">
        <f>'Прайс для расчета'!E89</f>
        <v>248.99699999999999</v>
      </c>
      <c r="C92" s="109" t="s">
        <v>645</v>
      </c>
    </row>
    <row r="93" spans="1:3" x14ac:dyDescent="0.25">
      <c r="A93" s="88" t="s">
        <v>62</v>
      </c>
      <c r="B93" s="168">
        <f>'Прайс для расчета'!E90</f>
        <v>326.529</v>
      </c>
      <c r="C93" s="109" t="s">
        <v>0</v>
      </c>
    </row>
    <row r="94" spans="1:3" x14ac:dyDescent="0.25">
      <c r="A94" s="88" t="s">
        <v>487</v>
      </c>
      <c r="B94" s="168">
        <f>'Прайс для расчета'!E91</f>
        <v>1698.249</v>
      </c>
      <c r="C94" s="109" t="s">
        <v>0</v>
      </c>
    </row>
    <row r="95" spans="1:3" x14ac:dyDescent="0.25">
      <c r="A95" s="88" t="s">
        <v>346</v>
      </c>
      <c r="B95" s="168">
        <f>'Прайс для расчета'!E92</f>
        <v>335.47500000000002</v>
      </c>
      <c r="C95" s="109" t="s">
        <v>0</v>
      </c>
    </row>
    <row r="96" spans="1:3" x14ac:dyDescent="0.25">
      <c r="A96" s="88" t="s">
        <v>664</v>
      </c>
      <c r="B96" s="168">
        <f>'Прайс для расчета'!E93</f>
        <v>240.05099999999999</v>
      </c>
      <c r="C96" s="109" t="s">
        <v>645</v>
      </c>
    </row>
    <row r="97" spans="1:3" x14ac:dyDescent="0.25">
      <c r="A97" s="88" t="s">
        <v>665</v>
      </c>
      <c r="B97" s="168">
        <f>'Прайс для расчета'!E94</f>
        <v>102.87899999999999</v>
      </c>
      <c r="C97" s="109" t="s">
        <v>0</v>
      </c>
    </row>
    <row r="98" spans="1:3" x14ac:dyDescent="0.25">
      <c r="A98" s="88" t="s">
        <v>666</v>
      </c>
      <c r="B98" s="168">
        <f>'Прайс для расчета'!E95</f>
        <v>472.5</v>
      </c>
      <c r="C98" s="109" t="s">
        <v>0</v>
      </c>
    </row>
    <row r="99" spans="1:3" x14ac:dyDescent="0.25">
      <c r="A99" s="88" t="s">
        <v>159</v>
      </c>
      <c r="B99" s="168">
        <f>'Прайс для расчета'!E96</f>
        <v>840</v>
      </c>
      <c r="C99" s="109" t="s">
        <v>0</v>
      </c>
    </row>
    <row r="100" spans="1:3" x14ac:dyDescent="0.25">
      <c r="A100" s="88" t="s">
        <v>63</v>
      </c>
      <c r="B100" s="168">
        <f>'Прайс для расчета'!E97</f>
        <v>420.46199999999999</v>
      </c>
      <c r="C100" s="109" t="s">
        <v>2</v>
      </c>
    </row>
    <row r="101" spans="1:3" x14ac:dyDescent="0.25">
      <c r="A101" s="88" t="s">
        <v>488</v>
      </c>
      <c r="B101" s="168">
        <f>'Прайс для расчета'!E98</f>
        <v>1021.3349999999999</v>
      </c>
      <c r="C101" s="109" t="s">
        <v>0</v>
      </c>
    </row>
    <row r="102" spans="1:3" x14ac:dyDescent="0.25">
      <c r="A102" s="88" t="s">
        <v>489</v>
      </c>
      <c r="B102" s="168">
        <f>'Прайс для расчета'!E99</f>
        <v>4179</v>
      </c>
      <c r="C102" s="109" t="s">
        <v>0</v>
      </c>
    </row>
    <row r="103" spans="1:3" x14ac:dyDescent="0.25">
      <c r="A103" s="88" t="s">
        <v>490</v>
      </c>
      <c r="B103" s="168">
        <f>'Прайс для расчета'!E100</f>
        <v>1183.854</v>
      </c>
      <c r="C103" s="109" t="s">
        <v>0</v>
      </c>
    </row>
    <row r="104" spans="1:3" x14ac:dyDescent="0.25">
      <c r="A104" s="88" t="s">
        <v>491</v>
      </c>
      <c r="B104" s="168">
        <f>'Прайс для расчета'!E101</f>
        <v>3129</v>
      </c>
      <c r="C104" s="109" t="s">
        <v>0</v>
      </c>
    </row>
    <row r="105" spans="1:3" x14ac:dyDescent="0.25">
      <c r="A105" s="88" t="s">
        <v>667</v>
      </c>
      <c r="B105" s="168">
        <f>'Прайс для расчета'!E102</f>
        <v>591.92700000000002</v>
      </c>
      <c r="C105" s="109" t="s">
        <v>0</v>
      </c>
    </row>
    <row r="106" spans="1:3" x14ac:dyDescent="0.25">
      <c r="A106" s="88" t="s">
        <v>347</v>
      </c>
      <c r="B106" s="168">
        <f>'Прайс для расчета'!E103</f>
        <v>678.40500000000009</v>
      </c>
      <c r="C106" s="109" t="s">
        <v>0</v>
      </c>
    </row>
    <row r="107" spans="1:3" x14ac:dyDescent="0.25">
      <c r="A107" s="88" t="s">
        <v>348</v>
      </c>
      <c r="B107" s="168">
        <f>'Прайс для расчета'!E104</f>
        <v>849.87</v>
      </c>
      <c r="C107" s="109" t="s">
        <v>0</v>
      </c>
    </row>
    <row r="108" spans="1:3" x14ac:dyDescent="0.25">
      <c r="A108" s="88" t="s">
        <v>349</v>
      </c>
      <c r="B108" s="168">
        <f>'Прайс для расчета'!E105</f>
        <v>849.87</v>
      </c>
      <c r="C108" s="109" t="s">
        <v>0</v>
      </c>
    </row>
    <row r="109" spans="1:3" x14ac:dyDescent="0.25">
      <c r="A109" s="88" t="s">
        <v>668</v>
      </c>
      <c r="B109" s="168">
        <f>'Прайс для расчета'!E106</f>
        <v>678.40500000000009</v>
      </c>
      <c r="C109" s="109" t="s">
        <v>0</v>
      </c>
    </row>
    <row r="110" spans="1:3" x14ac:dyDescent="0.25">
      <c r="A110" s="88" t="s">
        <v>669</v>
      </c>
      <c r="B110" s="168">
        <f>'Прайс для расчета'!E107</f>
        <v>1106.3219999999999</v>
      </c>
      <c r="C110" s="109" t="s">
        <v>0</v>
      </c>
    </row>
    <row r="111" spans="1:3" x14ac:dyDescent="0.25">
      <c r="A111" s="88" t="s">
        <v>670</v>
      </c>
      <c r="B111" s="168">
        <f>'Прайс для расчета'!E108</f>
        <v>892.5</v>
      </c>
      <c r="C111" s="109" t="s">
        <v>0</v>
      </c>
    </row>
    <row r="112" spans="1:3" x14ac:dyDescent="0.25">
      <c r="A112" s="88" t="s">
        <v>350</v>
      </c>
      <c r="B112" s="168">
        <f>'Прайс для расчета'!E109</f>
        <v>164.01</v>
      </c>
      <c r="C112" s="109" t="s">
        <v>0</v>
      </c>
    </row>
    <row r="113" spans="1:3" x14ac:dyDescent="0.25">
      <c r="A113" s="88" t="s">
        <v>351</v>
      </c>
      <c r="B113" s="168">
        <f>'Прайс для расчета'!E110</f>
        <v>102.87899999999999</v>
      </c>
      <c r="C113" s="109" t="s">
        <v>0</v>
      </c>
    </row>
    <row r="114" spans="1:3" x14ac:dyDescent="0.25">
      <c r="A114" s="88" t="s">
        <v>352</v>
      </c>
      <c r="B114" s="168">
        <f>'Прайс для расчета'!E111</f>
        <v>248.99699999999999</v>
      </c>
      <c r="C114" s="109" t="s">
        <v>3</v>
      </c>
    </row>
    <row r="115" spans="1:3" x14ac:dyDescent="0.25">
      <c r="A115" s="88" t="s">
        <v>353</v>
      </c>
      <c r="B115" s="168">
        <f>'Прайс для расчета'!E112</f>
        <v>395.11499999999995</v>
      </c>
      <c r="C115" s="109" t="s">
        <v>3</v>
      </c>
    </row>
    <row r="116" spans="1:3" x14ac:dyDescent="0.25">
      <c r="A116" s="88" t="s">
        <v>492</v>
      </c>
      <c r="B116" s="168">
        <f>'Прайс для расчета'!E113</f>
        <v>978.096</v>
      </c>
      <c r="C116" s="109" t="s">
        <v>3</v>
      </c>
    </row>
    <row r="117" spans="1:3" x14ac:dyDescent="0.25">
      <c r="A117" s="88" t="s">
        <v>493</v>
      </c>
      <c r="B117" s="168">
        <f>'Прайс для расчета'!E114</f>
        <v>1183.854</v>
      </c>
      <c r="C117" s="109" t="s">
        <v>3</v>
      </c>
    </row>
    <row r="118" spans="1:3" x14ac:dyDescent="0.25">
      <c r="A118" s="88" t="s">
        <v>354</v>
      </c>
      <c r="B118" s="168">
        <f>'Прайс для расчета'!E115</f>
        <v>146.11799999999999</v>
      </c>
      <c r="C118" s="109" t="s">
        <v>0</v>
      </c>
    </row>
    <row r="119" spans="1:3" x14ac:dyDescent="0.25">
      <c r="A119" s="88" t="s">
        <v>671</v>
      </c>
      <c r="B119" s="168">
        <f>'Прайс для расчета'!E116</f>
        <v>164.01</v>
      </c>
      <c r="C119" s="109" t="s">
        <v>0</v>
      </c>
    </row>
    <row r="120" spans="1:3" x14ac:dyDescent="0.25">
      <c r="A120" s="88" t="s">
        <v>146</v>
      </c>
      <c r="B120" s="168">
        <f>'Прайс для расчета'!E117</f>
        <v>335.47500000000002</v>
      </c>
      <c r="C120" s="109" t="s">
        <v>0</v>
      </c>
    </row>
    <row r="121" spans="1:3" x14ac:dyDescent="0.25">
      <c r="A121" s="88" t="s">
        <v>64</v>
      </c>
      <c r="B121" s="168">
        <f>'Прайс для расчета'!E118</f>
        <v>1021.3349999999999</v>
      </c>
      <c r="C121" s="109" t="s">
        <v>0</v>
      </c>
    </row>
    <row r="122" spans="1:3" x14ac:dyDescent="0.25">
      <c r="A122" s="88" t="s">
        <v>672</v>
      </c>
      <c r="B122" s="168">
        <f>'Прайс для расчета'!E119</f>
        <v>34.292999999999999</v>
      </c>
      <c r="C122" s="109" t="s">
        <v>645</v>
      </c>
    </row>
    <row r="123" spans="1:3" x14ac:dyDescent="0.25">
      <c r="A123" s="88" t="s">
        <v>177</v>
      </c>
      <c r="B123" s="168">
        <f>'Прайс для расчета'!E120</f>
        <v>164.01</v>
      </c>
      <c r="C123" s="109" t="s">
        <v>0</v>
      </c>
    </row>
    <row r="124" spans="1:3" x14ac:dyDescent="0.25">
      <c r="A124" s="88" t="s">
        <v>355</v>
      </c>
      <c r="B124" s="168">
        <f>'Прайс для расчета'!E121</f>
        <v>600.87300000000005</v>
      </c>
      <c r="C124" s="109" t="s">
        <v>0</v>
      </c>
    </row>
    <row r="125" spans="1:3" x14ac:dyDescent="0.25">
      <c r="A125" s="88" t="s">
        <v>494</v>
      </c>
      <c r="B125" s="168">
        <f>'Прайс для расчета'!E122</f>
        <v>3936.24</v>
      </c>
      <c r="C125" s="109" t="s">
        <v>0</v>
      </c>
    </row>
    <row r="126" spans="1:3" x14ac:dyDescent="0.25">
      <c r="A126" s="88" t="s">
        <v>495</v>
      </c>
      <c r="B126" s="168">
        <f>'Прайс для расчета'!E123</f>
        <v>5093.2559999999994</v>
      </c>
      <c r="C126" s="109" t="s">
        <v>0</v>
      </c>
    </row>
    <row r="127" spans="1:3" x14ac:dyDescent="0.25">
      <c r="A127" s="88" t="s">
        <v>496</v>
      </c>
      <c r="B127" s="168">
        <f>'Прайс для расчета'!E124</f>
        <v>4244.8769999999995</v>
      </c>
      <c r="C127" s="109" t="s">
        <v>0</v>
      </c>
    </row>
    <row r="128" spans="1:3" x14ac:dyDescent="0.25">
      <c r="A128" s="220" t="s">
        <v>964</v>
      </c>
      <c r="B128" s="221"/>
      <c r="C128" s="221"/>
    </row>
    <row r="129" spans="1:3" x14ac:dyDescent="0.25">
      <c r="A129" s="90" t="s">
        <v>1018</v>
      </c>
      <c r="B129" s="168">
        <f>'Прайс для расчета'!E125</f>
        <v>94.5</v>
      </c>
      <c r="C129" s="109" t="s">
        <v>2</v>
      </c>
    </row>
    <row r="130" spans="1:3" hidden="1" x14ac:dyDescent="0.25">
      <c r="A130" s="89" t="s">
        <v>894</v>
      </c>
      <c r="B130" s="168">
        <f>'Прайс для расчета'!E126</f>
        <v>157.5</v>
      </c>
      <c r="C130" s="109" t="s">
        <v>2</v>
      </c>
    </row>
    <row r="131" spans="1:3" x14ac:dyDescent="0.25">
      <c r="A131" s="90" t="s">
        <v>1019</v>
      </c>
      <c r="B131" s="168">
        <f>'Прайс для расчета'!E127</f>
        <v>114.45</v>
      </c>
      <c r="C131" s="109" t="s">
        <v>2</v>
      </c>
    </row>
    <row r="132" spans="1:3" x14ac:dyDescent="0.25">
      <c r="A132" s="89" t="s">
        <v>930</v>
      </c>
      <c r="B132" s="168">
        <f>'Прайс для расчета'!E129</f>
        <v>576.45000000000005</v>
      </c>
      <c r="C132" s="109" t="s">
        <v>2</v>
      </c>
    </row>
    <row r="133" spans="1:3" x14ac:dyDescent="0.25">
      <c r="A133" s="89" t="s">
        <v>931</v>
      </c>
      <c r="B133" s="168">
        <f>'Прайс для расчета'!E130</f>
        <v>681.45</v>
      </c>
      <c r="C133" s="109" t="s">
        <v>2</v>
      </c>
    </row>
    <row r="134" spans="1:3" x14ac:dyDescent="0.25">
      <c r="A134" s="89" t="s">
        <v>932</v>
      </c>
      <c r="B134" s="168">
        <f>'Прайс для расчета'!E131</f>
        <v>891.45</v>
      </c>
      <c r="C134" s="109" t="s">
        <v>2</v>
      </c>
    </row>
    <row r="135" spans="1:3" x14ac:dyDescent="0.25">
      <c r="A135" s="88" t="s">
        <v>357</v>
      </c>
      <c r="B135" s="168">
        <f>'Прайс для расчета'!E132</f>
        <v>996.45</v>
      </c>
      <c r="C135" s="109" t="s">
        <v>2</v>
      </c>
    </row>
    <row r="136" spans="1:3" x14ac:dyDescent="0.25">
      <c r="A136" s="90" t="s">
        <v>1127</v>
      </c>
      <c r="B136" s="168">
        <f>'Прайс для расчета'!E133</f>
        <v>1101.45</v>
      </c>
      <c r="C136" s="109" t="s">
        <v>2</v>
      </c>
    </row>
    <row r="137" spans="1:3" s="6" customFormat="1" x14ac:dyDescent="0.25">
      <c r="A137" s="88" t="s">
        <v>151</v>
      </c>
      <c r="B137" s="168">
        <f>'Прайс для расчета'!E134</f>
        <v>271.95</v>
      </c>
      <c r="C137" s="109" t="s">
        <v>2</v>
      </c>
    </row>
    <row r="138" spans="1:3" x14ac:dyDescent="0.25">
      <c r="A138" s="88" t="s">
        <v>499</v>
      </c>
      <c r="B138" s="168">
        <f>'Прайс для расчета'!E135</f>
        <v>262.5</v>
      </c>
      <c r="C138" s="109" t="s">
        <v>2</v>
      </c>
    </row>
    <row r="139" spans="1:3" x14ac:dyDescent="0.25">
      <c r="A139" s="88" t="s">
        <v>500</v>
      </c>
      <c r="B139" s="168">
        <f>'Прайс для расчета'!E136</f>
        <v>250.95000000000002</v>
      </c>
      <c r="C139" s="109" t="s">
        <v>2</v>
      </c>
    </row>
    <row r="140" spans="1:3" x14ac:dyDescent="0.25">
      <c r="A140" s="90" t="s">
        <v>1024</v>
      </c>
      <c r="B140" s="168">
        <f>'Прайс для расчета'!E137</f>
        <v>204.75</v>
      </c>
      <c r="C140" s="109" t="s">
        <v>647</v>
      </c>
    </row>
    <row r="141" spans="1:3" x14ac:dyDescent="0.25">
      <c r="A141" s="88" t="s">
        <v>359</v>
      </c>
      <c r="B141" s="168">
        <f>'Прайс для расчета'!E138</f>
        <v>299.25</v>
      </c>
      <c r="C141" s="109" t="s">
        <v>2</v>
      </c>
    </row>
    <row r="142" spans="1:3" x14ac:dyDescent="0.25">
      <c r="A142" s="88" t="s">
        <v>360</v>
      </c>
      <c r="B142" s="168">
        <f>'Прайс для расчета'!E139</f>
        <v>104.36999999999999</v>
      </c>
      <c r="C142" s="109" t="s">
        <v>2</v>
      </c>
    </row>
    <row r="143" spans="1:3" x14ac:dyDescent="0.25">
      <c r="A143" s="88" t="s">
        <v>361</v>
      </c>
      <c r="B143" s="168">
        <f>'Прайс для расчета'!E140</f>
        <v>498.75</v>
      </c>
      <c r="C143" s="109" t="s">
        <v>2</v>
      </c>
    </row>
    <row r="144" spans="1:3" x14ac:dyDescent="0.25">
      <c r="A144" s="88" t="s">
        <v>501</v>
      </c>
      <c r="B144" s="168">
        <f>'Прайс для расчета'!E141</f>
        <v>460.95000000000005</v>
      </c>
      <c r="C144" s="109" t="s">
        <v>2</v>
      </c>
    </row>
    <row r="145" spans="1:3" x14ac:dyDescent="0.25">
      <c r="A145" s="88" t="s">
        <v>362</v>
      </c>
      <c r="B145" s="168">
        <f>'Прайс для расчета'!E142</f>
        <v>1942.5</v>
      </c>
      <c r="C145" s="109" t="s">
        <v>2</v>
      </c>
    </row>
    <row r="146" spans="1:3" x14ac:dyDescent="0.25">
      <c r="A146" s="88" t="s">
        <v>227</v>
      </c>
      <c r="B146" s="168">
        <f>'Прайс для расчета'!E143</f>
        <v>362.25</v>
      </c>
      <c r="C146" s="109" t="s">
        <v>2</v>
      </c>
    </row>
    <row r="147" spans="1:3" x14ac:dyDescent="0.25">
      <c r="A147" s="88" t="s">
        <v>224</v>
      </c>
      <c r="B147" s="168">
        <f>'Прайс для расчета'!E144</f>
        <v>271.95</v>
      </c>
      <c r="C147" s="109" t="s">
        <v>2</v>
      </c>
    </row>
    <row r="148" spans="1:3" x14ac:dyDescent="0.25">
      <c r="A148" s="90" t="s">
        <v>1025</v>
      </c>
      <c r="B148" s="168">
        <f>'Прайс для расчета'!E145</f>
        <v>509.25</v>
      </c>
      <c r="C148" s="109" t="s">
        <v>2</v>
      </c>
    </row>
    <row r="149" spans="1:3" x14ac:dyDescent="0.25">
      <c r="A149" s="88" t="s">
        <v>363</v>
      </c>
      <c r="B149" s="168">
        <f>'Прайс для расчета'!E146</f>
        <v>472.5</v>
      </c>
      <c r="C149" s="109" t="s">
        <v>3</v>
      </c>
    </row>
    <row r="150" spans="1:3" x14ac:dyDescent="0.25">
      <c r="A150" s="88" t="s">
        <v>364</v>
      </c>
      <c r="B150" s="168">
        <f>'Прайс для расчета'!E147</f>
        <v>404.06100000000004</v>
      </c>
      <c r="C150" s="109" t="s">
        <v>2</v>
      </c>
    </row>
    <row r="151" spans="1:3" x14ac:dyDescent="0.25">
      <c r="A151" s="88" t="s">
        <v>365</v>
      </c>
      <c r="B151" s="168">
        <f>'Прайс для расчета'!E148</f>
        <v>304.5</v>
      </c>
      <c r="C151" s="109" t="s">
        <v>2</v>
      </c>
    </row>
    <row r="152" spans="1:3" x14ac:dyDescent="0.25">
      <c r="A152" s="88" t="s">
        <v>366</v>
      </c>
      <c r="B152" s="168">
        <f>'Прайс для расчета'!E149</f>
        <v>472.5</v>
      </c>
      <c r="C152" s="109" t="s">
        <v>2</v>
      </c>
    </row>
    <row r="153" spans="1:3" s="95" customFormat="1" x14ac:dyDescent="0.25">
      <c r="A153" s="220" t="s">
        <v>965</v>
      </c>
      <c r="B153" s="221"/>
      <c r="C153" s="221"/>
    </row>
    <row r="154" spans="1:3" x14ac:dyDescent="0.25">
      <c r="A154" s="90" t="s">
        <v>1020</v>
      </c>
      <c r="B154" s="168">
        <f>'Прайс для расчета'!E150</f>
        <v>124.95</v>
      </c>
      <c r="C154" s="109" t="s">
        <v>2</v>
      </c>
    </row>
    <row r="155" spans="1:3" ht="30" customHeight="1" x14ac:dyDescent="0.25">
      <c r="A155" s="230" t="s">
        <v>1107</v>
      </c>
      <c r="B155" s="168">
        <f>'Прайс для расчета'!E151</f>
        <v>892.5</v>
      </c>
      <c r="C155" s="109" t="s">
        <v>2</v>
      </c>
    </row>
    <row r="156" spans="1:3" ht="30" customHeight="1" x14ac:dyDescent="0.25">
      <c r="A156" s="230" t="s">
        <v>1108</v>
      </c>
      <c r="B156" s="168">
        <f>'Прайс для расчета'!E152</f>
        <v>1207.5</v>
      </c>
      <c r="C156" s="109" t="s">
        <v>2</v>
      </c>
    </row>
    <row r="157" spans="1:3" ht="30" customHeight="1" x14ac:dyDescent="0.25">
      <c r="A157" s="230" t="s">
        <v>1109</v>
      </c>
      <c r="B157" s="168">
        <f>'Прайс для расчета'!E153</f>
        <v>624.75</v>
      </c>
      <c r="C157" s="109" t="s">
        <v>2</v>
      </c>
    </row>
    <row r="158" spans="1:3" ht="30" customHeight="1" x14ac:dyDescent="0.25">
      <c r="A158" s="230" t="s">
        <v>1110</v>
      </c>
      <c r="B158" s="168">
        <f>'Прайс для расчета'!E154</f>
        <v>729.75</v>
      </c>
      <c r="C158" s="109" t="s">
        <v>2</v>
      </c>
    </row>
    <row r="159" spans="1:3" ht="30" customHeight="1" x14ac:dyDescent="0.25">
      <c r="A159" s="230" t="s">
        <v>1111</v>
      </c>
      <c r="B159" s="168">
        <f>'Прайс для расчета'!E155</f>
        <v>943.95</v>
      </c>
      <c r="C159" s="109" t="s">
        <v>2</v>
      </c>
    </row>
    <row r="160" spans="1:3" ht="30" customHeight="1" x14ac:dyDescent="0.25">
      <c r="A160" s="230" t="s">
        <v>1028</v>
      </c>
      <c r="B160" s="168">
        <f>'Прайс для расчета'!E156</f>
        <v>787.5</v>
      </c>
      <c r="C160" s="109" t="s">
        <v>2</v>
      </c>
    </row>
    <row r="161" spans="1:3" ht="30" customHeight="1" x14ac:dyDescent="0.25">
      <c r="A161" s="230" t="s">
        <v>1029</v>
      </c>
      <c r="B161" s="168">
        <f>'Прайс для расчета'!E157</f>
        <v>651</v>
      </c>
      <c r="C161" s="109" t="s">
        <v>3</v>
      </c>
    </row>
    <row r="162" spans="1:3" ht="17.25" customHeight="1" x14ac:dyDescent="0.25">
      <c r="A162" s="88" t="s">
        <v>674</v>
      </c>
      <c r="B162" s="168">
        <f>'Прайс для расчета'!E158</f>
        <v>267.75</v>
      </c>
      <c r="C162" s="109" t="s">
        <v>647</v>
      </c>
    </row>
    <row r="163" spans="1:3" ht="26.4" x14ac:dyDescent="0.25">
      <c r="A163" s="90" t="s">
        <v>996</v>
      </c>
      <c r="B163" s="168">
        <f>'Прайс для расчета'!E159</f>
        <v>2992.5</v>
      </c>
      <c r="C163" s="109" t="s">
        <v>2</v>
      </c>
    </row>
    <row r="164" spans="1:3" x14ac:dyDescent="0.25">
      <c r="A164" s="90" t="s">
        <v>1021</v>
      </c>
      <c r="B164" s="168">
        <f>'Прайс для расчета'!E160</f>
        <v>94.5</v>
      </c>
      <c r="C164" s="109" t="s">
        <v>2</v>
      </c>
    </row>
    <row r="165" spans="1:3" ht="26.4" x14ac:dyDescent="0.25">
      <c r="A165" s="230" t="s">
        <v>1126</v>
      </c>
      <c r="B165" s="168">
        <f>'Прайс для расчета'!E162</f>
        <v>519.75</v>
      </c>
      <c r="C165" s="109" t="s">
        <v>2</v>
      </c>
    </row>
    <row r="166" spans="1:3" ht="26.4" x14ac:dyDescent="0.25">
      <c r="A166" s="230" t="s">
        <v>1119</v>
      </c>
      <c r="B166" s="168">
        <f>'Прайс для расчета'!E163</f>
        <v>687.75</v>
      </c>
      <c r="C166" s="109" t="s">
        <v>2</v>
      </c>
    </row>
    <row r="167" spans="1:3" ht="26.4" x14ac:dyDescent="0.25">
      <c r="A167" s="230" t="s">
        <v>1121</v>
      </c>
      <c r="B167" s="168">
        <f>'Прайс для расчета'!E164</f>
        <v>420</v>
      </c>
      <c r="C167" s="109" t="s">
        <v>2</v>
      </c>
    </row>
    <row r="168" spans="1:3" ht="26.4" x14ac:dyDescent="0.25">
      <c r="A168" s="230" t="s">
        <v>1122</v>
      </c>
      <c r="B168" s="168">
        <f>'Прайс для расчета'!E165</f>
        <v>829.5</v>
      </c>
      <c r="C168" s="109" t="s">
        <v>2</v>
      </c>
    </row>
    <row r="169" spans="1:3" x14ac:dyDescent="0.25">
      <c r="A169" s="230" t="s">
        <v>1120</v>
      </c>
      <c r="B169" s="168">
        <f>'Прайс для расчета'!E166</f>
        <v>204.75</v>
      </c>
      <c r="C169" s="109" t="s">
        <v>2</v>
      </c>
    </row>
    <row r="170" spans="1:3" x14ac:dyDescent="0.25">
      <c r="A170" s="90" t="s">
        <v>1105</v>
      </c>
      <c r="B170" s="168">
        <f>'Прайс для расчета'!E167</f>
        <v>157.5</v>
      </c>
      <c r="C170" s="109" t="s">
        <v>3</v>
      </c>
    </row>
    <row r="171" spans="1:3" x14ac:dyDescent="0.25">
      <c r="A171" s="90" t="s">
        <v>1106</v>
      </c>
      <c r="B171" s="168">
        <f>'Прайс для расчета'!E168</f>
        <v>157.5</v>
      </c>
      <c r="C171" s="109" t="s">
        <v>3</v>
      </c>
    </row>
    <row r="172" spans="1:3" hidden="1" x14ac:dyDescent="0.25">
      <c r="A172" s="88"/>
      <c r="B172" s="168">
        <f>'Прайс для расчета'!E169</f>
        <v>204.75</v>
      </c>
      <c r="C172" s="109" t="s">
        <v>2</v>
      </c>
    </row>
    <row r="173" spans="1:3" x14ac:dyDescent="0.25">
      <c r="A173" s="90" t="s">
        <v>1116</v>
      </c>
      <c r="B173" s="168">
        <f>'Прайс для расчета'!E170</f>
        <v>204.75</v>
      </c>
      <c r="C173" s="109" t="s">
        <v>2</v>
      </c>
    </row>
    <row r="174" spans="1:3" x14ac:dyDescent="0.25">
      <c r="A174" s="88" t="s">
        <v>376</v>
      </c>
      <c r="B174" s="168">
        <f>'Прайс для расчета'!E171</f>
        <v>1559.586</v>
      </c>
      <c r="C174" s="109" t="s">
        <v>2</v>
      </c>
    </row>
    <row r="175" spans="1:3" x14ac:dyDescent="0.25">
      <c r="A175" s="88" t="s">
        <v>377</v>
      </c>
      <c r="B175" s="168">
        <f>'Прайс для расчета'!E172</f>
        <v>1616.2440000000001</v>
      </c>
      <c r="C175" s="109" t="s">
        <v>2</v>
      </c>
    </row>
    <row r="176" spans="1:3" x14ac:dyDescent="0.25">
      <c r="A176" s="88" t="s">
        <v>378</v>
      </c>
      <c r="B176" s="168">
        <f>'Прайс для расчета'!E173</f>
        <v>1131.6690000000001</v>
      </c>
      <c r="C176" s="109" t="s">
        <v>2</v>
      </c>
    </row>
    <row r="177" spans="1:3" x14ac:dyDescent="0.25">
      <c r="A177" s="88" t="s">
        <v>379</v>
      </c>
      <c r="B177" s="168">
        <f>'Прайс для расчета'!E174</f>
        <v>1191.309</v>
      </c>
      <c r="C177" s="109" t="s">
        <v>2</v>
      </c>
    </row>
    <row r="178" spans="1:3" x14ac:dyDescent="0.25">
      <c r="A178" s="88" t="s">
        <v>380</v>
      </c>
      <c r="B178" s="168">
        <f>'Прайс для расчета'!E175</f>
        <v>1265.8589999999999</v>
      </c>
      <c r="C178" s="109" t="s">
        <v>2</v>
      </c>
    </row>
    <row r="179" spans="1:3" x14ac:dyDescent="0.25">
      <c r="A179" s="90" t="s">
        <v>1045</v>
      </c>
      <c r="B179" s="168">
        <f>'Прайс для расчета'!E176</f>
        <v>1417.5</v>
      </c>
      <c r="C179" s="109" t="s">
        <v>646</v>
      </c>
    </row>
    <row r="180" spans="1:3" x14ac:dyDescent="0.25">
      <c r="A180" s="90" t="s">
        <v>1047</v>
      </c>
      <c r="B180" s="168">
        <f>'Прайс для расчета'!E177</f>
        <v>1837.5</v>
      </c>
      <c r="C180" s="109" t="s">
        <v>646</v>
      </c>
    </row>
    <row r="181" spans="1:3" x14ac:dyDescent="0.25">
      <c r="A181" s="88" t="s">
        <v>381</v>
      </c>
      <c r="B181" s="168">
        <f>'Прайс для расчета'!E178</f>
        <v>183.75</v>
      </c>
      <c r="C181" s="109" t="s">
        <v>646</v>
      </c>
    </row>
    <row r="182" spans="1:3" x14ac:dyDescent="0.25">
      <c r="A182" s="88" t="s">
        <v>382</v>
      </c>
      <c r="B182" s="168">
        <f>'Прайс для расчета'!E179</f>
        <v>367.5</v>
      </c>
      <c r="C182" s="109" t="s">
        <v>646</v>
      </c>
    </row>
    <row r="183" spans="1:3" x14ac:dyDescent="0.25">
      <c r="A183" s="88" t="s">
        <v>508</v>
      </c>
      <c r="B183" s="168">
        <f>'Прайс для расчета'!E180</f>
        <v>481.95000000000005</v>
      </c>
      <c r="C183" s="109" t="s">
        <v>2</v>
      </c>
    </row>
    <row r="184" spans="1:3" x14ac:dyDescent="0.25">
      <c r="A184" s="88" t="s">
        <v>383</v>
      </c>
      <c r="B184" s="168">
        <f>'Прайс для расчета'!E181</f>
        <v>1506.75</v>
      </c>
      <c r="C184" s="109" t="s">
        <v>2</v>
      </c>
    </row>
    <row r="185" spans="1:3" x14ac:dyDescent="0.25">
      <c r="A185" s="88" t="s">
        <v>384</v>
      </c>
      <c r="B185" s="168">
        <f>'Прайс для расчета'!E182</f>
        <v>1821.75</v>
      </c>
      <c r="C185" s="109" t="s">
        <v>2</v>
      </c>
    </row>
    <row r="186" spans="1:3" x14ac:dyDescent="0.25">
      <c r="A186" s="88" t="s">
        <v>385</v>
      </c>
      <c r="B186" s="168">
        <f>'Прайс для расчета'!E183</f>
        <v>1149.75</v>
      </c>
      <c r="C186" s="109" t="s">
        <v>2</v>
      </c>
    </row>
    <row r="187" spans="1:3" ht="26.4" x14ac:dyDescent="0.25">
      <c r="A187" s="88" t="s">
        <v>509</v>
      </c>
      <c r="B187" s="168">
        <f>'Прайс для расчета'!E184</f>
        <v>1527.75</v>
      </c>
      <c r="C187" s="109" t="s">
        <v>2</v>
      </c>
    </row>
    <row r="188" spans="1:3" ht="26.4" x14ac:dyDescent="0.25">
      <c r="A188" s="88" t="s">
        <v>510</v>
      </c>
      <c r="B188" s="168">
        <f>'Прайс для расчета'!E185</f>
        <v>1737.75</v>
      </c>
      <c r="C188" s="109" t="s">
        <v>2</v>
      </c>
    </row>
    <row r="189" spans="1:3" ht="26.4" x14ac:dyDescent="0.25">
      <c r="A189" s="88" t="s">
        <v>43</v>
      </c>
      <c r="B189" s="168">
        <f>'Прайс для расчета'!E186</f>
        <v>194.25</v>
      </c>
      <c r="C189" s="109" t="s">
        <v>647</v>
      </c>
    </row>
    <row r="190" spans="1:3" x14ac:dyDescent="0.25">
      <c r="A190" s="88" t="s">
        <v>386</v>
      </c>
      <c r="B190" s="168">
        <f>'Прайс для расчета'!E187</f>
        <v>2089.5</v>
      </c>
      <c r="C190" s="109" t="s">
        <v>3</v>
      </c>
    </row>
    <row r="191" spans="1:3" x14ac:dyDescent="0.25">
      <c r="A191" s="88" t="s">
        <v>387</v>
      </c>
      <c r="B191" s="168">
        <f>'Прайс для расчета'!E188</f>
        <v>3097.5</v>
      </c>
      <c r="C191" s="109" t="s">
        <v>3</v>
      </c>
    </row>
    <row r="192" spans="1:3" x14ac:dyDescent="0.25">
      <c r="A192" s="88" t="s">
        <v>388</v>
      </c>
      <c r="B192" s="168">
        <f>'Прайс для расчета'!E189</f>
        <v>2992.5</v>
      </c>
      <c r="C192" s="109" t="s">
        <v>3</v>
      </c>
    </row>
    <row r="193" spans="1:3" x14ac:dyDescent="0.25">
      <c r="A193" s="88" t="s">
        <v>230</v>
      </c>
      <c r="B193" s="168">
        <f>'Прайс для расчета'!E190</f>
        <v>404.06100000000004</v>
      </c>
      <c r="C193" s="109" t="s">
        <v>2</v>
      </c>
    </row>
    <row r="194" spans="1:3" x14ac:dyDescent="0.25">
      <c r="A194" s="90" t="s">
        <v>1144</v>
      </c>
      <c r="B194" s="168">
        <f>'Прайс для расчета'!E191</f>
        <v>282.45</v>
      </c>
      <c r="C194" s="109" t="s">
        <v>2</v>
      </c>
    </row>
    <row r="195" spans="1:3" x14ac:dyDescent="0.25">
      <c r="A195" s="90" t="s">
        <v>1143</v>
      </c>
      <c r="B195" s="168">
        <f>'Прайс для расчета'!E192</f>
        <v>614.25</v>
      </c>
      <c r="C195" s="109" t="s">
        <v>2</v>
      </c>
    </row>
    <row r="196" spans="1:3" x14ac:dyDescent="0.25">
      <c r="A196" s="220" t="s">
        <v>966</v>
      </c>
      <c r="B196" s="222"/>
      <c r="C196" s="223"/>
    </row>
    <row r="197" spans="1:3" x14ac:dyDescent="0.25">
      <c r="A197" s="88" t="s">
        <v>389</v>
      </c>
      <c r="B197" s="168">
        <f>'Прайс для расчета'!E193</f>
        <v>84</v>
      </c>
      <c r="C197" s="109" t="s">
        <v>3</v>
      </c>
    </row>
    <row r="198" spans="1:3" x14ac:dyDescent="0.25">
      <c r="A198" s="88" t="s">
        <v>390</v>
      </c>
      <c r="B198" s="168">
        <f>'Прайс для расчета'!E194</f>
        <v>787.5</v>
      </c>
      <c r="C198" s="109" t="s">
        <v>3</v>
      </c>
    </row>
    <row r="199" spans="1:3" x14ac:dyDescent="0.25">
      <c r="A199" s="88" t="s">
        <v>391</v>
      </c>
      <c r="B199" s="168">
        <f>'Прайс для расчета'!E195</f>
        <v>892.5</v>
      </c>
      <c r="C199" s="109" t="s">
        <v>3</v>
      </c>
    </row>
    <row r="200" spans="1:3" x14ac:dyDescent="0.25">
      <c r="A200" s="88" t="s">
        <v>392</v>
      </c>
      <c r="B200" s="168">
        <f>'Прайс для расчета'!E196</f>
        <v>997.5</v>
      </c>
      <c r="C200" s="109" t="s">
        <v>3</v>
      </c>
    </row>
    <row r="201" spans="1:3" x14ac:dyDescent="0.25">
      <c r="A201" s="88" t="s">
        <v>393</v>
      </c>
      <c r="B201" s="168">
        <f>'Прайс для расчета'!E197</f>
        <v>787.5</v>
      </c>
      <c r="C201" s="109" t="s">
        <v>3</v>
      </c>
    </row>
    <row r="202" spans="1:3" x14ac:dyDescent="0.25">
      <c r="A202" s="88" t="s">
        <v>52</v>
      </c>
      <c r="B202" s="168">
        <f>'Прайс для расчета'!E198</f>
        <v>204.75</v>
      </c>
      <c r="C202" s="109" t="s">
        <v>3</v>
      </c>
    </row>
    <row r="203" spans="1:3" x14ac:dyDescent="0.25">
      <c r="A203" s="88" t="s">
        <v>53</v>
      </c>
      <c r="B203" s="168">
        <f>'Прайс для расчета'!E199</f>
        <v>194.25</v>
      </c>
      <c r="C203" s="109" t="s">
        <v>3</v>
      </c>
    </row>
    <row r="204" spans="1:3" x14ac:dyDescent="0.25">
      <c r="A204" s="88" t="s">
        <v>394</v>
      </c>
      <c r="B204" s="168">
        <f>'Прайс для расчета'!E200</f>
        <v>866.25</v>
      </c>
      <c r="C204" s="109" t="s">
        <v>3</v>
      </c>
    </row>
    <row r="205" spans="1:3" x14ac:dyDescent="0.25">
      <c r="A205" s="88" t="s">
        <v>395</v>
      </c>
      <c r="B205" s="168">
        <f>'Прайс для расчета'!E201</f>
        <v>262.5</v>
      </c>
      <c r="C205" s="109" t="s">
        <v>3</v>
      </c>
    </row>
    <row r="206" spans="1:3" x14ac:dyDescent="0.25">
      <c r="A206" s="220" t="s">
        <v>967</v>
      </c>
      <c r="B206" s="222"/>
      <c r="C206" s="223"/>
    </row>
    <row r="207" spans="1:3" x14ac:dyDescent="0.25">
      <c r="A207" s="236" t="s">
        <v>1022</v>
      </c>
      <c r="B207" s="168">
        <f>'Прайс для расчета'!E202</f>
        <v>135.45000000000002</v>
      </c>
      <c r="C207" s="109" t="s">
        <v>2</v>
      </c>
    </row>
    <row r="208" spans="1:3" x14ac:dyDescent="0.25">
      <c r="A208" s="230" t="s">
        <v>1032</v>
      </c>
      <c r="B208" s="168">
        <f>'Прайс для расчета'!E204</f>
        <v>892.5</v>
      </c>
      <c r="C208" s="109" t="s">
        <v>2</v>
      </c>
    </row>
    <row r="209" spans="1:3" x14ac:dyDescent="0.25">
      <c r="A209" s="230" t="s">
        <v>1130</v>
      </c>
      <c r="B209" s="168">
        <f>'Прайс для расчета'!E205</f>
        <v>1102.5</v>
      </c>
      <c r="C209" s="109" t="s">
        <v>2</v>
      </c>
    </row>
    <row r="210" spans="1:3" ht="29.25" customHeight="1" x14ac:dyDescent="0.25">
      <c r="A210" s="230" t="s">
        <v>1141</v>
      </c>
      <c r="B210" s="168">
        <f>'Прайс для расчета'!E206</f>
        <v>892.5</v>
      </c>
      <c r="C210" s="109" t="s">
        <v>2</v>
      </c>
    </row>
    <row r="211" spans="1:3" hidden="1" x14ac:dyDescent="0.25">
      <c r="A211" s="237" t="s">
        <v>399</v>
      </c>
      <c r="B211" s="168">
        <f>'Прайс для расчета'!E207</f>
        <v>210</v>
      </c>
      <c r="C211" s="109" t="s">
        <v>2</v>
      </c>
    </row>
    <row r="212" spans="1:3" ht="26.4" x14ac:dyDescent="0.25">
      <c r="A212" s="236" t="s">
        <v>1005</v>
      </c>
      <c r="B212" s="168">
        <f>'Прайс для расчета'!E208</f>
        <v>3097.5</v>
      </c>
      <c r="C212" s="109" t="s">
        <v>2</v>
      </c>
    </row>
    <row r="213" spans="1:3" x14ac:dyDescent="0.25">
      <c r="A213" s="237" t="s">
        <v>400</v>
      </c>
      <c r="B213" s="168">
        <f>'Прайс для расчета'!E209</f>
        <v>240.05099999999999</v>
      </c>
      <c r="C213" s="109" t="s">
        <v>2</v>
      </c>
    </row>
    <row r="214" spans="1:3" x14ac:dyDescent="0.25">
      <c r="A214" s="237" t="s">
        <v>401</v>
      </c>
      <c r="B214" s="168">
        <f>'Прайс для расчета'!E210</f>
        <v>164.01</v>
      </c>
      <c r="C214" s="109" t="s">
        <v>3</v>
      </c>
    </row>
    <row r="215" spans="1:3" x14ac:dyDescent="0.25">
      <c r="A215" s="236" t="s">
        <v>1083</v>
      </c>
      <c r="B215" s="168">
        <f>'Прайс для расчета'!E211</f>
        <v>477.12</v>
      </c>
      <c r="C215" s="109" t="s">
        <v>2</v>
      </c>
    </row>
    <row r="216" spans="1:3" x14ac:dyDescent="0.25">
      <c r="A216" s="236" t="s">
        <v>1023</v>
      </c>
      <c r="B216" s="168">
        <f>'Прайс для расчета'!E212</f>
        <v>124.95</v>
      </c>
      <c r="C216" s="109" t="s">
        <v>2</v>
      </c>
    </row>
    <row r="217" spans="1:3" x14ac:dyDescent="0.25">
      <c r="A217" s="237" t="s">
        <v>676</v>
      </c>
      <c r="B217" s="168">
        <f>'Прайс для расчета'!E214</f>
        <v>299.25</v>
      </c>
      <c r="C217" s="109" t="s">
        <v>2</v>
      </c>
    </row>
    <row r="218" spans="1:3" x14ac:dyDescent="0.25">
      <c r="A218" s="237" t="s">
        <v>403</v>
      </c>
      <c r="B218" s="168">
        <f>'Прайс для расчета'!E215</f>
        <v>236.25</v>
      </c>
      <c r="C218" s="109" t="s">
        <v>2</v>
      </c>
    </row>
    <row r="219" spans="1:3" x14ac:dyDescent="0.25">
      <c r="A219" s="230" t="s">
        <v>1035</v>
      </c>
      <c r="B219" s="168">
        <f>'Прайс для расчета'!E216</f>
        <v>624.75</v>
      </c>
      <c r="C219" s="109" t="s">
        <v>2</v>
      </c>
    </row>
    <row r="220" spans="1:3" ht="26.4" x14ac:dyDescent="0.25">
      <c r="A220" s="230" t="s">
        <v>1145</v>
      </c>
      <c r="B220" s="168">
        <f>'Прайс для расчета'!E217</f>
        <v>787.5</v>
      </c>
      <c r="C220" s="109" t="s">
        <v>2</v>
      </c>
    </row>
    <row r="221" spans="1:3" ht="26.4" x14ac:dyDescent="0.25">
      <c r="A221" s="230" t="s">
        <v>1121</v>
      </c>
      <c r="B221" s="168">
        <f>'Прайс для расчета'!E218</f>
        <v>1207.5</v>
      </c>
      <c r="C221" s="109" t="s">
        <v>2</v>
      </c>
    </row>
    <row r="222" spans="1:3" x14ac:dyDescent="0.25">
      <c r="A222" s="230" t="s">
        <v>1140</v>
      </c>
      <c r="B222" s="168">
        <f>'Прайс для расчета'!E219</f>
        <v>262.5</v>
      </c>
      <c r="C222" s="109" t="s">
        <v>2</v>
      </c>
    </row>
    <row r="223" spans="1:3" hidden="1" x14ac:dyDescent="0.25">
      <c r="A223" s="230" t="s">
        <v>1142</v>
      </c>
      <c r="B223" s="168">
        <f>'Прайс для расчета'!E220</f>
        <v>997.5</v>
      </c>
      <c r="C223" s="109" t="s">
        <v>2</v>
      </c>
    </row>
    <row r="224" spans="1:3" x14ac:dyDescent="0.25">
      <c r="A224" s="237" t="s">
        <v>4</v>
      </c>
      <c r="B224" s="168">
        <f>'Прайс для расчета'!E221</f>
        <v>735</v>
      </c>
      <c r="C224" s="109" t="s">
        <v>2</v>
      </c>
    </row>
    <row r="225" spans="1:3" x14ac:dyDescent="0.25">
      <c r="A225" s="237" t="s">
        <v>152</v>
      </c>
      <c r="B225" s="168">
        <f>'Прайс для расчета'!E222</f>
        <v>105</v>
      </c>
      <c r="C225" s="109" t="s">
        <v>2</v>
      </c>
    </row>
    <row r="226" spans="1:3" x14ac:dyDescent="0.25">
      <c r="A226" s="237" t="s">
        <v>153</v>
      </c>
      <c r="B226" s="168">
        <f>'Прайс для расчета'!E223</f>
        <v>292.95</v>
      </c>
      <c r="C226" s="109" t="s">
        <v>2</v>
      </c>
    </row>
    <row r="227" spans="1:3" x14ac:dyDescent="0.25">
      <c r="A227" s="236" t="s">
        <v>1027</v>
      </c>
      <c r="B227" s="168">
        <f>'Прайс для расчета'!E224</f>
        <v>719.25</v>
      </c>
      <c r="C227" s="109" t="s">
        <v>2</v>
      </c>
    </row>
    <row r="228" spans="1:3" x14ac:dyDescent="0.25">
      <c r="A228" s="90" t="s">
        <v>982</v>
      </c>
      <c r="B228" s="168">
        <f>'Прайс для расчета'!E225</f>
        <v>2299.5</v>
      </c>
      <c r="C228" s="109" t="s">
        <v>3</v>
      </c>
    </row>
    <row r="229" spans="1:3" x14ac:dyDescent="0.25">
      <c r="A229" s="230" t="s">
        <v>1050</v>
      </c>
      <c r="B229" s="168">
        <f>'Прайс для расчета'!E226</f>
        <v>1942.5</v>
      </c>
      <c r="C229" s="109" t="s">
        <v>2</v>
      </c>
    </row>
    <row r="230" spans="1:3" ht="26.4" x14ac:dyDescent="0.25">
      <c r="A230" s="230" t="s">
        <v>1049</v>
      </c>
      <c r="B230" s="168">
        <f>'Прайс для расчета'!E227</f>
        <v>2047.5</v>
      </c>
      <c r="C230" s="109" t="s">
        <v>2</v>
      </c>
    </row>
    <row r="231" spans="1:3" ht="26.4" x14ac:dyDescent="0.25">
      <c r="A231" s="230" t="s">
        <v>1051</v>
      </c>
      <c r="B231" s="168">
        <f>'Прайс для расчета'!E228</f>
        <v>2467.5</v>
      </c>
      <c r="C231" s="109" t="s">
        <v>3</v>
      </c>
    </row>
    <row r="232" spans="1:3" x14ac:dyDescent="0.25">
      <c r="A232" s="89" t="s">
        <v>888</v>
      </c>
      <c r="B232" s="168">
        <f>'Прайс для расчета'!E229</f>
        <v>2677.5</v>
      </c>
      <c r="C232" s="109" t="s">
        <v>3</v>
      </c>
    </row>
    <row r="233" spans="1:3" x14ac:dyDescent="0.25">
      <c r="A233" s="220" t="s">
        <v>968</v>
      </c>
      <c r="B233" s="222"/>
      <c r="C233" s="223"/>
    </row>
    <row r="234" spans="1:3" ht="26.4" x14ac:dyDescent="0.25">
      <c r="A234" s="89" t="s">
        <v>933</v>
      </c>
      <c r="B234" s="168">
        <f>'Прайс для расчета'!E230</f>
        <v>2518.9500000000003</v>
      </c>
      <c r="C234" s="109" t="s">
        <v>2</v>
      </c>
    </row>
    <row r="235" spans="1:3" x14ac:dyDescent="0.25">
      <c r="A235" s="90" t="s">
        <v>1056</v>
      </c>
      <c r="B235" s="168">
        <f>'Прайс для расчета'!E231</f>
        <v>509.25</v>
      </c>
      <c r="C235" s="109" t="s">
        <v>3</v>
      </c>
    </row>
    <row r="236" spans="1:3" x14ac:dyDescent="0.25">
      <c r="A236" s="88" t="s">
        <v>409</v>
      </c>
      <c r="B236" s="168">
        <f>'Прайс для расчета'!E232</f>
        <v>2718.4500000000003</v>
      </c>
      <c r="C236" s="109" t="s">
        <v>2</v>
      </c>
    </row>
    <row r="237" spans="1:3" ht="26.4" x14ac:dyDescent="0.25">
      <c r="A237" s="90" t="s">
        <v>1059</v>
      </c>
      <c r="B237" s="168">
        <f>'Прайс для расчета'!E233</f>
        <v>1260</v>
      </c>
      <c r="C237" s="109" t="s">
        <v>2</v>
      </c>
    </row>
    <row r="238" spans="1:3" x14ac:dyDescent="0.25">
      <c r="A238" s="88" t="s">
        <v>411</v>
      </c>
      <c r="B238" s="168">
        <f>'Прайс для расчета'!E234</f>
        <v>3033.4500000000003</v>
      </c>
      <c r="C238" s="109" t="s">
        <v>2</v>
      </c>
    </row>
    <row r="239" spans="1:3" x14ac:dyDescent="0.25">
      <c r="A239" s="90" t="s">
        <v>1062</v>
      </c>
      <c r="B239" s="168">
        <f>'Прайс для расчета'!E235</f>
        <v>971.25</v>
      </c>
      <c r="C239" s="109" t="s">
        <v>3</v>
      </c>
    </row>
    <row r="240" spans="1:3" x14ac:dyDescent="0.25">
      <c r="A240" s="89" t="s">
        <v>923</v>
      </c>
      <c r="B240" s="168">
        <f>'Прайс для расчета'!E236</f>
        <v>3412.5</v>
      </c>
      <c r="C240" s="109" t="s">
        <v>2</v>
      </c>
    </row>
    <row r="241" spans="1:3" ht="26.4" x14ac:dyDescent="0.25">
      <c r="A241" s="89" t="s">
        <v>988</v>
      </c>
      <c r="B241" s="168">
        <f>'Прайс для расчета'!E237</f>
        <v>2938.9500000000003</v>
      </c>
      <c r="C241" s="109" t="s">
        <v>2</v>
      </c>
    </row>
    <row r="242" spans="1:3" x14ac:dyDescent="0.25">
      <c r="A242" s="89" t="s">
        <v>922</v>
      </c>
      <c r="B242" s="168">
        <f>'Прайс для расчета'!E238</f>
        <v>3097.5</v>
      </c>
      <c r="C242" s="109" t="s">
        <v>2</v>
      </c>
    </row>
    <row r="243" spans="1:3" x14ac:dyDescent="0.25">
      <c r="A243" s="89" t="s">
        <v>989</v>
      </c>
      <c r="B243" s="168">
        <f>'Прайс для расчета'!E239</f>
        <v>3717</v>
      </c>
      <c r="C243" s="109" t="s">
        <v>2</v>
      </c>
    </row>
    <row r="244" spans="1:3" x14ac:dyDescent="0.25">
      <c r="A244" s="89" t="s">
        <v>936</v>
      </c>
      <c r="B244" s="168">
        <f>'Прайс для расчета'!E240</f>
        <v>6237</v>
      </c>
      <c r="C244" s="109" t="s">
        <v>2</v>
      </c>
    </row>
    <row r="245" spans="1:3" s="6" customFormat="1" x14ac:dyDescent="0.25">
      <c r="A245" s="90" t="s">
        <v>1065</v>
      </c>
      <c r="B245" s="168">
        <f>'Прайс для расчета'!E241</f>
        <v>3622.5</v>
      </c>
      <c r="C245" s="109" t="s">
        <v>2</v>
      </c>
    </row>
    <row r="246" spans="1:3" x14ac:dyDescent="0.25">
      <c r="A246" s="90" t="s">
        <v>1066</v>
      </c>
      <c r="B246" s="168">
        <f>'Прайс для расчета'!E242</f>
        <v>5197.5</v>
      </c>
      <c r="C246" s="109" t="s">
        <v>2</v>
      </c>
    </row>
    <row r="247" spans="1:3" x14ac:dyDescent="0.25">
      <c r="A247" s="90" t="s">
        <v>1067</v>
      </c>
      <c r="B247" s="168">
        <f>'Прайс для расчета'!E243</f>
        <v>3097.5</v>
      </c>
      <c r="C247" s="109" t="s">
        <v>2</v>
      </c>
    </row>
    <row r="248" spans="1:3" ht="16.5" customHeight="1" x14ac:dyDescent="0.25">
      <c r="A248" s="88" t="s">
        <v>412</v>
      </c>
      <c r="B248" s="168">
        <f>'Прайс для расчета'!E244</f>
        <v>404.25</v>
      </c>
      <c r="C248" s="109" t="s">
        <v>2</v>
      </c>
    </row>
    <row r="249" spans="1:3" x14ac:dyDescent="0.25">
      <c r="A249" s="89" t="s">
        <v>937</v>
      </c>
      <c r="B249" s="168">
        <f>'Прайс для расчета'!E245</f>
        <v>1244.25</v>
      </c>
      <c r="C249" s="109" t="s">
        <v>2</v>
      </c>
    </row>
    <row r="250" spans="1:3" x14ac:dyDescent="0.25">
      <c r="A250" s="89" t="s">
        <v>938</v>
      </c>
      <c r="B250" s="168">
        <f>'Прайс для расчета'!E246</f>
        <v>929.25</v>
      </c>
      <c r="C250" s="109" t="s">
        <v>2</v>
      </c>
    </row>
    <row r="251" spans="1:3" x14ac:dyDescent="0.25">
      <c r="A251" s="88" t="s">
        <v>677</v>
      </c>
      <c r="B251" s="168">
        <f>'Прайс для расчета'!E247</f>
        <v>572.25</v>
      </c>
      <c r="C251" s="109" t="s">
        <v>646</v>
      </c>
    </row>
    <row r="252" spans="1:3" x14ac:dyDescent="0.25">
      <c r="A252" s="88" t="s">
        <v>413</v>
      </c>
      <c r="B252" s="168">
        <f>'Прайс для расчета'!E248</f>
        <v>1023.75</v>
      </c>
      <c r="C252" s="109" t="s">
        <v>646</v>
      </c>
    </row>
    <row r="253" spans="1:3" x14ac:dyDescent="0.25">
      <c r="A253" s="88" t="s">
        <v>414</v>
      </c>
      <c r="B253" s="168">
        <f>'Прайс для расчета'!E249</f>
        <v>715.68</v>
      </c>
      <c r="C253" s="109" t="s">
        <v>2</v>
      </c>
    </row>
    <row r="254" spans="1:3" x14ac:dyDescent="0.25">
      <c r="A254" s="88" t="s">
        <v>145</v>
      </c>
      <c r="B254" s="168">
        <f>'Прайс для расчета'!E250</f>
        <v>819</v>
      </c>
      <c r="C254" s="109" t="s">
        <v>2</v>
      </c>
    </row>
    <row r="255" spans="1:3" x14ac:dyDescent="0.25">
      <c r="A255" s="89" t="s">
        <v>1072</v>
      </c>
      <c r="B255" s="168">
        <f>'Прайс для расчета'!E251</f>
        <v>876.75</v>
      </c>
      <c r="C255" s="109" t="s">
        <v>2</v>
      </c>
    </row>
    <row r="256" spans="1:3" x14ac:dyDescent="0.25">
      <c r="A256" s="89" t="s">
        <v>1073</v>
      </c>
      <c r="B256" s="168">
        <f>'Прайс для расчета'!E252</f>
        <v>1097.25</v>
      </c>
      <c r="C256" s="109" t="s">
        <v>2</v>
      </c>
    </row>
    <row r="257" spans="1:3" x14ac:dyDescent="0.25">
      <c r="A257" s="89" t="s">
        <v>892</v>
      </c>
      <c r="B257" s="168">
        <f>'Прайс для расчета'!E253</f>
        <v>299.25</v>
      </c>
      <c r="C257" s="109" t="s">
        <v>2</v>
      </c>
    </row>
    <row r="258" spans="1:3" x14ac:dyDescent="0.25">
      <c r="A258" s="88" t="s">
        <v>415</v>
      </c>
      <c r="B258" s="168">
        <f>'Прайс для расчета'!E254</f>
        <v>1044.75</v>
      </c>
      <c r="C258" s="109" t="s">
        <v>2</v>
      </c>
    </row>
    <row r="259" spans="1:3" x14ac:dyDescent="0.25">
      <c r="A259" s="88" t="s">
        <v>519</v>
      </c>
      <c r="B259" s="168">
        <f>'Прайс для расчета'!E255</f>
        <v>1401.75</v>
      </c>
      <c r="C259" s="109" t="s">
        <v>2</v>
      </c>
    </row>
    <row r="260" spans="1:3" x14ac:dyDescent="0.25">
      <c r="A260" s="89" t="s">
        <v>891</v>
      </c>
      <c r="B260" s="168">
        <f>'Прайс для расчета'!E256</f>
        <v>2982</v>
      </c>
      <c r="C260" s="109" t="s">
        <v>2</v>
      </c>
    </row>
    <row r="261" spans="1:3" x14ac:dyDescent="0.25">
      <c r="A261" s="88" t="s">
        <v>416</v>
      </c>
      <c r="B261" s="168">
        <f>'Прайс для расчета'!E257</f>
        <v>1155</v>
      </c>
      <c r="C261" s="109" t="s">
        <v>2</v>
      </c>
    </row>
    <row r="262" spans="1:3" x14ac:dyDescent="0.25">
      <c r="A262" s="88" t="s">
        <v>149</v>
      </c>
      <c r="B262" s="168">
        <f>'Прайс для расчета'!E258</f>
        <v>441</v>
      </c>
      <c r="C262" s="109" t="s">
        <v>2</v>
      </c>
    </row>
    <row r="263" spans="1:3" x14ac:dyDescent="0.25">
      <c r="A263" s="88" t="s">
        <v>150</v>
      </c>
      <c r="B263" s="168">
        <f>'Прайс для расчета'!E259</f>
        <v>514.5</v>
      </c>
      <c r="C263" s="109" t="s">
        <v>2</v>
      </c>
    </row>
    <row r="264" spans="1:3" x14ac:dyDescent="0.25">
      <c r="A264" s="88" t="s">
        <v>417</v>
      </c>
      <c r="B264" s="168">
        <f>'Прайс для расчета'!E260</f>
        <v>224.70000000000002</v>
      </c>
      <c r="C264" s="109" t="s">
        <v>3</v>
      </c>
    </row>
    <row r="265" spans="1:3" x14ac:dyDescent="0.25">
      <c r="A265" s="88" t="s">
        <v>250</v>
      </c>
      <c r="B265" s="168">
        <f>'Прайс для расчета'!E261</f>
        <v>651</v>
      </c>
      <c r="C265" s="109" t="s">
        <v>3</v>
      </c>
    </row>
    <row r="266" spans="1:3" x14ac:dyDescent="0.25">
      <c r="A266" s="89" t="s">
        <v>890</v>
      </c>
      <c r="B266" s="168">
        <f>'Прайс для расчета'!E262</f>
        <v>834.75</v>
      </c>
      <c r="C266" s="109" t="s">
        <v>3</v>
      </c>
    </row>
    <row r="267" spans="1:3" x14ac:dyDescent="0.25">
      <c r="A267" s="88" t="s">
        <v>418</v>
      </c>
      <c r="B267" s="168">
        <f>'Прайс для расчета'!E263</f>
        <v>787.5</v>
      </c>
      <c r="C267" s="109" t="s">
        <v>0</v>
      </c>
    </row>
    <row r="268" spans="1:3" x14ac:dyDescent="0.25">
      <c r="A268" s="88" t="s">
        <v>137</v>
      </c>
      <c r="B268" s="168">
        <f>'Прайс для расчета'!E264</f>
        <v>2551.5</v>
      </c>
      <c r="C268" s="109" t="s">
        <v>0</v>
      </c>
    </row>
    <row r="269" spans="1:3" x14ac:dyDescent="0.25">
      <c r="A269" s="88" t="s">
        <v>520</v>
      </c>
      <c r="B269" s="168">
        <f>'Прайс для расчета'!E265</f>
        <v>152.25</v>
      </c>
      <c r="C269" s="109" t="s">
        <v>3</v>
      </c>
    </row>
    <row r="270" spans="1:3" x14ac:dyDescent="0.25">
      <c r="A270" s="220" t="s">
        <v>969</v>
      </c>
      <c r="B270" s="222"/>
      <c r="C270" s="223"/>
    </row>
    <row r="271" spans="1:3" ht="26.4" x14ac:dyDescent="0.25">
      <c r="A271" s="89" t="s">
        <v>1055</v>
      </c>
      <c r="B271" s="168">
        <f>'Прайс для расчета'!E266</f>
        <v>2623.9500000000003</v>
      </c>
      <c r="C271" s="109" t="s">
        <v>2</v>
      </c>
    </row>
    <row r="272" spans="1:3" ht="26.4" x14ac:dyDescent="0.25">
      <c r="A272" s="89" t="s">
        <v>991</v>
      </c>
      <c r="B272" s="168">
        <f>'Прайс для расчета'!E267</f>
        <v>3043.9500000000003</v>
      </c>
      <c r="C272" s="109" t="s">
        <v>2</v>
      </c>
    </row>
    <row r="273" spans="1:3" x14ac:dyDescent="0.25">
      <c r="A273" s="89" t="s">
        <v>941</v>
      </c>
      <c r="B273" s="168">
        <f>'Прайс для расчета'!E268</f>
        <v>3202.5</v>
      </c>
      <c r="C273" s="109" t="s">
        <v>2</v>
      </c>
    </row>
    <row r="274" spans="1:3" x14ac:dyDescent="0.25">
      <c r="A274" s="89" t="s">
        <v>989</v>
      </c>
      <c r="B274" s="168">
        <f>'Прайс для расчета'!E269</f>
        <v>3927</v>
      </c>
      <c r="C274" s="109" t="s">
        <v>2</v>
      </c>
    </row>
    <row r="275" spans="1:3" x14ac:dyDescent="0.25">
      <c r="A275" s="89" t="s">
        <v>924</v>
      </c>
      <c r="B275" s="168">
        <f>'Прайс для расчета'!E270</f>
        <v>6762</v>
      </c>
      <c r="C275" s="109" t="s">
        <v>2</v>
      </c>
    </row>
    <row r="276" spans="1:3" x14ac:dyDescent="0.25">
      <c r="A276" s="88" t="s">
        <v>419</v>
      </c>
      <c r="B276" s="168">
        <f>'Прайс для расчета'!E271</f>
        <v>2823.4500000000003</v>
      </c>
      <c r="C276" s="109" t="s">
        <v>2</v>
      </c>
    </row>
    <row r="277" spans="1:3" ht="26.4" x14ac:dyDescent="0.25">
      <c r="A277" s="90" t="s">
        <v>1059</v>
      </c>
      <c r="B277" s="168">
        <f>'Прайс для расчета'!E272</f>
        <v>1365</v>
      </c>
      <c r="C277" s="109" t="s">
        <v>2</v>
      </c>
    </row>
    <row r="278" spans="1:3" hidden="1" x14ac:dyDescent="0.25">
      <c r="A278" s="89" t="s">
        <v>943</v>
      </c>
      <c r="B278" s="168">
        <f>'Прайс для расчета'!E273</f>
        <v>0</v>
      </c>
      <c r="C278" s="109" t="s">
        <v>2</v>
      </c>
    </row>
    <row r="279" spans="1:3" x14ac:dyDescent="0.25">
      <c r="A279" s="89" t="s">
        <v>944</v>
      </c>
      <c r="B279" s="168">
        <f>'Прайс для расчета'!E274</f>
        <v>3517.5</v>
      </c>
      <c r="C279" s="109" t="s">
        <v>2</v>
      </c>
    </row>
    <row r="280" spans="1:3" x14ac:dyDescent="0.25">
      <c r="A280" s="90" t="s">
        <v>1063</v>
      </c>
      <c r="B280" s="168">
        <f>'Прайс для расчета'!E275</f>
        <v>1023.75</v>
      </c>
      <c r="C280" s="109" t="s">
        <v>2</v>
      </c>
    </row>
    <row r="281" spans="1:3" x14ac:dyDescent="0.25">
      <c r="A281" s="90" t="s">
        <v>1068</v>
      </c>
      <c r="B281" s="168">
        <f>'Прайс для расчета'!E276</f>
        <v>4384.8</v>
      </c>
      <c r="C281" s="109" t="s">
        <v>3</v>
      </c>
    </row>
    <row r="282" spans="1:3" x14ac:dyDescent="0.25">
      <c r="A282" s="89" t="s">
        <v>1069</v>
      </c>
      <c r="B282" s="168">
        <f>'Прайс для расчета'!E277</f>
        <v>4042.5</v>
      </c>
      <c r="C282" s="109" t="s">
        <v>2</v>
      </c>
    </row>
    <row r="283" spans="1:3" x14ac:dyDescent="0.25">
      <c r="A283" s="89" t="s">
        <v>1071</v>
      </c>
      <c r="B283" s="168">
        <f>'Прайс для расчета'!E278</f>
        <v>5512.5</v>
      </c>
      <c r="C283" s="109" t="s">
        <v>2</v>
      </c>
    </row>
    <row r="284" spans="1:3" x14ac:dyDescent="0.25">
      <c r="A284" s="88" t="s">
        <v>231</v>
      </c>
      <c r="B284" s="168">
        <f>'Прайс для расчета'!E279</f>
        <v>414.75</v>
      </c>
      <c r="C284" s="109" t="s">
        <v>2</v>
      </c>
    </row>
    <row r="285" spans="1:3" x14ac:dyDescent="0.25">
      <c r="A285" s="89" t="s">
        <v>937</v>
      </c>
      <c r="B285" s="168">
        <f>'Прайс для расчета'!E280</f>
        <v>1349.25</v>
      </c>
      <c r="C285" s="109" t="s">
        <v>2</v>
      </c>
    </row>
    <row r="286" spans="1:3" x14ac:dyDescent="0.25">
      <c r="A286" s="89" t="s">
        <v>938</v>
      </c>
      <c r="B286" s="168">
        <f>'Прайс для расчета'!E281</f>
        <v>1044.75</v>
      </c>
      <c r="C286" s="109" t="s">
        <v>2</v>
      </c>
    </row>
    <row r="287" spans="1:3" x14ac:dyDescent="0.25">
      <c r="A287" s="88" t="s">
        <v>421</v>
      </c>
      <c r="B287" s="168">
        <f>'Прайс для расчета'!E282</f>
        <v>509.25</v>
      </c>
      <c r="C287" s="109" t="s">
        <v>3</v>
      </c>
    </row>
    <row r="288" spans="1:3" x14ac:dyDescent="0.25">
      <c r="A288" s="88" t="s">
        <v>677</v>
      </c>
      <c r="B288" s="168">
        <f>'Прайс для расчета'!E283</f>
        <v>572.25</v>
      </c>
      <c r="C288" s="109" t="s">
        <v>3</v>
      </c>
    </row>
    <row r="289" spans="1:3" x14ac:dyDescent="0.25">
      <c r="A289" s="88" t="s">
        <v>160</v>
      </c>
      <c r="B289" s="168">
        <f>'Прайс для расчета'!E284</f>
        <v>3138.4500000000003</v>
      </c>
      <c r="C289" s="109" t="s">
        <v>2</v>
      </c>
    </row>
    <row r="290" spans="1:3" x14ac:dyDescent="0.25">
      <c r="A290" s="88" t="s">
        <v>232</v>
      </c>
      <c r="B290" s="168">
        <f>'Прайс для расчета'!E285</f>
        <v>1464.75</v>
      </c>
      <c r="C290" s="109" t="s">
        <v>3</v>
      </c>
    </row>
    <row r="291" spans="1:3" x14ac:dyDescent="0.25">
      <c r="A291" s="88" t="s">
        <v>523</v>
      </c>
      <c r="B291" s="168">
        <f>'Прайс для расчета'!E286</f>
        <v>367.5</v>
      </c>
      <c r="C291" s="109" t="s">
        <v>3</v>
      </c>
    </row>
    <row r="292" spans="1:3" x14ac:dyDescent="0.25">
      <c r="A292" s="88" t="s">
        <v>270</v>
      </c>
      <c r="B292" s="168">
        <f>'Прайс для расчета'!E287</f>
        <v>2220.75</v>
      </c>
      <c r="C292" s="109" t="s">
        <v>2</v>
      </c>
    </row>
    <row r="293" spans="1:3" x14ac:dyDescent="0.25">
      <c r="A293" s="88" t="s">
        <v>524</v>
      </c>
      <c r="B293" s="168">
        <f>'Прайс для расчета'!E288</f>
        <v>2577.75</v>
      </c>
      <c r="C293" s="109" t="s">
        <v>2</v>
      </c>
    </row>
    <row r="294" spans="1:3" x14ac:dyDescent="0.25">
      <c r="A294" s="88" t="s">
        <v>525</v>
      </c>
      <c r="B294" s="168">
        <f>'Прайс для расчета'!E289</f>
        <v>1291.5</v>
      </c>
      <c r="C294" s="109" t="s">
        <v>2</v>
      </c>
    </row>
    <row r="295" spans="1:3" x14ac:dyDescent="0.25">
      <c r="A295" s="88" t="s">
        <v>526</v>
      </c>
      <c r="B295" s="168">
        <f>'Прайс для расчета'!E290</f>
        <v>1186.5</v>
      </c>
      <c r="C295" s="109" t="s">
        <v>2</v>
      </c>
    </row>
    <row r="296" spans="1:3" x14ac:dyDescent="0.25">
      <c r="A296" s="90" t="s">
        <v>271</v>
      </c>
      <c r="B296" s="168">
        <f>'Прайс для расчета'!E291</f>
        <v>761.25</v>
      </c>
      <c r="C296" s="109" t="s">
        <v>2</v>
      </c>
    </row>
    <row r="297" spans="1:3" x14ac:dyDescent="0.25">
      <c r="A297" s="88" t="s">
        <v>566</v>
      </c>
      <c r="B297" s="168">
        <f>'Прайс для расчета'!E294</f>
        <v>1732.5</v>
      </c>
      <c r="C297" s="109" t="s">
        <v>2</v>
      </c>
    </row>
    <row r="298" spans="1:3" x14ac:dyDescent="0.25">
      <c r="A298" s="88" t="s">
        <v>527</v>
      </c>
      <c r="B298" s="168">
        <f>'Прайс для расчета'!E295</f>
        <v>1942.5</v>
      </c>
      <c r="C298" s="109" t="s">
        <v>2</v>
      </c>
    </row>
    <row r="299" spans="1:3" x14ac:dyDescent="0.25">
      <c r="A299" s="88" t="s">
        <v>678</v>
      </c>
      <c r="B299" s="168">
        <f>'Прайс для расчета'!E296</f>
        <v>3097.5</v>
      </c>
      <c r="C299" s="109" t="s">
        <v>2</v>
      </c>
    </row>
    <row r="300" spans="1:3" x14ac:dyDescent="0.25">
      <c r="A300" s="88" t="s">
        <v>679</v>
      </c>
      <c r="B300" s="168">
        <f>'Прайс для расчета'!E297</f>
        <v>1044.75</v>
      </c>
      <c r="C300" s="109" t="s">
        <v>2</v>
      </c>
    </row>
    <row r="301" spans="1:3" x14ac:dyDescent="0.25">
      <c r="A301" s="88" t="s">
        <v>422</v>
      </c>
      <c r="B301" s="168">
        <f>'Прайс для расчета'!E298</f>
        <v>593.25</v>
      </c>
      <c r="C301" s="109" t="s">
        <v>2</v>
      </c>
    </row>
    <row r="302" spans="1:3" x14ac:dyDescent="0.25">
      <c r="A302" s="89" t="s">
        <v>947</v>
      </c>
      <c r="B302" s="168">
        <f>'Прайс для расчета'!E299</f>
        <v>635.25</v>
      </c>
      <c r="C302" s="109" t="s">
        <v>2</v>
      </c>
    </row>
    <row r="303" spans="1:3" ht="26.4" x14ac:dyDescent="0.25">
      <c r="A303" s="89" t="s">
        <v>1074</v>
      </c>
      <c r="B303" s="168">
        <f>'Прайс для расчета'!E300</f>
        <v>1181.25</v>
      </c>
      <c r="C303" s="109" t="s">
        <v>2</v>
      </c>
    </row>
    <row r="304" spans="1:3" x14ac:dyDescent="0.25">
      <c r="A304" s="88" t="s">
        <v>423</v>
      </c>
      <c r="B304" s="168">
        <f>'Прайс для расчета'!E301</f>
        <v>635.25</v>
      </c>
      <c r="C304" s="109" t="s">
        <v>3</v>
      </c>
    </row>
    <row r="305" spans="1:3" x14ac:dyDescent="0.25">
      <c r="A305" s="88" t="s">
        <v>424</v>
      </c>
      <c r="B305" s="168">
        <f>'Прайс для расчета'!E302</f>
        <v>498.75</v>
      </c>
      <c r="C305" s="109" t="s">
        <v>2</v>
      </c>
    </row>
    <row r="306" spans="1:3" x14ac:dyDescent="0.25">
      <c r="A306" s="88" t="s">
        <v>425</v>
      </c>
      <c r="B306" s="168">
        <f>'Прайс для расчета'!E303</f>
        <v>183.75</v>
      </c>
      <c r="C306" s="109" t="s">
        <v>2</v>
      </c>
    </row>
    <row r="307" spans="1:3" x14ac:dyDescent="0.25">
      <c r="A307" s="88" t="s">
        <v>426</v>
      </c>
      <c r="B307" s="168">
        <f>'Прайс для расчета'!E304</f>
        <v>1181.25</v>
      </c>
      <c r="C307" s="109" t="s">
        <v>3</v>
      </c>
    </row>
    <row r="308" spans="1:3" x14ac:dyDescent="0.25">
      <c r="A308" s="88" t="s">
        <v>427</v>
      </c>
      <c r="B308" s="168">
        <f>'Прайс для расчета'!E305</f>
        <v>1055.25</v>
      </c>
      <c r="C308" s="109" t="s">
        <v>2</v>
      </c>
    </row>
    <row r="309" spans="1:3" x14ac:dyDescent="0.25">
      <c r="A309" s="89" t="s">
        <v>428</v>
      </c>
      <c r="B309" s="168">
        <f>'Прайс для расчета'!E167</f>
        <v>157.5</v>
      </c>
      <c r="C309" s="109" t="s">
        <v>2</v>
      </c>
    </row>
    <row r="310" spans="1:3" x14ac:dyDescent="0.25">
      <c r="A310" s="88" t="s">
        <v>528</v>
      </c>
      <c r="B310" s="168">
        <f>'Прайс для расчета'!E306</f>
        <v>3990</v>
      </c>
      <c r="C310" s="109" t="s">
        <v>2</v>
      </c>
    </row>
    <row r="311" spans="1:3" x14ac:dyDescent="0.25">
      <c r="A311" s="88" t="s">
        <v>429</v>
      </c>
      <c r="B311" s="168">
        <f>'Прайс для расчета'!E307</f>
        <v>472.5</v>
      </c>
      <c r="C311" s="109" t="s">
        <v>2</v>
      </c>
    </row>
    <row r="312" spans="1:3" x14ac:dyDescent="0.25">
      <c r="A312" s="88" t="s">
        <v>529</v>
      </c>
      <c r="B312" s="168">
        <f>'Прайс для расчета'!E308</f>
        <v>787.5</v>
      </c>
      <c r="C312" s="109" t="s">
        <v>2</v>
      </c>
    </row>
    <row r="313" spans="1:3" x14ac:dyDescent="0.25">
      <c r="A313" s="88" t="s">
        <v>430</v>
      </c>
      <c r="B313" s="168">
        <f>'Прайс для расчета'!E309</f>
        <v>420</v>
      </c>
      <c r="C313" s="109" t="s">
        <v>2</v>
      </c>
    </row>
    <row r="314" spans="1:3" x14ac:dyDescent="0.25">
      <c r="A314" s="88" t="s">
        <v>680</v>
      </c>
      <c r="B314" s="168">
        <f>'Прайс для расчета'!E310</f>
        <v>5040</v>
      </c>
      <c r="C314" s="109" t="s">
        <v>2</v>
      </c>
    </row>
    <row r="315" spans="1:3" x14ac:dyDescent="0.25">
      <c r="A315" s="220" t="s">
        <v>970</v>
      </c>
      <c r="B315" s="222"/>
      <c r="C315" s="223"/>
    </row>
    <row r="316" spans="1:3" x14ac:dyDescent="0.25">
      <c r="A316" s="88" t="s">
        <v>431</v>
      </c>
      <c r="B316" s="168">
        <f>'Прайс для расчета'!E311</f>
        <v>315</v>
      </c>
      <c r="C316" s="109" t="s">
        <v>3</v>
      </c>
    </row>
    <row r="317" spans="1:3" x14ac:dyDescent="0.25">
      <c r="A317" s="88" t="s">
        <v>432</v>
      </c>
      <c r="B317" s="168">
        <f>'Прайс для расчета'!E312</f>
        <v>367.5</v>
      </c>
      <c r="C317" s="109" t="s">
        <v>3</v>
      </c>
    </row>
    <row r="318" spans="1:3" x14ac:dyDescent="0.25">
      <c r="A318" s="88" t="s">
        <v>115</v>
      </c>
      <c r="B318" s="168">
        <f>'Прайс для расчета'!E313</f>
        <v>194.25</v>
      </c>
      <c r="C318" s="109" t="s">
        <v>3</v>
      </c>
    </row>
    <row r="319" spans="1:3" x14ac:dyDescent="0.25">
      <c r="A319" s="88" t="s">
        <v>433</v>
      </c>
      <c r="B319" s="168">
        <f>'Прайс для расчета'!E314</f>
        <v>735</v>
      </c>
      <c r="C319" s="109" t="s">
        <v>3</v>
      </c>
    </row>
    <row r="320" spans="1:3" x14ac:dyDescent="0.25">
      <c r="A320" s="88" t="s">
        <v>434</v>
      </c>
      <c r="B320" s="168">
        <f>'Прайс для расчета'!E315</f>
        <v>1349.25</v>
      </c>
      <c r="C320" s="109" t="s">
        <v>3</v>
      </c>
    </row>
    <row r="321" spans="1:3" hidden="1" x14ac:dyDescent="0.25">
      <c r="A321" s="88" t="s">
        <v>530</v>
      </c>
      <c r="B321" s="168">
        <f>'Прайс для расчета'!E316</f>
        <v>0</v>
      </c>
      <c r="C321" s="109" t="s">
        <v>3</v>
      </c>
    </row>
    <row r="322" spans="1:3" x14ac:dyDescent="0.25">
      <c r="A322" s="88" t="s">
        <v>435</v>
      </c>
      <c r="B322" s="168">
        <f>'Прайс для расчета'!E317</f>
        <v>1464.75</v>
      </c>
      <c r="C322" s="109" t="s">
        <v>3</v>
      </c>
    </row>
    <row r="323" spans="1:3" x14ac:dyDescent="0.25">
      <c r="A323" s="220" t="s">
        <v>971</v>
      </c>
      <c r="B323" s="222"/>
      <c r="C323" s="223"/>
    </row>
    <row r="324" spans="1:3" x14ac:dyDescent="0.25">
      <c r="A324" s="88" t="s">
        <v>436</v>
      </c>
      <c r="B324" s="168">
        <f>'Прайс для расчета'!E318</f>
        <v>577.5</v>
      </c>
      <c r="C324" s="109" t="s">
        <v>2</v>
      </c>
    </row>
    <row r="325" spans="1:3" x14ac:dyDescent="0.25">
      <c r="A325" s="88" t="s">
        <v>437</v>
      </c>
      <c r="B325" s="168">
        <f>'Прайс для расчета'!E319</f>
        <v>1396.5</v>
      </c>
      <c r="C325" s="109" t="s">
        <v>2</v>
      </c>
    </row>
    <row r="326" spans="1:3" x14ac:dyDescent="0.25">
      <c r="A326" s="88" t="s">
        <v>438</v>
      </c>
      <c r="B326" s="168">
        <f>'Прайс для расчета'!E320</f>
        <v>1291.5</v>
      </c>
      <c r="C326" s="109" t="s">
        <v>2</v>
      </c>
    </row>
    <row r="327" spans="1:3" x14ac:dyDescent="0.25">
      <c r="A327" s="88" t="s">
        <v>439</v>
      </c>
      <c r="B327" s="168">
        <f>'Прайс для расчета'!E321</f>
        <v>1386</v>
      </c>
      <c r="C327" s="109" t="s">
        <v>2</v>
      </c>
    </row>
    <row r="328" spans="1:3" x14ac:dyDescent="0.25">
      <c r="A328" s="88" t="s">
        <v>440</v>
      </c>
      <c r="B328" s="168">
        <f>'Прайс для расчета'!E322</f>
        <v>1281</v>
      </c>
      <c r="C328" s="109" t="s">
        <v>2</v>
      </c>
    </row>
    <row r="329" spans="1:3" x14ac:dyDescent="0.25">
      <c r="A329" s="88" t="s">
        <v>441</v>
      </c>
      <c r="B329" s="168">
        <f>'Прайс для расчета'!E323</f>
        <v>330.75</v>
      </c>
      <c r="C329" s="109" t="s">
        <v>645</v>
      </c>
    </row>
    <row r="330" spans="1:3" x14ac:dyDescent="0.25">
      <c r="A330" s="89" t="s">
        <v>531</v>
      </c>
      <c r="B330" s="168">
        <f>'Прайс для расчета'!E324</f>
        <v>866.25</v>
      </c>
      <c r="C330" s="109" t="s">
        <v>645</v>
      </c>
    </row>
    <row r="331" spans="1:3" ht="26.4" x14ac:dyDescent="0.25">
      <c r="A331" s="88" t="s">
        <v>532</v>
      </c>
      <c r="B331" s="168">
        <f>'Прайс для расчета'!E325</f>
        <v>1097.376</v>
      </c>
      <c r="C331" s="109" t="s">
        <v>645</v>
      </c>
    </row>
    <row r="332" spans="1:3" x14ac:dyDescent="0.25">
      <c r="A332" s="90" t="s">
        <v>533</v>
      </c>
      <c r="B332" s="168">
        <f>'Прайс для расчета'!E326</f>
        <v>852.6</v>
      </c>
      <c r="C332" s="109" t="s">
        <v>645</v>
      </c>
    </row>
    <row r="333" spans="1:3" x14ac:dyDescent="0.25">
      <c r="A333" s="88" t="s">
        <v>442</v>
      </c>
      <c r="B333" s="168">
        <f>'Прайс для расчета'!E327</f>
        <v>225.75</v>
      </c>
      <c r="C333" s="109" t="s">
        <v>2</v>
      </c>
    </row>
    <row r="334" spans="1:3" x14ac:dyDescent="0.25">
      <c r="A334" s="88" t="s">
        <v>443</v>
      </c>
      <c r="B334" s="168">
        <f>'Прайс для расчета'!E328</f>
        <v>462</v>
      </c>
      <c r="C334" s="109" t="s">
        <v>2</v>
      </c>
    </row>
    <row r="335" spans="1:3" x14ac:dyDescent="0.25">
      <c r="A335" s="88" t="s">
        <v>534</v>
      </c>
      <c r="B335" s="168">
        <f>'Прайс для расчета'!E329</f>
        <v>1060.5</v>
      </c>
      <c r="C335" s="109" t="s">
        <v>2</v>
      </c>
    </row>
    <row r="336" spans="1:3" x14ac:dyDescent="0.25">
      <c r="A336" s="88" t="s">
        <v>444</v>
      </c>
      <c r="B336" s="168">
        <f>'Прайс для расчета'!E330</f>
        <v>735</v>
      </c>
      <c r="C336" s="109" t="s">
        <v>2</v>
      </c>
    </row>
    <row r="337" spans="1:3" x14ac:dyDescent="0.25">
      <c r="A337" s="220" t="s">
        <v>972</v>
      </c>
      <c r="B337" s="222"/>
      <c r="C337" s="223"/>
    </row>
    <row r="338" spans="1:3" x14ac:dyDescent="0.25">
      <c r="A338" s="88" t="s">
        <v>118</v>
      </c>
      <c r="B338" s="168">
        <f>'Прайс для расчета'!E331</f>
        <v>525</v>
      </c>
      <c r="C338" s="165" t="s">
        <v>2</v>
      </c>
    </row>
    <row r="339" spans="1:3" x14ac:dyDescent="0.25">
      <c r="A339" s="88" t="s">
        <v>119</v>
      </c>
      <c r="B339" s="168">
        <f>'Прайс для расчета'!E332</f>
        <v>945</v>
      </c>
      <c r="C339" s="165" t="s">
        <v>646</v>
      </c>
    </row>
    <row r="340" spans="1:3" x14ac:dyDescent="0.25">
      <c r="A340" s="88" t="s">
        <v>120</v>
      </c>
      <c r="B340" s="168">
        <f>'Прайс для расчета'!E333</f>
        <v>1575</v>
      </c>
      <c r="C340" s="165" t="s">
        <v>0</v>
      </c>
    </row>
    <row r="341" spans="1:3" x14ac:dyDescent="0.25">
      <c r="A341" s="88" t="s">
        <v>121</v>
      </c>
      <c r="B341" s="168">
        <f>'Прайс для расчета'!E334</f>
        <v>840</v>
      </c>
      <c r="C341" s="165" t="s">
        <v>0</v>
      </c>
    </row>
    <row r="342" spans="1:3" x14ac:dyDescent="0.25">
      <c r="A342" s="88" t="s">
        <v>122</v>
      </c>
      <c r="B342" s="168">
        <f>'Прайс для расчета'!E335</f>
        <v>273</v>
      </c>
      <c r="C342" s="165" t="s">
        <v>646</v>
      </c>
    </row>
    <row r="343" spans="1:3" x14ac:dyDescent="0.25">
      <c r="A343" s="88" t="s">
        <v>123</v>
      </c>
      <c r="B343" s="168">
        <f>'Прайс для расчета'!E336</f>
        <v>1890</v>
      </c>
      <c r="C343" s="165" t="s">
        <v>2</v>
      </c>
    </row>
    <row r="344" spans="1:3" x14ac:dyDescent="0.25">
      <c r="A344" s="88" t="s">
        <v>124</v>
      </c>
      <c r="B344" s="168">
        <f>'Прайс для расчета'!E337</f>
        <v>346.5</v>
      </c>
      <c r="C344" s="165" t="s">
        <v>646</v>
      </c>
    </row>
    <row r="345" spans="1:3" x14ac:dyDescent="0.25">
      <c r="A345" s="88" t="s">
        <v>681</v>
      </c>
      <c r="B345" s="168">
        <f>'Прайс для расчета'!E338</f>
        <v>4179</v>
      </c>
      <c r="C345" s="165" t="s">
        <v>0</v>
      </c>
    </row>
    <row r="346" spans="1:3" x14ac:dyDescent="0.25">
      <c r="A346" s="88" t="s">
        <v>228</v>
      </c>
      <c r="B346" s="168">
        <f>'Прайс для расчета'!E339</f>
        <v>3255</v>
      </c>
      <c r="C346" s="165" t="s">
        <v>0</v>
      </c>
    </row>
    <row r="347" spans="1:3" x14ac:dyDescent="0.25">
      <c r="A347" s="88" t="s">
        <v>132</v>
      </c>
      <c r="B347" s="168">
        <f>'Прайс для расчета'!E340</f>
        <v>1176</v>
      </c>
      <c r="C347" s="165" t="s">
        <v>2</v>
      </c>
    </row>
    <row r="348" spans="1:3" x14ac:dyDescent="0.25">
      <c r="A348" s="88" t="s">
        <v>125</v>
      </c>
      <c r="B348" s="168">
        <f>'Прайс для расчета'!E341</f>
        <v>367.5</v>
      </c>
      <c r="C348" s="165" t="s">
        <v>0</v>
      </c>
    </row>
    <row r="349" spans="1:3" x14ac:dyDescent="0.25">
      <c r="A349" s="88" t="s">
        <v>126</v>
      </c>
      <c r="B349" s="168">
        <f>'Прайс для расчета'!E342</f>
        <v>199.5</v>
      </c>
      <c r="C349" s="165" t="s">
        <v>646</v>
      </c>
    </row>
    <row r="350" spans="1:3" x14ac:dyDescent="0.25">
      <c r="A350" s="88" t="s">
        <v>127</v>
      </c>
      <c r="B350" s="168">
        <f>'Прайс для расчета'!E343</f>
        <v>1995</v>
      </c>
      <c r="C350" s="165" t="s">
        <v>2</v>
      </c>
    </row>
    <row r="351" spans="1:3" x14ac:dyDescent="0.25">
      <c r="A351" s="88" t="s">
        <v>535</v>
      </c>
      <c r="B351" s="168">
        <f>'Прайс для расчета'!E344</f>
        <v>840</v>
      </c>
      <c r="C351" s="165" t="s">
        <v>2</v>
      </c>
    </row>
    <row r="352" spans="1:3" x14ac:dyDescent="0.25">
      <c r="A352" s="88" t="s">
        <v>536</v>
      </c>
      <c r="B352" s="168">
        <f>'Прайс для расчета'!E345</f>
        <v>3097.5</v>
      </c>
      <c r="C352" s="165" t="s">
        <v>0</v>
      </c>
    </row>
    <row r="353" spans="1:3" x14ac:dyDescent="0.25">
      <c r="A353" s="88" t="s">
        <v>128</v>
      </c>
      <c r="B353" s="168">
        <f>'Прайс для расчета'!E346</f>
        <v>1029</v>
      </c>
      <c r="C353" s="165" t="s">
        <v>2</v>
      </c>
    </row>
    <row r="354" spans="1:3" x14ac:dyDescent="0.25">
      <c r="A354" s="88" t="s">
        <v>129</v>
      </c>
      <c r="B354" s="168">
        <f>'Прайс для расчета'!E347</f>
        <v>1627.5</v>
      </c>
      <c r="C354" s="109" t="s">
        <v>3</v>
      </c>
    </row>
    <row r="355" spans="1:3" x14ac:dyDescent="0.25">
      <c r="A355" s="88" t="s">
        <v>130</v>
      </c>
      <c r="B355" s="168">
        <f>'Прайс для расчета'!E348</f>
        <v>1627.5</v>
      </c>
      <c r="C355" s="109" t="s">
        <v>3</v>
      </c>
    </row>
    <row r="356" spans="1:3" x14ac:dyDescent="0.25">
      <c r="A356" s="88" t="s">
        <v>131</v>
      </c>
      <c r="B356" s="168">
        <f>'Прайс для расчета'!E349</f>
        <v>420</v>
      </c>
      <c r="C356" s="165" t="s">
        <v>646</v>
      </c>
    </row>
    <row r="357" spans="1:3" x14ac:dyDescent="0.25">
      <c r="A357" s="88" t="s">
        <v>537</v>
      </c>
      <c r="B357" s="168">
        <f>'Прайс для расчета'!E350</f>
        <v>2940</v>
      </c>
      <c r="C357" s="165" t="s">
        <v>0</v>
      </c>
    </row>
    <row r="358" spans="1:3" x14ac:dyDescent="0.25">
      <c r="A358" s="88" t="s">
        <v>445</v>
      </c>
      <c r="B358" s="168">
        <f>'Прайс для расчета'!E351</f>
        <v>404.25</v>
      </c>
      <c r="C358" s="165" t="s">
        <v>0</v>
      </c>
    </row>
    <row r="359" spans="1:3" x14ac:dyDescent="0.25">
      <c r="A359" s="88" t="s">
        <v>8</v>
      </c>
      <c r="B359" s="168">
        <f>'Прайс для расчета'!E352</f>
        <v>3858.7080000000001</v>
      </c>
      <c r="C359" s="165" t="s">
        <v>0</v>
      </c>
    </row>
    <row r="360" spans="1:3" x14ac:dyDescent="0.25">
      <c r="A360" s="88" t="s">
        <v>446</v>
      </c>
      <c r="B360" s="168">
        <f>'Прайс для расчета'!E353</f>
        <v>1044.75</v>
      </c>
      <c r="C360" s="165" t="s">
        <v>0</v>
      </c>
    </row>
    <row r="361" spans="1:3" x14ac:dyDescent="0.25">
      <c r="A361" s="88" t="s">
        <v>447</v>
      </c>
      <c r="B361" s="168">
        <f>'Прайс для расчета'!E354</f>
        <v>1522.5</v>
      </c>
      <c r="C361" s="165" t="s">
        <v>0</v>
      </c>
    </row>
    <row r="362" spans="1:3" x14ac:dyDescent="0.25">
      <c r="A362" s="88" t="s">
        <v>448</v>
      </c>
      <c r="B362" s="168">
        <f>'Прайс для расчета'!E355</f>
        <v>1522.5</v>
      </c>
      <c r="C362" s="165" t="s">
        <v>2</v>
      </c>
    </row>
    <row r="363" spans="1:3" x14ac:dyDescent="0.25">
      <c r="A363" s="88" t="s">
        <v>538</v>
      </c>
      <c r="B363" s="168">
        <f>'Прайс для расчета'!E356</f>
        <v>577.5</v>
      </c>
      <c r="C363" s="165" t="s">
        <v>2</v>
      </c>
    </row>
    <row r="364" spans="1:3" x14ac:dyDescent="0.25">
      <c r="A364" s="88" t="s">
        <v>539</v>
      </c>
      <c r="B364" s="168">
        <f>'Прайс для расчета'!E357</f>
        <v>210</v>
      </c>
      <c r="C364" s="165" t="s">
        <v>0</v>
      </c>
    </row>
    <row r="365" spans="1:3" x14ac:dyDescent="0.25">
      <c r="A365" s="220" t="s">
        <v>973</v>
      </c>
      <c r="B365" s="222"/>
      <c r="C365" s="223"/>
    </row>
    <row r="366" spans="1:3" x14ac:dyDescent="0.25">
      <c r="A366" s="88" t="s">
        <v>279</v>
      </c>
      <c r="B366" s="168">
        <f>'Прайс для расчета'!E358</f>
        <v>446.25</v>
      </c>
      <c r="C366" s="109" t="s">
        <v>3</v>
      </c>
    </row>
    <row r="367" spans="1:3" x14ac:dyDescent="0.25">
      <c r="A367" s="88" t="s">
        <v>280</v>
      </c>
      <c r="B367" s="168">
        <f>'Прайс для расчета'!E359</f>
        <v>614.25</v>
      </c>
      <c r="C367" s="109" t="s">
        <v>3</v>
      </c>
    </row>
    <row r="368" spans="1:3" x14ac:dyDescent="0.25">
      <c r="A368" s="88" t="s">
        <v>281</v>
      </c>
      <c r="B368" s="168">
        <f>'Прайс для расчета'!E360</f>
        <v>99.75</v>
      </c>
      <c r="C368" s="109" t="s">
        <v>3</v>
      </c>
    </row>
    <row r="369" spans="1:3" x14ac:dyDescent="0.25">
      <c r="A369" s="88" t="s">
        <v>282</v>
      </c>
      <c r="B369" s="168">
        <f>'Прайс для расчета'!E361</f>
        <v>603.75</v>
      </c>
      <c r="C369" s="109" t="s">
        <v>0</v>
      </c>
    </row>
    <row r="370" spans="1:3" x14ac:dyDescent="0.25">
      <c r="A370" s="88" t="s">
        <v>682</v>
      </c>
      <c r="B370" s="168">
        <f>'Прайс для расчета'!E362</f>
        <v>412.65000000000003</v>
      </c>
      <c r="C370" s="109" t="s">
        <v>0</v>
      </c>
    </row>
    <row r="371" spans="1:3" x14ac:dyDescent="0.25">
      <c r="A371" s="88" t="s">
        <v>283</v>
      </c>
      <c r="B371" s="168">
        <f>'Прайс для расчета'!E363</f>
        <v>509.25</v>
      </c>
      <c r="C371" s="109" t="s">
        <v>0</v>
      </c>
    </row>
    <row r="372" spans="1:3" x14ac:dyDescent="0.25">
      <c r="A372" s="88" t="s">
        <v>284</v>
      </c>
      <c r="B372" s="168">
        <f>'Прайс для расчета'!E364</f>
        <v>729.75</v>
      </c>
      <c r="C372" s="109" t="s">
        <v>0</v>
      </c>
    </row>
    <row r="373" spans="1:3" x14ac:dyDescent="0.25">
      <c r="A373" s="88" t="s">
        <v>285</v>
      </c>
      <c r="B373" s="168">
        <f>'Прайс для расчета'!E365</f>
        <v>897.75</v>
      </c>
      <c r="C373" s="109" t="s">
        <v>0</v>
      </c>
    </row>
    <row r="374" spans="1:3" s="6" customFormat="1" x14ac:dyDescent="0.25">
      <c r="A374" s="88" t="s">
        <v>286</v>
      </c>
      <c r="B374" s="168">
        <f>'Прайс для расчета'!E366</f>
        <v>630</v>
      </c>
      <c r="C374" s="109" t="s">
        <v>0</v>
      </c>
    </row>
    <row r="375" spans="1:3" x14ac:dyDescent="0.25">
      <c r="A375" s="88" t="s">
        <v>287</v>
      </c>
      <c r="B375" s="168">
        <f>'Прайс для расчета'!E367</f>
        <v>945</v>
      </c>
      <c r="C375" s="109" t="s">
        <v>0</v>
      </c>
    </row>
    <row r="376" spans="1:3" ht="26.4" x14ac:dyDescent="0.25">
      <c r="A376" s="88" t="s">
        <v>541</v>
      </c>
      <c r="B376" s="168">
        <f>'Прайс для расчета'!E368</f>
        <v>924</v>
      </c>
      <c r="C376" s="109" t="s">
        <v>3</v>
      </c>
    </row>
    <row r="377" spans="1:3" x14ac:dyDescent="0.25">
      <c r="A377" s="88" t="s">
        <v>133</v>
      </c>
      <c r="B377" s="168">
        <f>'Прайс для расчета'!E369</f>
        <v>1417.5</v>
      </c>
      <c r="C377" s="109" t="s">
        <v>0</v>
      </c>
    </row>
    <row r="378" spans="1:3" x14ac:dyDescent="0.25">
      <c r="A378" s="89" t="s">
        <v>887</v>
      </c>
      <c r="B378" s="168">
        <f>'Прайс для расчета'!E370</f>
        <v>924</v>
      </c>
      <c r="C378" s="109" t="s">
        <v>3</v>
      </c>
    </row>
    <row r="379" spans="1:3" x14ac:dyDescent="0.25">
      <c r="A379" s="88" t="s">
        <v>178</v>
      </c>
      <c r="B379" s="168">
        <f>'Прайс для расчета'!E371</f>
        <v>787.5</v>
      </c>
      <c r="C379" s="109" t="s">
        <v>0</v>
      </c>
    </row>
    <row r="380" spans="1:3" x14ac:dyDescent="0.25">
      <c r="A380" s="89" t="s">
        <v>948</v>
      </c>
      <c r="B380" s="168">
        <f>'Прайс для расчета'!E372</f>
        <v>96.915000000000006</v>
      </c>
      <c r="C380" s="109" t="s">
        <v>3</v>
      </c>
    </row>
    <row r="381" spans="1:3" x14ac:dyDescent="0.25">
      <c r="A381" s="89" t="s">
        <v>949</v>
      </c>
      <c r="B381" s="168">
        <f>'Прайс для расчета'!E373</f>
        <v>223.65</v>
      </c>
      <c r="C381" s="109" t="s">
        <v>3</v>
      </c>
    </row>
    <row r="382" spans="1:3" x14ac:dyDescent="0.25">
      <c r="A382" s="89" t="s">
        <v>950</v>
      </c>
      <c r="B382" s="168">
        <f>'Прайс для расчета'!E374</f>
        <v>111.825</v>
      </c>
      <c r="C382" s="109" t="s">
        <v>3</v>
      </c>
    </row>
    <row r="383" spans="1:3" x14ac:dyDescent="0.25">
      <c r="A383" s="89" t="s">
        <v>951</v>
      </c>
      <c r="B383" s="168">
        <f>'Прайс для расчета'!E375</f>
        <v>268.38</v>
      </c>
      <c r="C383" s="109" t="s">
        <v>0</v>
      </c>
    </row>
    <row r="384" spans="1:3" x14ac:dyDescent="0.25">
      <c r="A384" s="88" t="s">
        <v>683</v>
      </c>
      <c r="B384" s="168">
        <f>'Прайс для расчета'!E376</f>
        <v>155.06400000000002</v>
      </c>
      <c r="C384" s="109" t="s">
        <v>0</v>
      </c>
    </row>
    <row r="385" spans="1:3" x14ac:dyDescent="0.25">
      <c r="A385" s="88" t="s">
        <v>684</v>
      </c>
      <c r="B385" s="168">
        <f>'Прайс для расчета'!E377</f>
        <v>1021.3349999999999</v>
      </c>
      <c r="C385" s="109" t="s">
        <v>0</v>
      </c>
    </row>
    <row r="386" spans="1:3" x14ac:dyDescent="0.25">
      <c r="A386" s="88" t="s">
        <v>288</v>
      </c>
      <c r="B386" s="168">
        <f>'Прайс для расчета'!E378</f>
        <v>541.23299999999995</v>
      </c>
      <c r="C386" s="109" t="s">
        <v>0</v>
      </c>
    </row>
    <row r="387" spans="1:3" x14ac:dyDescent="0.25">
      <c r="A387" s="88" t="s">
        <v>142</v>
      </c>
      <c r="B387" s="168">
        <f>'Прайс для расчета'!E379</f>
        <v>849.87</v>
      </c>
      <c r="C387" s="109" t="s">
        <v>3</v>
      </c>
    </row>
    <row r="388" spans="1:3" x14ac:dyDescent="0.25">
      <c r="A388" s="88" t="s">
        <v>685</v>
      </c>
      <c r="B388" s="168">
        <f>'Прайс для расчета'!E380</f>
        <v>849.87</v>
      </c>
      <c r="C388" s="109" t="s">
        <v>0</v>
      </c>
    </row>
    <row r="389" spans="1:3" x14ac:dyDescent="0.25">
      <c r="A389" s="88" t="s">
        <v>289</v>
      </c>
      <c r="B389" s="168">
        <f>'Прайс для расчета'!E381</f>
        <v>577.5</v>
      </c>
      <c r="C389" s="109" t="s">
        <v>0</v>
      </c>
    </row>
    <row r="390" spans="1:3" x14ac:dyDescent="0.25">
      <c r="A390" s="88" t="s">
        <v>290</v>
      </c>
      <c r="B390" s="168">
        <f>'Прайс для расчета'!E382</f>
        <v>1543.1849999999999</v>
      </c>
      <c r="C390" s="109" t="s">
        <v>0</v>
      </c>
    </row>
    <row r="391" spans="1:3" x14ac:dyDescent="0.25">
      <c r="A391" s="88" t="s">
        <v>291</v>
      </c>
      <c r="B391" s="168">
        <f>'Прайс для расчета'!E383</f>
        <v>892.5</v>
      </c>
      <c r="C391" s="109" t="s">
        <v>0</v>
      </c>
    </row>
    <row r="392" spans="1:3" x14ac:dyDescent="0.25">
      <c r="A392" s="88" t="s">
        <v>292</v>
      </c>
      <c r="B392" s="168">
        <f>'Прайс для расчета'!E384</f>
        <v>997.5</v>
      </c>
      <c r="C392" s="109" t="s">
        <v>0</v>
      </c>
    </row>
    <row r="393" spans="1:3" x14ac:dyDescent="0.25">
      <c r="A393" s="88" t="s">
        <v>293</v>
      </c>
      <c r="B393" s="168">
        <f>'Прайс для расчета'!E385</f>
        <v>1102.5</v>
      </c>
      <c r="C393" s="109" t="s">
        <v>0</v>
      </c>
    </row>
    <row r="394" spans="1:3" x14ac:dyDescent="0.25">
      <c r="A394" s="88" t="s">
        <v>294</v>
      </c>
      <c r="B394" s="168">
        <f>'Прайс для расчета'!E386</f>
        <v>1543.1849999999999</v>
      </c>
      <c r="C394" s="109" t="s">
        <v>0</v>
      </c>
    </row>
    <row r="395" spans="1:3" x14ac:dyDescent="0.25">
      <c r="A395" s="88" t="s">
        <v>295</v>
      </c>
      <c r="B395" s="168">
        <f>'Прайс для расчета'!E387</f>
        <v>2315.5229999999997</v>
      </c>
      <c r="C395" s="109" t="s">
        <v>0</v>
      </c>
    </row>
    <row r="396" spans="1:3" x14ac:dyDescent="0.25">
      <c r="A396" s="88" t="s">
        <v>268</v>
      </c>
      <c r="B396" s="168">
        <f>'Прайс для расчета'!E388</f>
        <v>2233.518</v>
      </c>
      <c r="C396" s="109" t="s">
        <v>0</v>
      </c>
    </row>
    <row r="397" spans="1:3" x14ac:dyDescent="0.25">
      <c r="A397" s="89" t="s">
        <v>889</v>
      </c>
      <c r="B397" s="168">
        <f>'Прайс для расчета'!E389</f>
        <v>2240.973</v>
      </c>
      <c r="C397" s="109" t="s">
        <v>0</v>
      </c>
    </row>
    <row r="398" spans="1:3" x14ac:dyDescent="0.25">
      <c r="A398" s="88" t="s">
        <v>296</v>
      </c>
      <c r="B398" s="168">
        <f>'Прайс для расчета'!E390</f>
        <v>3086.37</v>
      </c>
      <c r="C398" s="109" t="s">
        <v>0</v>
      </c>
    </row>
    <row r="399" spans="1:3" x14ac:dyDescent="0.25">
      <c r="A399" s="88" t="s">
        <v>297</v>
      </c>
      <c r="B399" s="168">
        <f>'Прайс для расчета'!E391</f>
        <v>3858.7080000000001</v>
      </c>
      <c r="C399" s="109" t="s">
        <v>0</v>
      </c>
    </row>
    <row r="400" spans="1:3" x14ac:dyDescent="0.25">
      <c r="A400" s="88" t="s">
        <v>298</v>
      </c>
      <c r="B400" s="168">
        <f>'Прайс для расчета'!E392</f>
        <v>4629.5549999999994</v>
      </c>
      <c r="C400" s="109" t="s">
        <v>0</v>
      </c>
    </row>
    <row r="401" spans="1:3" x14ac:dyDescent="0.25">
      <c r="A401" s="88" t="s">
        <v>299</v>
      </c>
      <c r="B401" s="168">
        <f>'Прайс для расчета'!E393</f>
        <v>5401.893</v>
      </c>
      <c r="C401" s="109" t="s">
        <v>0</v>
      </c>
    </row>
    <row r="402" spans="1:3" x14ac:dyDescent="0.25">
      <c r="A402" s="88" t="s">
        <v>300</v>
      </c>
      <c r="B402" s="168">
        <f>'Прайс для расчета'!E394</f>
        <v>6172.74</v>
      </c>
      <c r="C402" s="109" t="s">
        <v>0</v>
      </c>
    </row>
    <row r="403" spans="1:3" x14ac:dyDescent="0.25">
      <c r="A403" s="88" t="s">
        <v>301</v>
      </c>
      <c r="B403" s="168">
        <f>'Прайс для расчета'!E395</f>
        <v>6945.0779999999995</v>
      </c>
      <c r="C403" s="109" t="s">
        <v>0</v>
      </c>
    </row>
    <row r="404" spans="1:3" x14ac:dyDescent="0.25">
      <c r="A404" s="88" t="s">
        <v>302</v>
      </c>
      <c r="B404" s="168">
        <f>'Прайс для расчета'!E396</f>
        <v>541.23299999999995</v>
      </c>
      <c r="C404" s="109" t="s">
        <v>2</v>
      </c>
    </row>
    <row r="405" spans="1:3" x14ac:dyDescent="0.25">
      <c r="A405" s="88" t="s">
        <v>141</v>
      </c>
      <c r="B405" s="168">
        <f>'Прайс для расчета'!E397</f>
        <v>1575</v>
      </c>
      <c r="C405" s="109" t="s">
        <v>0</v>
      </c>
    </row>
    <row r="406" spans="1:3" x14ac:dyDescent="0.25">
      <c r="A406" s="88" t="s">
        <v>303</v>
      </c>
      <c r="B406" s="168">
        <f>'Прайс для расчета'!E398</f>
        <v>1234.548</v>
      </c>
      <c r="C406" s="109" t="s">
        <v>2</v>
      </c>
    </row>
    <row r="407" spans="1:3" x14ac:dyDescent="0.25">
      <c r="A407" s="88" t="s">
        <v>304</v>
      </c>
      <c r="B407" s="168">
        <f>'Прайс для расчета'!E399</f>
        <v>1543.1849999999999</v>
      </c>
      <c r="C407" s="109" t="s">
        <v>0</v>
      </c>
    </row>
    <row r="408" spans="1:3" x14ac:dyDescent="0.25">
      <c r="A408" s="88" t="s">
        <v>542</v>
      </c>
      <c r="B408" s="168">
        <f>'Прайс для расчета'!E400</f>
        <v>1389.6119999999999</v>
      </c>
      <c r="C408" s="109" t="s">
        <v>2</v>
      </c>
    </row>
    <row r="409" spans="1:3" x14ac:dyDescent="0.25">
      <c r="A409" s="88" t="s">
        <v>567</v>
      </c>
      <c r="B409" s="168">
        <f>'Прайс для расчета'!E401</f>
        <v>3745.3920000000003</v>
      </c>
      <c r="C409" s="109" t="s">
        <v>267</v>
      </c>
    </row>
    <row r="410" spans="1:3" x14ac:dyDescent="0.25">
      <c r="A410" s="88" t="s">
        <v>568</v>
      </c>
      <c r="B410" s="168">
        <f>'Прайс для расчета'!E402</f>
        <v>6734.8469999999998</v>
      </c>
      <c r="C410" s="109" t="s">
        <v>267</v>
      </c>
    </row>
    <row r="411" spans="1:3" x14ac:dyDescent="0.25">
      <c r="A411" s="88" t="s">
        <v>569</v>
      </c>
      <c r="B411" s="168">
        <f>'Прайс для расчета'!E403</f>
        <v>8926.6170000000002</v>
      </c>
      <c r="C411" s="109" t="s">
        <v>267</v>
      </c>
    </row>
    <row r="412" spans="1:3" x14ac:dyDescent="0.25">
      <c r="A412" s="220" t="s">
        <v>974</v>
      </c>
      <c r="B412" s="222"/>
      <c r="C412" s="223"/>
    </row>
    <row r="413" spans="1:3" ht="26.4" x14ac:dyDescent="0.25">
      <c r="A413" s="88" t="s">
        <v>114</v>
      </c>
      <c r="B413" s="168">
        <f>'Прайс для расчета'!E404</f>
        <v>1995</v>
      </c>
      <c r="C413" s="165" t="s">
        <v>0</v>
      </c>
    </row>
    <row r="414" spans="1:3" x14ac:dyDescent="0.25">
      <c r="A414" s="89" t="s">
        <v>952</v>
      </c>
      <c r="B414" s="168">
        <f>'Прайс для расчета'!E405</f>
        <v>7350</v>
      </c>
      <c r="C414" s="165" t="s">
        <v>0</v>
      </c>
    </row>
    <row r="415" spans="1:3" x14ac:dyDescent="0.25">
      <c r="A415" s="89" t="s">
        <v>1084</v>
      </c>
      <c r="B415" s="168">
        <f>'Прайс для расчета'!E406</f>
        <v>4725</v>
      </c>
      <c r="C415" s="165" t="s">
        <v>0</v>
      </c>
    </row>
    <row r="416" spans="1:3" x14ac:dyDescent="0.25">
      <c r="A416" s="89" t="s">
        <v>954</v>
      </c>
      <c r="B416" s="168">
        <f>'Прайс для расчета'!E407</f>
        <v>8200.5</v>
      </c>
      <c r="C416" s="165" t="s">
        <v>0</v>
      </c>
    </row>
    <row r="417" spans="1:3" x14ac:dyDescent="0.25">
      <c r="A417" s="89" t="s">
        <v>544</v>
      </c>
      <c r="B417" s="168">
        <f>'Прайс для расчета'!E408</f>
        <v>1200.2549999999999</v>
      </c>
      <c r="C417" s="165" t="s">
        <v>0</v>
      </c>
    </row>
    <row r="418" spans="1:3" s="6" customFormat="1" x14ac:dyDescent="0.25">
      <c r="A418" s="88" t="s">
        <v>136</v>
      </c>
      <c r="B418" s="168">
        <f>'Прайс для расчета'!E409</f>
        <v>344.42099999999999</v>
      </c>
      <c r="C418" s="166" t="s">
        <v>0</v>
      </c>
    </row>
    <row r="419" spans="1:3" x14ac:dyDescent="0.25">
      <c r="A419" s="88" t="s">
        <v>449</v>
      </c>
      <c r="B419" s="168">
        <f>'Прайс для расчета'!E410</f>
        <v>240.05099999999999</v>
      </c>
      <c r="C419" s="165" t="s">
        <v>646</v>
      </c>
    </row>
    <row r="420" spans="1:3" x14ac:dyDescent="0.25">
      <c r="A420" s="88" t="s">
        <v>450</v>
      </c>
      <c r="B420" s="168">
        <f>'Прайс для расчета'!E411</f>
        <v>326.529</v>
      </c>
      <c r="C420" s="165" t="s">
        <v>646</v>
      </c>
    </row>
    <row r="421" spans="1:3" x14ac:dyDescent="0.25">
      <c r="A421" s="88" t="s">
        <v>451</v>
      </c>
      <c r="B421" s="168">
        <f>'Прайс для расчета'!E412</f>
        <v>110.25</v>
      </c>
      <c r="C421" s="109" t="s">
        <v>2</v>
      </c>
    </row>
    <row r="422" spans="1:3" x14ac:dyDescent="0.25">
      <c r="A422" s="88" t="s">
        <v>688</v>
      </c>
      <c r="B422" s="168">
        <f>'Прайс для расчета'!E413</f>
        <v>1714.65</v>
      </c>
      <c r="C422" s="109" t="s">
        <v>0</v>
      </c>
    </row>
    <row r="423" spans="1:3" x14ac:dyDescent="0.25">
      <c r="A423" s="88" t="s">
        <v>452</v>
      </c>
      <c r="B423" s="168">
        <f>'Прайс для расчета'!E414</f>
        <v>2571.9749999999999</v>
      </c>
      <c r="C423" s="109" t="s">
        <v>0</v>
      </c>
    </row>
    <row r="424" spans="1:3" x14ac:dyDescent="0.25">
      <c r="A424" s="88" t="s">
        <v>453</v>
      </c>
      <c r="B424" s="168">
        <f>'Прайс для расчета'!E415</f>
        <v>857.32500000000005</v>
      </c>
      <c r="C424" s="109" t="s">
        <v>0</v>
      </c>
    </row>
    <row r="425" spans="1:3" x14ac:dyDescent="0.25">
      <c r="A425" s="88" t="s">
        <v>454</v>
      </c>
      <c r="B425" s="168">
        <f>'Прайс для расчета'!E416</f>
        <v>1470</v>
      </c>
      <c r="C425" s="109" t="s">
        <v>885</v>
      </c>
    </row>
    <row r="426" spans="1:3" x14ac:dyDescent="0.25">
      <c r="A426" s="88" t="s">
        <v>455</v>
      </c>
      <c r="B426" s="168">
        <f>'Прайс для расчета'!E417</f>
        <v>315</v>
      </c>
      <c r="C426" s="109" t="s">
        <v>885</v>
      </c>
    </row>
    <row r="427" spans="1:3" x14ac:dyDescent="0.25">
      <c r="A427" s="88" t="s">
        <v>456</v>
      </c>
      <c r="B427" s="168">
        <f>'Прайс для расчета'!E418</f>
        <v>1575</v>
      </c>
      <c r="C427" s="109" t="s">
        <v>885</v>
      </c>
    </row>
    <row r="428" spans="1:3" x14ac:dyDescent="0.25">
      <c r="A428" s="88" t="s">
        <v>689</v>
      </c>
      <c r="B428" s="168">
        <f>'Прайс для расчета'!E419</f>
        <v>315</v>
      </c>
      <c r="C428" s="109" t="s">
        <v>885</v>
      </c>
    </row>
    <row r="429" spans="1:3" x14ac:dyDescent="0.25">
      <c r="A429" s="88" t="s">
        <v>457</v>
      </c>
      <c r="B429" s="168">
        <f>'Прайс для расчета'!E420</f>
        <v>1260</v>
      </c>
      <c r="C429" s="165" t="s">
        <v>0</v>
      </c>
    </row>
    <row r="430" spans="1:3" x14ac:dyDescent="0.25">
      <c r="A430" s="88" t="s">
        <v>570</v>
      </c>
      <c r="B430" s="168">
        <f>'Прайс для расчета'!E421</f>
        <v>4725</v>
      </c>
      <c r="C430" s="109" t="s">
        <v>0</v>
      </c>
    </row>
    <row r="431" spans="1:3" x14ac:dyDescent="0.25">
      <c r="A431" s="88" t="s">
        <v>547</v>
      </c>
      <c r="B431" s="168">
        <f>'Прайс для расчета'!E422</f>
        <v>5775</v>
      </c>
      <c r="C431" s="109" t="s">
        <v>0</v>
      </c>
    </row>
    <row r="432" spans="1:3" x14ac:dyDescent="0.25">
      <c r="A432" s="88" t="s">
        <v>571</v>
      </c>
      <c r="B432" s="168">
        <f>'Прайс для расчета'!E423</f>
        <v>6825</v>
      </c>
      <c r="C432" s="109" t="s">
        <v>0</v>
      </c>
    </row>
    <row r="433" spans="1:3" x14ac:dyDescent="0.25">
      <c r="A433" s="88" t="s">
        <v>548</v>
      </c>
      <c r="B433" s="168">
        <f>'Прайс для расчета'!E424</f>
        <v>7875</v>
      </c>
      <c r="C433" s="109" t="s">
        <v>0</v>
      </c>
    </row>
    <row r="434" spans="1:3" x14ac:dyDescent="0.25">
      <c r="A434" s="88" t="s">
        <v>229</v>
      </c>
      <c r="B434" s="168">
        <f>'Прайс для расчета'!E425</f>
        <v>3412.5</v>
      </c>
      <c r="C434" s="109" t="s">
        <v>0</v>
      </c>
    </row>
    <row r="435" spans="1:3" x14ac:dyDescent="0.25">
      <c r="A435" s="88" t="s">
        <v>458</v>
      </c>
      <c r="B435" s="168">
        <f>'Прайс для расчета'!E426</f>
        <v>8400</v>
      </c>
      <c r="C435" s="109" t="s">
        <v>0</v>
      </c>
    </row>
    <row r="436" spans="1:3" x14ac:dyDescent="0.25">
      <c r="A436" s="88" t="s">
        <v>459</v>
      </c>
      <c r="B436" s="168">
        <f>'Прайс для расчета'!E427</f>
        <v>3144.75</v>
      </c>
      <c r="C436" s="109" t="s">
        <v>0</v>
      </c>
    </row>
    <row r="437" spans="1:3" x14ac:dyDescent="0.25">
      <c r="A437" s="88" t="s">
        <v>460</v>
      </c>
      <c r="B437" s="168">
        <f>'Прайс для расчета'!E428</f>
        <v>4887.4980000000005</v>
      </c>
      <c r="C437" s="109" t="s">
        <v>0</v>
      </c>
    </row>
    <row r="438" spans="1:3" ht="26.4" x14ac:dyDescent="0.25">
      <c r="A438" s="90" t="s">
        <v>572</v>
      </c>
      <c r="B438" s="168">
        <f>'Прайс для расчета'!E429</f>
        <v>8531.25</v>
      </c>
      <c r="C438" s="109" t="s">
        <v>0</v>
      </c>
    </row>
    <row r="439" spans="1:3" x14ac:dyDescent="0.25">
      <c r="A439" s="88" t="s">
        <v>461</v>
      </c>
      <c r="B439" s="168">
        <f>'Прайс для расчета'!E430</f>
        <v>1890</v>
      </c>
      <c r="C439" s="109" t="s">
        <v>0</v>
      </c>
    </row>
    <row r="440" spans="1:3" x14ac:dyDescent="0.25">
      <c r="A440" s="88" t="s">
        <v>269</v>
      </c>
      <c r="B440" s="168">
        <f>'Прайс для расчета'!E431</f>
        <v>1995</v>
      </c>
      <c r="C440" s="109" t="s">
        <v>0</v>
      </c>
    </row>
    <row r="441" spans="1:3" x14ac:dyDescent="0.25">
      <c r="A441" s="88" t="s">
        <v>694</v>
      </c>
      <c r="B441" s="168">
        <f>'Прайс для расчета'!E432</f>
        <v>2940</v>
      </c>
      <c r="C441" s="109" t="s">
        <v>0</v>
      </c>
    </row>
    <row r="442" spans="1:3" x14ac:dyDescent="0.25">
      <c r="A442" s="88" t="s">
        <v>695</v>
      </c>
      <c r="B442" s="168">
        <f>'Прайс для расчета'!E433</f>
        <v>2310</v>
      </c>
      <c r="C442" s="109" t="s">
        <v>0</v>
      </c>
    </row>
    <row r="443" spans="1:3" x14ac:dyDescent="0.25">
      <c r="A443" s="88" t="s">
        <v>462</v>
      </c>
      <c r="B443" s="168">
        <f>'Прайс для расчета'!E434</f>
        <v>3255</v>
      </c>
      <c r="C443" s="109" t="s">
        <v>0</v>
      </c>
    </row>
    <row r="444" spans="1:3" x14ac:dyDescent="0.25">
      <c r="A444" s="88" t="s">
        <v>696</v>
      </c>
      <c r="B444" s="168">
        <f>'Прайс для расчета'!E435</f>
        <v>9450</v>
      </c>
      <c r="C444" s="109" t="s">
        <v>0</v>
      </c>
    </row>
    <row r="445" spans="1:3" x14ac:dyDescent="0.25">
      <c r="A445" s="88" t="s">
        <v>697</v>
      </c>
      <c r="B445" s="168">
        <f>'Прайс для расчета'!E436</f>
        <v>1000</v>
      </c>
      <c r="C445" s="109" t="s">
        <v>0</v>
      </c>
    </row>
    <row r="446" spans="1:3" x14ac:dyDescent="0.25">
      <c r="A446" s="89" t="s">
        <v>905</v>
      </c>
      <c r="B446" s="168">
        <f>'Прайс для расчета'!E437</f>
        <v>4042.5</v>
      </c>
      <c r="C446" s="109" t="s">
        <v>0</v>
      </c>
    </row>
    <row r="447" spans="1:3" x14ac:dyDescent="0.25">
      <c r="A447" s="88" t="s">
        <v>139</v>
      </c>
      <c r="B447" s="168">
        <f>'Прайс для расчета'!E438</f>
        <v>2047.5</v>
      </c>
      <c r="C447" s="109" t="s">
        <v>0</v>
      </c>
    </row>
    <row r="448" spans="1:3" x14ac:dyDescent="0.25">
      <c r="A448" s="88" t="s">
        <v>463</v>
      </c>
      <c r="B448" s="168">
        <f>'Прайс для расчета'!E439</f>
        <v>787.5</v>
      </c>
      <c r="C448" s="109" t="s">
        <v>0</v>
      </c>
    </row>
    <row r="449" spans="1:3" x14ac:dyDescent="0.25">
      <c r="A449" s="89" t="s">
        <v>464</v>
      </c>
      <c r="B449" s="168">
        <f>'Прайс для расчета'!E440</f>
        <v>1050</v>
      </c>
      <c r="C449" s="109" t="s">
        <v>0</v>
      </c>
    </row>
    <row r="450" spans="1:3" x14ac:dyDescent="0.25">
      <c r="A450" s="89" t="s">
        <v>906</v>
      </c>
      <c r="B450" s="168">
        <f>'Прайс для расчета'!E441</f>
        <v>2887.5</v>
      </c>
      <c r="C450" s="109" t="s">
        <v>0</v>
      </c>
    </row>
    <row r="451" spans="1:3" x14ac:dyDescent="0.25">
      <c r="A451" s="88" t="s">
        <v>465</v>
      </c>
      <c r="B451" s="168">
        <f>'Прайс для расчета'!E442</f>
        <v>367.5</v>
      </c>
      <c r="C451" s="109" t="s">
        <v>0</v>
      </c>
    </row>
    <row r="452" spans="1:3" x14ac:dyDescent="0.25">
      <c r="A452" s="88" t="s">
        <v>466</v>
      </c>
      <c r="B452" s="168">
        <f>'Прайс для расчета'!E443</f>
        <v>624.75</v>
      </c>
      <c r="C452" s="109" t="s">
        <v>3</v>
      </c>
    </row>
    <row r="453" spans="1:3" x14ac:dyDescent="0.25">
      <c r="A453" s="88" t="s">
        <v>467</v>
      </c>
      <c r="B453" s="168">
        <f>'Прайс для расчета'!E444</f>
        <v>729.75</v>
      </c>
      <c r="C453" s="109" t="s">
        <v>3</v>
      </c>
    </row>
    <row r="454" spans="1:3" x14ac:dyDescent="0.25">
      <c r="A454" s="88" t="s">
        <v>176</v>
      </c>
      <c r="B454" s="168">
        <f>'Прайс для расчета'!E445</f>
        <v>94.5</v>
      </c>
      <c r="C454" s="109" t="s">
        <v>0</v>
      </c>
    </row>
    <row r="455" spans="1:3" x14ac:dyDescent="0.25">
      <c r="A455" s="88" t="s">
        <v>698</v>
      </c>
      <c r="B455" s="168">
        <f>'Прайс для расчета'!E446</f>
        <v>2236.5</v>
      </c>
      <c r="C455" s="109" t="s">
        <v>0</v>
      </c>
    </row>
    <row r="456" spans="1:3" x14ac:dyDescent="0.25">
      <c r="A456" s="88" t="s">
        <v>468</v>
      </c>
      <c r="B456" s="168">
        <f>'Прайс для расчета'!E447</f>
        <v>1207.5</v>
      </c>
      <c r="C456" s="109" t="s">
        <v>0</v>
      </c>
    </row>
    <row r="457" spans="1:3" x14ac:dyDescent="0.25">
      <c r="A457" s="88" t="s">
        <v>469</v>
      </c>
      <c r="B457" s="168">
        <f>'Прайс для расчета'!E448</f>
        <v>1207.5</v>
      </c>
      <c r="C457" s="109" t="s">
        <v>0</v>
      </c>
    </row>
    <row r="458" spans="1:3" x14ac:dyDescent="0.25">
      <c r="A458" s="88" t="s">
        <v>699</v>
      </c>
      <c r="B458" s="168">
        <f>'Прайс для расчета'!E449</f>
        <v>3885</v>
      </c>
      <c r="C458" s="109" t="s">
        <v>0</v>
      </c>
    </row>
    <row r="459" spans="1:3" x14ac:dyDescent="0.25">
      <c r="A459" s="88" t="s">
        <v>700</v>
      </c>
      <c r="B459" s="168">
        <f>'Прайс для расчета'!E450</f>
        <v>1837.5</v>
      </c>
      <c r="C459" s="109" t="s">
        <v>0</v>
      </c>
    </row>
    <row r="460" spans="1:3" x14ac:dyDescent="0.25">
      <c r="A460" s="88" t="s">
        <v>470</v>
      </c>
      <c r="B460" s="168">
        <f>'Прайс для расчета'!E451</f>
        <v>1207.5</v>
      </c>
      <c r="C460" s="109" t="s">
        <v>0</v>
      </c>
    </row>
    <row r="461" spans="1:3" x14ac:dyDescent="0.25">
      <c r="A461" s="88" t="s">
        <v>140</v>
      </c>
      <c r="B461" s="168">
        <f>'Прайс для расчета'!E452</f>
        <v>1890</v>
      </c>
      <c r="C461" s="109" t="s">
        <v>0</v>
      </c>
    </row>
    <row r="462" spans="1:3" x14ac:dyDescent="0.25">
      <c r="A462" s="88" t="s">
        <v>471</v>
      </c>
      <c r="B462" s="168">
        <f>'Прайс для расчета'!E453</f>
        <v>1260</v>
      </c>
      <c r="C462" s="109" t="s">
        <v>0</v>
      </c>
    </row>
    <row r="463" spans="1:3" x14ac:dyDescent="0.25">
      <c r="A463" s="88" t="s">
        <v>549</v>
      </c>
      <c r="B463" s="168">
        <f>'Прайс для расчета'!E454</f>
        <v>3097.5</v>
      </c>
      <c r="C463" s="109" t="s">
        <v>0</v>
      </c>
    </row>
    <row r="464" spans="1:3" x14ac:dyDescent="0.25">
      <c r="A464" s="88" t="s">
        <v>472</v>
      </c>
      <c r="B464" s="168">
        <f>'Прайс для расчета'!E455</f>
        <v>1890</v>
      </c>
      <c r="C464" s="109" t="s">
        <v>0</v>
      </c>
    </row>
    <row r="465" spans="1:3" x14ac:dyDescent="0.25">
      <c r="A465" s="88" t="s">
        <v>134</v>
      </c>
      <c r="B465" s="168">
        <f>'Прайс для расчета'!E456</f>
        <v>2079</v>
      </c>
      <c r="C465" s="109" t="s">
        <v>2</v>
      </c>
    </row>
    <row r="466" spans="1:3" x14ac:dyDescent="0.25">
      <c r="A466" s="88" t="s">
        <v>550</v>
      </c>
      <c r="B466" s="168">
        <f>'Прайс для расчета'!E457</f>
        <v>1312.5</v>
      </c>
      <c r="C466" s="109" t="s">
        <v>0</v>
      </c>
    </row>
    <row r="467" spans="1:3" x14ac:dyDescent="0.25">
      <c r="A467" s="88" t="s">
        <v>551</v>
      </c>
      <c r="B467" s="168">
        <f>'Прайс для расчета'!E458</f>
        <v>2362.5</v>
      </c>
      <c r="C467" s="109" t="s">
        <v>0</v>
      </c>
    </row>
    <row r="468" spans="1:3" x14ac:dyDescent="0.25">
      <c r="A468" s="88" t="s">
        <v>135</v>
      </c>
      <c r="B468" s="168">
        <f>'Прайс для расчета'!E459</f>
        <v>2467.5</v>
      </c>
      <c r="C468" s="109" t="s">
        <v>0</v>
      </c>
    </row>
    <row r="469" spans="1:3" x14ac:dyDescent="0.25">
      <c r="A469" s="88" t="s">
        <v>552</v>
      </c>
      <c r="B469" s="168">
        <f>'Прайс для расчета'!E460</f>
        <v>1470</v>
      </c>
      <c r="C469" s="109" t="s">
        <v>0</v>
      </c>
    </row>
    <row r="470" spans="1:3" x14ac:dyDescent="0.25">
      <c r="A470" s="88" t="s">
        <v>553</v>
      </c>
      <c r="B470" s="168">
        <f>'Прайс для расчета'!E461</f>
        <v>2934.75</v>
      </c>
      <c r="C470" s="109" t="s">
        <v>0</v>
      </c>
    </row>
    <row r="471" spans="1:3" ht="26.4" x14ac:dyDescent="0.25">
      <c r="A471" s="88" t="s">
        <v>554</v>
      </c>
      <c r="B471" s="168">
        <f>'Прайс для расчета'!E462</f>
        <v>7140</v>
      </c>
      <c r="C471" s="109" t="s">
        <v>166</v>
      </c>
    </row>
    <row r="472" spans="1:3" x14ac:dyDescent="0.25">
      <c r="A472" s="88" t="s">
        <v>167</v>
      </c>
      <c r="B472" s="168">
        <f>'Прайс для расчета'!E463</f>
        <v>3255</v>
      </c>
      <c r="C472" s="109" t="s">
        <v>0</v>
      </c>
    </row>
    <row r="473" spans="1:3" x14ac:dyDescent="0.25">
      <c r="A473" s="88" t="s">
        <v>473</v>
      </c>
      <c r="B473" s="168">
        <f>'Прайс для расчета'!E464</f>
        <v>472.5</v>
      </c>
      <c r="C473" s="109" t="s">
        <v>0</v>
      </c>
    </row>
    <row r="474" spans="1:3" x14ac:dyDescent="0.25">
      <c r="A474" s="88" t="s">
        <v>555</v>
      </c>
      <c r="B474" s="168">
        <f>'Прайс для расчета'!E465</f>
        <v>162.75</v>
      </c>
      <c r="C474" s="109" t="s">
        <v>0</v>
      </c>
    </row>
    <row r="475" spans="1:3" x14ac:dyDescent="0.25">
      <c r="A475" s="88" t="s">
        <v>556</v>
      </c>
      <c r="B475" s="168">
        <f>'Прайс для расчета'!E466</f>
        <v>162.75</v>
      </c>
      <c r="C475" s="109" t="s">
        <v>0</v>
      </c>
    </row>
    <row r="476" spans="1:3" x14ac:dyDescent="0.25">
      <c r="A476" s="88" t="s">
        <v>557</v>
      </c>
      <c r="B476" s="168">
        <f>'Прайс для расчета'!E467</f>
        <v>162.75</v>
      </c>
      <c r="C476" s="109" t="s">
        <v>0</v>
      </c>
    </row>
    <row r="477" spans="1:3" x14ac:dyDescent="0.25">
      <c r="A477" s="88" t="s">
        <v>701</v>
      </c>
      <c r="B477" s="168">
        <f>'Прайс для расчета'!E468</f>
        <v>162.75</v>
      </c>
      <c r="C477" s="109" t="s">
        <v>0</v>
      </c>
    </row>
    <row r="478" spans="1:3" x14ac:dyDescent="0.25">
      <c r="A478" s="88" t="s">
        <v>558</v>
      </c>
      <c r="B478" s="168">
        <f>'Прайс для расчета'!E469</f>
        <v>162.75</v>
      </c>
      <c r="C478" s="109" t="s">
        <v>0</v>
      </c>
    </row>
    <row r="479" spans="1:3" x14ac:dyDescent="0.25">
      <c r="A479" s="88" t="s">
        <v>559</v>
      </c>
      <c r="B479" s="168">
        <f>'Прайс для расчета'!E470</f>
        <v>2262.75</v>
      </c>
      <c r="C479" s="109" t="s">
        <v>0</v>
      </c>
    </row>
    <row r="480" spans="1:3" x14ac:dyDescent="0.25">
      <c r="A480" s="88" t="s">
        <v>560</v>
      </c>
      <c r="B480" s="168">
        <f>'Прайс для расчета'!E471</f>
        <v>1527.75</v>
      </c>
      <c r="C480" s="109" t="s">
        <v>0</v>
      </c>
    </row>
    <row r="481" spans="1:3" x14ac:dyDescent="0.25">
      <c r="A481" s="88" t="s">
        <v>561</v>
      </c>
      <c r="B481" s="168">
        <f>'Прайс для расчета'!E472</f>
        <v>897.75</v>
      </c>
      <c r="C481" s="109" t="s">
        <v>0</v>
      </c>
    </row>
    <row r="482" spans="1:3" x14ac:dyDescent="0.25">
      <c r="A482" s="88" t="s">
        <v>474</v>
      </c>
      <c r="B482" s="168">
        <f>'Прайс для расчета'!E473</f>
        <v>687.75</v>
      </c>
      <c r="C482" s="109" t="s">
        <v>0</v>
      </c>
    </row>
    <row r="483" spans="1:3" ht="26.4" x14ac:dyDescent="0.25">
      <c r="A483" s="88" t="s">
        <v>562</v>
      </c>
      <c r="B483" s="168">
        <f>'Прайс для расчета'!E474</f>
        <v>3045</v>
      </c>
      <c r="C483" s="109" t="s">
        <v>0</v>
      </c>
    </row>
    <row r="484" spans="1:3" x14ac:dyDescent="0.25">
      <c r="A484" s="88" t="s">
        <v>563</v>
      </c>
      <c r="B484" s="168">
        <f>'Прайс для расчета'!E475</f>
        <v>1417.5</v>
      </c>
      <c r="C484" s="109" t="s">
        <v>0</v>
      </c>
    </row>
    <row r="485" spans="1:3" x14ac:dyDescent="0.25">
      <c r="A485" s="88" t="s">
        <v>702</v>
      </c>
      <c r="B485" s="168">
        <f>'Прайс для расчета'!E476</f>
        <v>2982</v>
      </c>
      <c r="C485" s="109" t="s">
        <v>0</v>
      </c>
    </row>
    <row r="486" spans="1:3" x14ac:dyDescent="0.25">
      <c r="A486" s="88" t="s">
        <v>703</v>
      </c>
      <c r="B486" s="168">
        <f>'Прайс для расчета'!E477</f>
        <v>745.5</v>
      </c>
      <c r="C486" s="109" t="s">
        <v>0</v>
      </c>
    </row>
    <row r="487" spans="1:3" hidden="1" x14ac:dyDescent="0.25">
      <c r="A487" s="50" t="s">
        <v>15</v>
      </c>
      <c r="B487" s="168">
        <f>'Прайс для расчета'!E478</f>
        <v>6709.5</v>
      </c>
    </row>
    <row r="488" spans="1:3" ht="26.4" hidden="1" x14ac:dyDescent="0.25">
      <c r="A488" s="50" t="s">
        <v>576</v>
      </c>
      <c r="B488" s="168">
        <f>'Прайс для расчета'!E479</f>
        <v>8200.5</v>
      </c>
    </row>
    <row r="489" spans="1:3" ht="26.4" hidden="1" x14ac:dyDescent="0.25">
      <c r="A489" s="50" t="s">
        <v>577</v>
      </c>
      <c r="B489" s="168">
        <f>'Прайс для расчета'!E480</f>
        <v>8946</v>
      </c>
    </row>
    <row r="490" spans="1:3" ht="26.4" hidden="1" x14ac:dyDescent="0.25">
      <c r="A490" s="50" t="s">
        <v>578</v>
      </c>
      <c r="B490" s="168">
        <f>'Прайс для расчета'!E481</f>
        <v>6709.5</v>
      </c>
    </row>
    <row r="491" spans="1:3" ht="26.4" hidden="1" x14ac:dyDescent="0.25">
      <c r="A491" s="50" t="s">
        <v>579</v>
      </c>
      <c r="B491" s="168">
        <f>'Прайс для расчета'!E482</f>
        <v>8200.5</v>
      </c>
    </row>
    <row r="492" spans="1:3" hidden="1" x14ac:dyDescent="0.25">
      <c r="A492" s="50" t="s">
        <v>20</v>
      </c>
      <c r="B492" s="168">
        <f>'Прайс для расчета'!E483</f>
        <v>6709.5</v>
      </c>
    </row>
    <row r="493" spans="1:3" hidden="1" x14ac:dyDescent="0.25">
      <c r="A493" s="50" t="s">
        <v>21</v>
      </c>
      <c r="B493" s="168">
        <f>'Прайс для расчета'!E484</f>
        <v>10437</v>
      </c>
    </row>
    <row r="494" spans="1:3" hidden="1" x14ac:dyDescent="0.25">
      <c r="A494" s="50" t="s">
        <v>22</v>
      </c>
      <c r="B494" s="168">
        <f>'Прайс для расчета'!E485</f>
        <v>11928</v>
      </c>
    </row>
    <row r="495" spans="1:3" hidden="1" x14ac:dyDescent="0.25">
      <c r="A495" s="50" t="s">
        <v>23</v>
      </c>
      <c r="B495" s="168">
        <f>'Прайс для расчета'!E486</f>
        <v>298.2</v>
      </c>
    </row>
    <row r="496" spans="1:3" hidden="1" x14ac:dyDescent="0.25">
      <c r="A496" s="50" t="s">
        <v>721</v>
      </c>
      <c r="B496" s="168">
        <f>'Прайс для расчета'!E487</f>
        <v>372.75</v>
      </c>
    </row>
    <row r="497" spans="1:2" hidden="1" x14ac:dyDescent="0.25">
      <c r="A497" s="50" t="s">
        <v>24</v>
      </c>
      <c r="B497" s="168">
        <f>'Прайс для расчета'!E488</f>
        <v>969.15000000000009</v>
      </c>
    </row>
    <row r="498" spans="1:2" hidden="1" x14ac:dyDescent="0.25">
      <c r="A498" s="50" t="s">
        <v>25</v>
      </c>
      <c r="B498" s="168">
        <f>'Прайс для расчета'!E489</f>
        <v>149.1</v>
      </c>
    </row>
    <row r="499" spans="1:2" hidden="1" x14ac:dyDescent="0.25">
      <c r="A499" s="50" t="s">
        <v>26</v>
      </c>
      <c r="B499" s="168">
        <f>'Прайс для расчета'!E490</f>
        <v>298.2</v>
      </c>
    </row>
    <row r="500" spans="1:2" hidden="1" x14ac:dyDescent="0.25">
      <c r="A500" s="50" t="s">
        <v>42</v>
      </c>
      <c r="B500" s="168">
        <f>'Прайс для расчета'!E491</f>
        <v>372.75</v>
      </c>
    </row>
    <row r="501" spans="1:2" ht="26.4" hidden="1" x14ac:dyDescent="0.25">
      <c r="A501" s="50" t="s">
        <v>27</v>
      </c>
      <c r="B501" s="168">
        <f>'Прайс для расчета'!E492</f>
        <v>3280.2000000000003</v>
      </c>
    </row>
    <row r="502" spans="1:2" hidden="1" x14ac:dyDescent="0.25">
      <c r="A502" s="50" t="s">
        <v>28</v>
      </c>
      <c r="B502" s="168">
        <f>'Прайс для расчета'!E493</f>
        <v>3876.6000000000004</v>
      </c>
    </row>
    <row r="503" spans="1:2" hidden="1" x14ac:dyDescent="0.25">
      <c r="A503" s="50" t="s">
        <v>722</v>
      </c>
      <c r="B503" s="168">
        <f>'Прайс для расчета'!E494</f>
        <v>2832.9</v>
      </c>
    </row>
    <row r="504" spans="1:2" hidden="1" x14ac:dyDescent="0.25">
      <c r="A504" s="50" t="s">
        <v>29</v>
      </c>
      <c r="B504" s="168">
        <f>'Прайс для расчета'!E495</f>
        <v>3429.3</v>
      </c>
    </row>
    <row r="505" spans="1:2" hidden="1" x14ac:dyDescent="0.25">
      <c r="A505" s="50" t="s">
        <v>30</v>
      </c>
      <c r="B505" s="168">
        <f>'Прайс для расчета'!E496</f>
        <v>1192.8</v>
      </c>
    </row>
    <row r="506" spans="1:2" hidden="1" x14ac:dyDescent="0.25">
      <c r="A506" s="50" t="s">
        <v>31</v>
      </c>
      <c r="B506" s="168">
        <f>'Прайс для расчета'!E497</f>
        <v>1192.8</v>
      </c>
    </row>
    <row r="507" spans="1:2" ht="26.4" hidden="1" x14ac:dyDescent="0.25">
      <c r="A507" s="50" t="s">
        <v>32</v>
      </c>
      <c r="B507" s="168">
        <f>'Прайс для расчета'!E498</f>
        <v>149.1</v>
      </c>
    </row>
    <row r="508" spans="1:2" ht="26.4" hidden="1" x14ac:dyDescent="0.25">
      <c r="A508" s="50" t="s">
        <v>33</v>
      </c>
      <c r="B508" s="168">
        <f>'Прайс для расчета'!E499</f>
        <v>521.85</v>
      </c>
    </row>
    <row r="509" spans="1:2" ht="26.4" hidden="1" x14ac:dyDescent="0.25">
      <c r="A509" s="50" t="s">
        <v>34</v>
      </c>
      <c r="B509" s="168">
        <f>'Прайс для расчета'!E500</f>
        <v>894.6</v>
      </c>
    </row>
    <row r="510" spans="1:2" hidden="1" x14ac:dyDescent="0.25">
      <c r="A510" s="50" t="s">
        <v>35</v>
      </c>
      <c r="B510" s="168">
        <f>'Прайс для расчета'!E501</f>
        <v>1073.52</v>
      </c>
    </row>
    <row r="511" spans="1:2" hidden="1" x14ac:dyDescent="0.25">
      <c r="A511" s="50" t="s">
        <v>36</v>
      </c>
      <c r="B511" s="168">
        <f>'Прайс для расчета'!E502</f>
        <v>223.65</v>
      </c>
    </row>
    <row r="512" spans="1:2" hidden="1" x14ac:dyDescent="0.25">
      <c r="A512" s="50" t="s">
        <v>37</v>
      </c>
      <c r="B512" s="168">
        <f>'Прайс для расчета'!E503</f>
        <v>521.85</v>
      </c>
    </row>
    <row r="513" spans="1:2" hidden="1" x14ac:dyDescent="0.25">
      <c r="A513" s="50" t="s">
        <v>38</v>
      </c>
      <c r="B513" s="168">
        <f>'Прайс для расчета'!E504</f>
        <v>223.65</v>
      </c>
    </row>
    <row r="514" spans="1:2" hidden="1" x14ac:dyDescent="0.25">
      <c r="A514" s="50" t="s">
        <v>39</v>
      </c>
      <c r="B514" s="168">
        <f>'Прайс для расчета'!E505</f>
        <v>372.75</v>
      </c>
    </row>
    <row r="515" spans="1:2" hidden="1" x14ac:dyDescent="0.25">
      <c r="A515" s="50" t="s">
        <v>40</v>
      </c>
      <c r="B515" s="168">
        <f>'Прайс для расчета'!E506</f>
        <v>1491</v>
      </c>
    </row>
    <row r="516" spans="1:2" hidden="1" x14ac:dyDescent="0.25">
      <c r="A516" s="50" t="s">
        <v>580</v>
      </c>
      <c r="B516" s="168">
        <f>'Прайс для расчета'!E507</f>
        <v>2087.4</v>
      </c>
    </row>
    <row r="517" spans="1:2" hidden="1" x14ac:dyDescent="0.25">
      <c r="A517" s="50" t="s">
        <v>581</v>
      </c>
      <c r="B517" s="168">
        <f>'Прайс для расчета'!E508</f>
        <v>447.3</v>
      </c>
    </row>
    <row r="518" spans="1:2" hidden="1" x14ac:dyDescent="0.25">
      <c r="A518" s="50" t="s">
        <v>582</v>
      </c>
      <c r="B518" s="168">
        <f>'Прайс для расчета'!E509</f>
        <v>1192.8</v>
      </c>
    </row>
    <row r="519" spans="1:2" hidden="1" x14ac:dyDescent="0.25">
      <c r="A519" s="50" t="s">
        <v>583</v>
      </c>
      <c r="B519" s="168">
        <f>'Прайс для расчета'!E510</f>
        <v>2087.4</v>
      </c>
    </row>
    <row r="520" spans="1:2" hidden="1" x14ac:dyDescent="0.25">
      <c r="A520" s="50" t="s">
        <v>584</v>
      </c>
      <c r="B520" s="168">
        <f>'Прайс для расчета'!E511</f>
        <v>5218.5</v>
      </c>
    </row>
    <row r="521" spans="1:2" hidden="1" x14ac:dyDescent="0.25">
      <c r="A521" s="50" t="s">
        <v>585</v>
      </c>
      <c r="B521" s="168">
        <f>'Прайс для расчета'!E512</f>
        <v>8200.5</v>
      </c>
    </row>
    <row r="522" spans="1:2" hidden="1" x14ac:dyDescent="0.25">
      <c r="A522" s="50" t="s">
        <v>586</v>
      </c>
      <c r="B522" s="168">
        <f>'Прайс для расчета'!E513</f>
        <v>11182.5</v>
      </c>
    </row>
    <row r="523" spans="1:2" hidden="1" x14ac:dyDescent="0.25">
      <c r="A523" s="45" t="s">
        <v>762</v>
      </c>
      <c r="B523" s="168">
        <f>'Прайс для расчета'!E514</f>
        <v>1491</v>
      </c>
    </row>
    <row r="524" spans="1:2" hidden="1" x14ac:dyDescent="0.25">
      <c r="A524" s="50" t="s">
        <v>726</v>
      </c>
      <c r="B524" s="168">
        <f>'Прайс для расчета'!E515</f>
        <v>2236.5</v>
      </c>
    </row>
    <row r="525" spans="1:2" ht="26.4" hidden="1" x14ac:dyDescent="0.25">
      <c r="A525" s="50" t="s">
        <v>587</v>
      </c>
      <c r="B525" s="168">
        <f>'Прайс для расчета'!E516</f>
        <v>447.3</v>
      </c>
    </row>
    <row r="526" spans="1:2" ht="26.4" hidden="1" x14ac:dyDescent="0.25">
      <c r="A526" s="50" t="s">
        <v>588</v>
      </c>
      <c r="B526" s="168">
        <f>'Прайс для расчета'!E517</f>
        <v>745.5</v>
      </c>
    </row>
    <row r="527" spans="1:2" ht="26.4" hidden="1" x14ac:dyDescent="0.25">
      <c r="A527" s="50" t="s">
        <v>723</v>
      </c>
      <c r="B527" s="168">
        <f>'Прайс для расчета'!E518</f>
        <v>2907.4500000000003</v>
      </c>
    </row>
    <row r="528" spans="1:2" hidden="1" x14ac:dyDescent="0.25">
      <c r="A528" s="45" t="s">
        <v>763</v>
      </c>
      <c r="B528" s="168">
        <f>'Прайс для расчета'!E519</f>
        <v>1789.2</v>
      </c>
    </row>
    <row r="529" spans="1:2" hidden="1" x14ac:dyDescent="0.25">
      <c r="A529" s="50" t="s">
        <v>589</v>
      </c>
      <c r="B529" s="168">
        <f>'Прайс для расчета'!E520</f>
        <v>715.68</v>
      </c>
    </row>
    <row r="530" spans="1:2" hidden="1" x14ac:dyDescent="0.25">
      <c r="A530" s="50" t="s">
        <v>174</v>
      </c>
      <c r="B530" s="168">
        <f>'Прайс для расчета'!E521</f>
        <v>559.125</v>
      </c>
    </row>
    <row r="531" spans="1:2" hidden="1" x14ac:dyDescent="0.25">
      <c r="A531" s="50" t="s">
        <v>175</v>
      </c>
      <c r="B531" s="168">
        <f>'Прайс для расчета'!E522</f>
        <v>894.6</v>
      </c>
    </row>
    <row r="532" spans="1:2" ht="26.4" hidden="1" x14ac:dyDescent="0.25">
      <c r="A532" s="45" t="s">
        <v>767</v>
      </c>
      <c r="B532" s="168">
        <f>'Прайс для расчета'!E523</f>
        <v>1341.9</v>
      </c>
    </row>
    <row r="533" spans="1:2" hidden="1" x14ac:dyDescent="0.25">
      <c r="A533" s="45" t="s">
        <v>768</v>
      </c>
      <c r="B533" s="168">
        <f>'Прайс для расчета'!E524</f>
        <v>1640.1000000000001</v>
      </c>
    </row>
    <row r="534" spans="1:2" hidden="1" x14ac:dyDescent="0.25">
      <c r="A534" s="45" t="s">
        <v>769</v>
      </c>
      <c r="B534" s="168">
        <f>'Прайс для расчета'!E525</f>
        <v>2236.5</v>
      </c>
    </row>
    <row r="535" spans="1:2" hidden="1" x14ac:dyDescent="0.25">
      <c r="A535" s="45" t="s">
        <v>770</v>
      </c>
      <c r="B535" s="168">
        <f>'Прайс для расчета'!E526</f>
        <v>2982</v>
      </c>
    </row>
    <row r="536" spans="1:2" hidden="1" x14ac:dyDescent="0.25">
      <c r="A536" s="52" t="s">
        <v>771</v>
      </c>
      <c r="B536" s="168">
        <f>'Прайс для расчета'!E527</f>
        <v>3727.5</v>
      </c>
    </row>
    <row r="537" spans="1:2" ht="26.4" hidden="1" x14ac:dyDescent="0.25">
      <c r="A537" s="53" t="s">
        <v>772</v>
      </c>
      <c r="B537" s="168">
        <f>'Прайс для расчета'!E528</f>
        <v>484.57500000000005</v>
      </c>
    </row>
    <row r="538" spans="1:2" hidden="1" x14ac:dyDescent="0.25">
      <c r="A538" s="45" t="s">
        <v>773</v>
      </c>
      <c r="B538" s="168">
        <f>'Прайс для расчета'!E529</f>
        <v>670.95</v>
      </c>
    </row>
    <row r="539" spans="1:2" hidden="1" x14ac:dyDescent="0.25">
      <c r="A539" s="45" t="s">
        <v>774</v>
      </c>
      <c r="B539" s="168">
        <f>'Прайс для расчета'!E530</f>
        <v>74.55</v>
      </c>
    </row>
    <row r="540" spans="1:2" hidden="1" x14ac:dyDescent="0.25">
      <c r="A540" s="45" t="s">
        <v>775</v>
      </c>
      <c r="B540" s="168">
        <f>'Прайс для расчета'!E531</f>
        <v>298.2</v>
      </c>
    </row>
    <row r="541" spans="1:2" hidden="1" x14ac:dyDescent="0.25">
      <c r="A541" s="45" t="s">
        <v>776</v>
      </c>
      <c r="B541" s="168">
        <f>'Прайс для расчета'!E532</f>
        <v>805.14</v>
      </c>
    </row>
    <row r="542" spans="1:2" hidden="1" x14ac:dyDescent="0.25">
      <c r="A542" s="45" t="s">
        <v>777</v>
      </c>
      <c r="B542" s="168">
        <f>'Прайс для расчета'!E533</f>
        <v>372.75</v>
      </c>
    </row>
    <row r="543" spans="1:2" hidden="1" x14ac:dyDescent="0.25">
      <c r="A543" s="45" t="s">
        <v>778</v>
      </c>
      <c r="B543" s="168">
        <f>'Прайс для расчета'!E534</f>
        <v>149.1</v>
      </c>
    </row>
    <row r="544" spans="1:2" hidden="1" x14ac:dyDescent="0.25">
      <c r="A544" s="45" t="s">
        <v>779</v>
      </c>
      <c r="B544" s="168">
        <f>'Прайс для расчета'!E535</f>
        <v>149.1</v>
      </c>
    </row>
    <row r="545" spans="1:2" hidden="1" x14ac:dyDescent="0.25">
      <c r="A545" s="45" t="s">
        <v>780</v>
      </c>
      <c r="B545" s="168">
        <f>'Прайс для расчета'!E536</f>
        <v>745.5</v>
      </c>
    </row>
    <row r="546" spans="1:2" hidden="1" x14ac:dyDescent="0.25">
      <c r="A546" s="45" t="s">
        <v>781</v>
      </c>
      <c r="B546" s="168">
        <f>'Прайс для расчета'!E537</f>
        <v>670.95</v>
      </c>
    </row>
    <row r="547" spans="1:2" hidden="1" x14ac:dyDescent="0.25">
      <c r="A547" s="45" t="s">
        <v>782</v>
      </c>
      <c r="B547" s="168">
        <f>'Прайс для расчета'!E538</f>
        <v>372.75</v>
      </c>
    </row>
    <row r="548" spans="1:2" hidden="1" x14ac:dyDescent="0.25">
      <c r="A548" s="45" t="s">
        <v>783</v>
      </c>
      <c r="B548" s="168">
        <f>'Прайс для расчета'!E539</f>
        <v>805.14</v>
      </c>
    </row>
    <row r="549" spans="1:2" ht="26.4" hidden="1" x14ac:dyDescent="0.25">
      <c r="A549" s="45" t="s">
        <v>784</v>
      </c>
      <c r="B549" s="168">
        <f>'Прайс для расчета'!E540</f>
        <v>1252.44</v>
      </c>
    </row>
    <row r="550" spans="1:2" ht="26.4" hidden="1" x14ac:dyDescent="0.25">
      <c r="A550" s="45" t="s">
        <v>785</v>
      </c>
      <c r="B550" s="168">
        <f>'Прайс для расчета'!E541</f>
        <v>805.14</v>
      </c>
    </row>
    <row r="551" spans="1:2" ht="26.4" hidden="1" x14ac:dyDescent="0.25">
      <c r="A551" s="45" t="s">
        <v>786</v>
      </c>
      <c r="B551" s="168">
        <f>'Прайс для расчета'!E542</f>
        <v>1073.52</v>
      </c>
    </row>
    <row r="552" spans="1:2" ht="26.4" hidden="1" x14ac:dyDescent="0.25">
      <c r="A552" s="45" t="s">
        <v>787</v>
      </c>
      <c r="B552" s="168">
        <f>'Прайс для расчета'!E543</f>
        <v>246.01499999999999</v>
      </c>
    </row>
    <row r="553" spans="1:2" hidden="1" x14ac:dyDescent="0.25">
      <c r="A553" s="45" t="s">
        <v>788</v>
      </c>
      <c r="B553" s="168">
        <f>'Прайс для расчета'!E544</f>
        <v>805.14</v>
      </c>
    </row>
    <row r="554" spans="1:2" hidden="1" x14ac:dyDescent="0.25">
      <c r="A554" s="45" t="s">
        <v>789</v>
      </c>
      <c r="B554" s="168">
        <f>'Прайс для расчета'!E545</f>
        <v>2683.8</v>
      </c>
    </row>
    <row r="555" spans="1:2" hidden="1" x14ac:dyDescent="0.25">
      <c r="A555" s="45" t="s">
        <v>790</v>
      </c>
      <c r="B555" s="168">
        <f>'Прайс для расчета'!E546</f>
        <v>596.4</v>
      </c>
    </row>
    <row r="556" spans="1:2" hidden="1" x14ac:dyDescent="0.25">
      <c r="A556" s="45" t="s">
        <v>791</v>
      </c>
      <c r="B556" s="168">
        <f>'Прайс для расчета'!E547</f>
        <v>670.95</v>
      </c>
    </row>
    <row r="557" spans="1:2" hidden="1" x14ac:dyDescent="0.25">
      <c r="A557" s="45" t="s">
        <v>792</v>
      </c>
      <c r="B557" s="168">
        <f>'Прайс для расчета'!E548</f>
        <v>298.2</v>
      </c>
    </row>
    <row r="558" spans="1:2" hidden="1" x14ac:dyDescent="0.25">
      <c r="A558" s="45" t="s">
        <v>793</v>
      </c>
      <c r="B558" s="168">
        <f>'Прайс для расчета'!E549</f>
        <v>149.1</v>
      </c>
    </row>
    <row r="559" spans="1:2" hidden="1" x14ac:dyDescent="0.25">
      <c r="A559" s="45" t="s">
        <v>794</v>
      </c>
      <c r="B559" s="168">
        <f>'Прайс для расчета'!E550</f>
        <v>745.5</v>
      </c>
    </row>
    <row r="560" spans="1:2" hidden="1" x14ac:dyDescent="0.25">
      <c r="A560" s="45" t="s">
        <v>795</v>
      </c>
      <c r="B560" s="168">
        <f>'Прайс для расчета'!E551</f>
        <v>805.14</v>
      </c>
    </row>
    <row r="561" spans="1:2" hidden="1" x14ac:dyDescent="0.25">
      <c r="A561" s="45" t="s">
        <v>796</v>
      </c>
      <c r="B561" s="168">
        <f>'Прайс для расчета'!E552</f>
        <v>268.38</v>
      </c>
    </row>
    <row r="562" spans="1:2" hidden="1" x14ac:dyDescent="0.25">
      <c r="A562" s="45" t="s">
        <v>797</v>
      </c>
      <c r="B562" s="168">
        <f>'Прайс для расчета'!E553</f>
        <v>1341.9</v>
      </c>
    </row>
    <row r="563" spans="1:2" hidden="1" x14ac:dyDescent="0.25">
      <c r="A563" s="45" t="s">
        <v>798</v>
      </c>
      <c r="B563" s="168">
        <f>'Прайс для расчета'!E554</f>
        <v>2982</v>
      </c>
    </row>
    <row r="564" spans="1:2" hidden="1" x14ac:dyDescent="0.25">
      <c r="A564" s="45" t="s">
        <v>799</v>
      </c>
      <c r="B564" s="168">
        <f>'Прайс для расчета'!E555</f>
        <v>4473</v>
      </c>
    </row>
    <row r="565" spans="1:2" hidden="1" x14ac:dyDescent="0.25">
      <c r="A565" s="45" t="s">
        <v>800</v>
      </c>
      <c r="B565" s="168">
        <f>'Прайс для расчета'!E556</f>
        <v>8051.4000000000005</v>
      </c>
    </row>
    <row r="566" spans="1:2" hidden="1" x14ac:dyDescent="0.25">
      <c r="A566" s="45" t="s">
        <v>801</v>
      </c>
      <c r="B566" s="168">
        <f>'Прайс для расчета'!E557</f>
        <v>2982</v>
      </c>
    </row>
    <row r="567" spans="1:2" hidden="1" x14ac:dyDescent="0.25">
      <c r="A567" s="45" t="s">
        <v>802</v>
      </c>
      <c r="B567" s="168">
        <f>'Прайс для расчета'!E558</f>
        <v>8051.4000000000005</v>
      </c>
    </row>
    <row r="568" spans="1:2" hidden="1" x14ac:dyDescent="0.25">
      <c r="A568" s="45" t="s">
        <v>803</v>
      </c>
      <c r="B568" s="168">
        <f>'Прайс для расчета'!E559</f>
        <v>5069.4000000000005</v>
      </c>
    </row>
    <row r="569" spans="1:2" hidden="1" x14ac:dyDescent="0.25">
      <c r="A569" s="45" t="s">
        <v>804</v>
      </c>
      <c r="B569" s="168">
        <f>'Прайс для расчета'!E560</f>
        <v>6262.2</v>
      </c>
    </row>
    <row r="570" spans="1:2" hidden="1" x14ac:dyDescent="0.25">
      <c r="A570" s="45" t="s">
        <v>724</v>
      </c>
      <c r="B570" s="168">
        <f>'Прайс для расчета'!E561</f>
        <v>6262.2</v>
      </c>
    </row>
    <row r="571" spans="1:2" hidden="1" x14ac:dyDescent="0.25">
      <c r="A571" s="45" t="s">
        <v>805</v>
      </c>
      <c r="B571" s="168">
        <f>'Прайс для расчета'!E562</f>
        <v>8051.4000000000005</v>
      </c>
    </row>
    <row r="572" spans="1:2" hidden="1" x14ac:dyDescent="0.25">
      <c r="A572" s="45" t="s">
        <v>168</v>
      </c>
      <c r="B572" s="168">
        <f>'Прайс для расчета'!E563</f>
        <v>2982</v>
      </c>
    </row>
    <row r="573" spans="1:2" hidden="1" x14ac:dyDescent="0.25">
      <c r="A573" s="45" t="s">
        <v>807</v>
      </c>
      <c r="B573" s="168">
        <f>'Прайс для расчета'!E564</f>
        <v>4473</v>
      </c>
    </row>
    <row r="574" spans="1:2" ht="26.4" hidden="1" x14ac:dyDescent="0.25">
      <c r="A574" s="50" t="s">
        <v>590</v>
      </c>
      <c r="B574" s="168">
        <f>'Прайс для расчета'!E565</f>
        <v>2982</v>
      </c>
    </row>
    <row r="575" spans="1:2" ht="26.4" hidden="1" x14ac:dyDescent="0.25">
      <c r="A575" s="50" t="s">
        <v>591</v>
      </c>
      <c r="B575" s="168">
        <f>'Прайс для расчета'!E566</f>
        <v>4473</v>
      </c>
    </row>
    <row r="576" spans="1:2" hidden="1" x14ac:dyDescent="0.25">
      <c r="A576" s="50" t="s">
        <v>592</v>
      </c>
      <c r="B576" s="168">
        <f>'Прайс для расчета'!E567</f>
        <v>8051.4000000000005</v>
      </c>
    </row>
    <row r="577" spans="1:2" hidden="1" x14ac:dyDescent="0.25">
      <c r="A577" s="50" t="s">
        <v>246</v>
      </c>
      <c r="B577" s="168">
        <f>'Прайс для расчета'!E568</f>
        <v>8051.4000000000005</v>
      </c>
    </row>
    <row r="578" spans="1:2" hidden="1" x14ac:dyDescent="0.25">
      <c r="A578" s="50" t="s">
        <v>209</v>
      </c>
      <c r="B578" s="168">
        <f>'Прайс для расчета'!E569</f>
        <v>2683.8</v>
      </c>
    </row>
    <row r="579" spans="1:2" hidden="1" x14ac:dyDescent="0.25">
      <c r="A579" s="50" t="s">
        <v>248</v>
      </c>
      <c r="B579" s="168">
        <f>'Прайс для расчета'!E570</f>
        <v>8051.4000000000005</v>
      </c>
    </row>
    <row r="580" spans="1:2" hidden="1" x14ac:dyDescent="0.25">
      <c r="A580" s="50" t="s">
        <v>249</v>
      </c>
      <c r="B580" s="168">
        <f>'Прайс для расчета'!E571</f>
        <v>2683.8</v>
      </c>
    </row>
    <row r="581" spans="1:2" hidden="1" x14ac:dyDescent="0.25">
      <c r="A581" s="50" t="s">
        <v>593</v>
      </c>
      <c r="B581" s="168">
        <f>'Прайс для расчета'!E572</f>
        <v>111.825</v>
      </c>
    </row>
    <row r="582" spans="1:2" hidden="1" x14ac:dyDescent="0.25">
      <c r="A582" s="50" t="s">
        <v>265</v>
      </c>
      <c r="B582" s="168">
        <f>'Прайс для расчета'!E573</f>
        <v>89.46</v>
      </c>
    </row>
    <row r="583" spans="1:2" ht="26.4" hidden="1" x14ac:dyDescent="0.25">
      <c r="A583" s="50" t="s">
        <v>907</v>
      </c>
      <c r="B583" s="168">
        <f>'Прайс для расчета'!E574</f>
        <v>44.73</v>
      </c>
    </row>
    <row r="584" spans="1:2" ht="26.4" hidden="1" x14ac:dyDescent="0.25">
      <c r="A584" s="50" t="s">
        <v>908</v>
      </c>
      <c r="B584" s="168">
        <f>'Прайс для расчета'!E575</f>
        <v>223.65</v>
      </c>
    </row>
    <row r="585" spans="1:2" ht="26.4" hidden="1" x14ac:dyDescent="0.25">
      <c r="A585" s="50" t="s">
        <v>909</v>
      </c>
      <c r="B585" s="168">
        <f>'Прайс для расчета'!E576</f>
        <v>2683.8</v>
      </c>
    </row>
    <row r="586" spans="1:2" hidden="1" x14ac:dyDescent="0.25">
      <c r="A586" s="50" t="s">
        <v>910</v>
      </c>
      <c r="B586" s="168">
        <f>'Прайс для расчета'!E577</f>
        <v>1491</v>
      </c>
    </row>
    <row r="587" spans="1:2" ht="26.4" hidden="1" x14ac:dyDescent="0.25">
      <c r="A587" s="50" t="s">
        <v>594</v>
      </c>
      <c r="B587" s="168">
        <f>'Прайс для расчета'!E578</f>
        <v>46593.75</v>
      </c>
    </row>
    <row r="588" spans="1:2" hidden="1" x14ac:dyDescent="0.25">
      <c r="A588" s="50" t="s">
        <v>911</v>
      </c>
      <c r="B588" s="168">
        <f>'Прайс для расчета'!E579</f>
        <v>178.92</v>
      </c>
    </row>
    <row r="589" spans="1:2" hidden="1" x14ac:dyDescent="0.25">
      <c r="A589" s="50" t="s">
        <v>6</v>
      </c>
      <c r="B589" s="168">
        <f>'Прайс для расчета'!E580</f>
        <v>447.3</v>
      </c>
    </row>
    <row r="590" spans="1:2" hidden="1" x14ac:dyDescent="0.25">
      <c r="A590" s="50" t="s">
        <v>7</v>
      </c>
      <c r="B590" s="168">
        <f>'Прайс для расчета'!E581</f>
        <v>11182.5</v>
      </c>
    </row>
    <row r="591" spans="1:2" hidden="1" x14ac:dyDescent="0.25">
      <c r="A591" s="50" t="s">
        <v>912</v>
      </c>
      <c r="B591" s="168">
        <f>'Прайс для расчета'!E591</f>
        <v>1043.7</v>
      </c>
    </row>
    <row r="592" spans="1:2" hidden="1" x14ac:dyDescent="0.25">
      <c r="A592" s="50" t="s">
        <v>913</v>
      </c>
      <c r="B592" s="168">
        <f>'Прайс для расчета'!E592</f>
        <v>2907.4500000000003</v>
      </c>
    </row>
    <row r="593" spans="1:2" hidden="1" x14ac:dyDescent="0.25">
      <c r="A593" s="50" t="s">
        <v>9</v>
      </c>
      <c r="B593" s="168">
        <f>'Прайс для расчета'!E593</f>
        <v>1491</v>
      </c>
    </row>
    <row r="594" spans="1:2" hidden="1" x14ac:dyDescent="0.25">
      <c r="A594" s="50" t="s">
        <v>106</v>
      </c>
      <c r="B594" s="168">
        <f>'Прайс для расчета'!E594</f>
        <v>11928</v>
      </c>
    </row>
    <row r="595" spans="1:2" hidden="1" x14ac:dyDescent="0.25">
      <c r="A595" s="50" t="s">
        <v>595</v>
      </c>
      <c r="B595" s="168">
        <f>'Прайс для расчета'!E595</f>
        <v>2236.5</v>
      </c>
    </row>
    <row r="596" spans="1:2" hidden="1" x14ac:dyDescent="0.25">
      <c r="A596" s="50" t="s">
        <v>596</v>
      </c>
      <c r="B596" s="168">
        <f>'Прайс для расчета'!E582</f>
        <v>18637.5</v>
      </c>
    </row>
    <row r="597" spans="1:2" ht="26.4" hidden="1" x14ac:dyDescent="0.25">
      <c r="A597" s="50" t="s">
        <v>108</v>
      </c>
      <c r="B597" s="168">
        <f>'Прайс для расчета'!E583</f>
        <v>19383</v>
      </c>
    </row>
    <row r="598" spans="1:2" hidden="1" x14ac:dyDescent="0.25">
      <c r="A598" s="50" t="s">
        <v>597</v>
      </c>
      <c r="B598" s="168">
        <f>'Прайс для расчета'!E584</f>
        <v>20128.5</v>
      </c>
    </row>
    <row r="599" spans="1:2" hidden="1" x14ac:dyDescent="0.25">
      <c r="A599" s="50" t="s">
        <v>598</v>
      </c>
      <c r="B599" s="168">
        <f>'Прайс для расчета'!E585</f>
        <v>20874</v>
      </c>
    </row>
    <row r="600" spans="1:2" hidden="1" x14ac:dyDescent="0.25">
      <c r="A600" s="50" t="s">
        <v>599</v>
      </c>
      <c r="B600" s="168">
        <f>'Прайс для расчета'!E586</f>
        <v>20128.5</v>
      </c>
    </row>
    <row r="601" spans="1:2" hidden="1" x14ac:dyDescent="0.25">
      <c r="A601" s="50" t="s">
        <v>600</v>
      </c>
      <c r="B601" s="168">
        <f>'Прайс для расчета'!E587</f>
        <v>14910</v>
      </c>
    </row>
    <row r="602" spans="1:2" hidden="1" x14ac:dyDescent="0.25">
      <c r="A602" s="50" t="s">
        <v>601</v>
      </c>
      <c r="B602" s="168">
        <f>'Прайс для расчета'!E588</f>
        <v>10437</v>
      </c>
    </row>
    <row r="603" spans="1:2" ht="26.4" hidden="1" x14ac:dyDescent="0.25">
      <c r="A603" s="50" t="s">
        <v>914</v>
      </c>
      <c r="B603" s="168">
        <f>'Прайс для расчета'!E589</f>
        <v>2236.5</v>
      </c>
    </row>
    <row r="604" spans="1:2" ht="26.4" hidden="1" x14ac:dyDescent="0.25">
      <c r="A604" s="50" t="s">
        <v>915</v>
      </c>
      <c r="B604" s="168">
        <f>'Прайс для расчета'!E590</f>
        <v>1043.7</v>
      </c>
    </row>
    <row r="605" spans="1:2" hidden="1" x14ac:dyDescent="0.25">
      <c r="A605" s="50" t="s">
        <v>916</v>
      </c>
      <c r="B605" s="168">
        <f>'Прайс для расчета'!E591</f>
        <v>1043.7</v>
      </c>
    </row>
    <row r="606" spans="1:2" hidden="1" x14ac:dyDescent="0.25">
      <c r="A606" s="50" t="s">
        <v>917</v>
      </c>
      <c r="B606" s="168">
        <f>'Прайс для расчета'!E592</f>
        <v>2907.4500000000003</v>
      </c>
    </row>
    <row r="607" spans="1:2" hidden="1" x14ac:dyDescent="0.25">
      <c r="A607" s="50" t="s">
        <v>918</v>
      </c>
      <c r="B607" s="168">
        <f>'Прайс для расчета'!E593</f>
        <v>1491</v>
      </c>
    </row>
    <row r="608" spans="1:2" hidden="1" x14ac:dyDescent="0.25">
      <c r="A608" s="50" t="s">
        <v>278</v>
      </c>
      <c r="B608" s="168">
        <f>'Прайс для расчета'!E594</f>
        <v>11928</v>
      </c>
    </row>
    <row r="609" spans="1:2" hidden="1" x14ac:dyDescent="0.25">
      <c r="A609" s="50" t="s">
        <v>602</v>
      </c>
      <c r="B609" s="168">
        <f>'Прайс для расчета'!E595</f>
        <v>2236.5</v>
      </c>
    </row>
    <row r="610" spans="1:2" hidden="1" x14ac:dyDescent="0.25">
      <c r="A610" s="50" t="s">
        <v>243</v>
      </c>
      <c r="B610" s="168">
        <f>'Прайс для расчета'!E596</f>
        <v>894.6</v>
      </c>
    </row>
    <row r="611" spans="1:2" hidden="1" x14ac:dyDescent="0.25">
      <c r="A611" s="50" t="s">
        <v>244</v>
      </c>
      <c r="B611" s="168">
        <f>'Прайс для расчета'!E597</f>
        <v>22365</v>
      </c>
    </row>
    <row r="612" spans="1:2" hidden="1" x14ac:dyDescent="0.25">
      <c r="A612" s="50" t="s">
        <v>725</v>
      </c>
      <c r="B612" s="168">
        <f>'Прайс для расчета'!E598</f>
        <v>2236.5</v>
      </c>
    </row>
    <row r="613" spans="1:2" hidden="1" x14ac:dyDescent="0.25">
      <c r="A613" s="50" t="s">
        <v>66</v>
      </c>
      <c r="B613" s="168">
        <f>'Прайс для расчета'!E599</f>
        <v>894.6</v>
      </c>
    </row>
    <row r="614" spans="1:2" hidden="1" x14ac:dyDescent="0.25">
      <c r="A614" s="50" t="s">
        <v>67</v>
      </c>
      <c r="B614" s="168">
        <f>'Прайс для расчета'!E600</f>
        <v>1118.25</v>
      </c>
    </row>
    <row r="615" spans="1:2" hidden="1" x14ac:dyDescent="0.25">
      <c r="A615" s="50" t="s">
        <v>603</v>
      </c>
      <c r="B615" s="168">
        <f>'Прайс для расчета'!E601</f>
        <v>9691.5</v>
      </c>
    </row>
    <row r="616" spans="1:2" hidden="1" x14ac:dyDescent="0.25">
      <c r="A616" s="50" t="s">
        <v>273</v>
      </c>
      <c r="B616" s="168">
        <f>'Прайс для расчета'!E602</f>
        <v>8200.5</v>
      </c>
    </row>
    <row r="617" spans="1:2" hidden="1" x14ac:dyDescent="0.25">
      <c r="A617" s="50" t="s">
        <v>211</v>
      </c>
      <c r="B617" s="168">
        <f>'Прайс для расчета'!E603</f>
        <v>10437</v>
      </c>
    </row>
    <row r="618" spans="1:2" hidden="1" x14ac:dyDescent="0.25">
      <c r="A618" s="50" t="s">
        <v>604</v>
      </c>
      <c r="B618" s="168">
        <f>'Прайс для расчета'!E604</f>
        <v>8946</v>
      </c>
    </row>
    <row r="619" spans="1:2" hidden="1" x14ac:dyDescent="0.25">
      <c r="A619" s="50" t="s">
        <v>605</v>
      </c>
      <c r="B619" s="168">
        <f>'Прайс для расчета'!E605</f>
        <v>6709.5</v>
      </c>
    </row>
    <row r="620" spans="1:2" hidden="1" x14ac:dyDescent="0.25">
      <c r="A620" s="50" t="s">
        <v>606</v>
      </c>
      <c r="B620" s="168">
        <f>'Прайс для расчета'!E606</f>
        <v>6709.5</v>
      </c>
    </row>
    <row r="621" spans="1:2" ht="26.4" hidden="1" x14ac:dyDescent="0.25">
      <c r="A621" s="50" t="s">
        <v>607</v>
      </c>
      <c r="B621" s="168">
        <f>'Прайс для расчета'!E607</f>
        <v>2236.5</v>
      </c>
    </row>
    <row r="622" spans="1:2" ht="26.4" hidden="1" x14ac:dyDescent="0.25">
      <c r="A622" s="50" t="s">
        <v>608</v>
      </c>
      <c r="B622" s="168">
        <f>'Прайс для расчета'!E608</f>
        <v>1341.9</v>
      </c>
    </row>
    <row r="623" spans="1:2" ht="26.4" hidden="1" x14ac:dyDescent="0.25">
      <c r="A623" s="50" t="s">
        <v>68</v>
      </c>
      <c r="B623" s="168">
        <f>'Прайс для расчета'!E609</f>
        <v>1118.25</v>
      </c>
    </row>
    <row r="624" spans="1:2" ht="26.4" hidden="1" x14ac:dyDescent="0.25">
      <c r="A624" s="50" t="s">
        <v>69</v>
      </c>
      <c r="B624" s="168">
        <f>'Прайс для расчета'!E610</f>
        <v>1968.12</v>
      </c>
    </row>
    <row r="625" spans="1:2" ht="26.4" hidden="1" x14ac:dyDescent="0.25">
      <c r="A625" s="50" t="s">
        <v>70</v>
      </c>
      <c r="B625" s="168">
        <f>'Прайс для расчета'!E611</f>
        <v>1431.36</v>
      </c>
    </row>
    <row r="626" spans="1:2" hidden="1" x14ac:dyDescent="0.25">
      <c r="A626" s="50" t="s">
        <v>609</v>
      </c>
      <c r="B626" s="168">
        <f>'Прайс для расчета'!E612</f>
        <v>894.6</v>
      </c>
    </row>
    <row r="627" spans="1:2" hidden="1" x14ac:dyDescent="0.25">
      <c r="A627" s="50" t="s">
        <v>610</v>
      </c>
      <c r="B627" s="168">
        <f>'Прайс для расчета'!E613</f>
        <v>3578.4</v>
      </c>
    </row>
    <row r="628" spans="1:2" hidden="1" x14ac:dyDescent="0.25">
      <c r="A628" s="50" t="s">
        <v>611</v>
      </c>
      <c r="B628" s="168">
        <f>'Прайс для расчета'!E614</f>
        <v>1789.2</v>
      </c>
    </row>
    <row r="629" spans="1:2" hidden="1" x14ac:dyDescent="0.25">
      <c r="A629" s="50" t="s">
        <v>612</v>
      </c>
      <c r="B629" s="168">
        <f>'Прайс для расчета'!E615</f>
        <v>1043.7</v>
      </c>
    </row>
    <row r="630" spans="1:2" hidden="1" x14ac:dyDescent="0.25">
      <c r="A630" s="50" t="s">
        <v>613</v>
      </c>
      <c r="B630" s="168">
        <f>'Прайс для расчета'!E616</f>
        <v>2982</v>
      </c>
    </row>
    <row r="631" spans="1:2" hidden="1" x14ac:dyDescent="0.25">
      <c r="A631" s="50" t="s">
        <v>614</v>
      </c>
      <c r="B631" s="168">
        <f>'Прайс для расчета'!E617</f>
        <v>1491</v>
      </c>
    </row>
    <row r="632" spans="1:2" hidden="1" x14ac:dyDescent="0.25">
      <c r="A632" s="50" t="s">
        <v>615</v>
      </c>
      <c r="B632" s="168">
        <f>'Прайс для расчета'!E618</f>
        <v>596.4</v>
      </c>
    </row>
    <row r="633" spans="1:2" hidden="1" x14ac:dyDescent="0.25">
      <c r="A633" s="50" t="s">
        <v>253</v>
      </c>
      <c r="B633" s="168">
        <f>'Прайс для расчета'!E619</f>
        <v>1118.25</v>
      </c>
    </row>
    <row r="634" spans="1:2" hidden="1" x14ac:dyDescent="0.25">
      <c r="A634" s="50" t="s">
        <v>78</v>
      </c>
      <c r="B634" s="168">
        <f>'Прайс для расчета'!E620</f>
        <v>447.3</v>
      </c>
    </row>
    <row r="635" spans="1:2" ht="26.4" hidden="1" x14ac:dyDescent="0.25">
      <c r="A635" s="50" t="s">
        <v>616</v>
      </c>
      <c r="B635" s="168">
        <f>'Прайс для расчета'!E621</f>
        <v>596.4</v>
      </c>
    </row>
    <row r="636" spans="1:2" ht="26.4" hidden="1" x14ac:dyDescent="0.25">
      <c r="A636" s="50" t="s">
        <v>617</v>
      </c>
      <c r="B636" s="168">
        <f>'Прайс для расчета'!E622</f>
        <v>1192.8</v>
      </c>
    </row>
    <row r="637" spans="1:2" hidden="1" x14ac:dyDescent="0.25">
      <c r="A637" s="50" t="s">
        <v>618</v>
      </c>
      <c r="B637" s="168">
        <f>'Прайс для расчета'!E623</f>
        <v>447.3</v>
      </c>
    </row>
    <row r="638" spans="1:2" hidden="1" x14ac:dyDescent="0.25">
      <c r="A638" s="50" t="s">
        <v>619</v>
      </c>
      <c r="B638" s="168">
        <f>'Прайс для расчета'!E624</f>
        <v>357.84</v>
      </c>
    </row>
    <row r="639" spans="1:2" hidden="1" x14ac:dyDescent="0.25">
      <c r="A639" s="50" t="s">
        <v>620</v>
      </c>
      <c r="B639" s="168">
        <f>'Прайс для расчета'!E625</f>
        <v>208.73999999999998</v>
      </c>
    </row>
    <row r="640" spans="1:2" hidden="1" x14ac:dyDescent="0.25">
      <c r="A640" s="50" t="s">
        <v>621</v>
      </c>
      <c r="B640" s="168">
        <f>'Прайс для расчета'!E626</f>
        <v>6709.5</v>
      </c>
    </row>
    <row r="641" spans="1:2" hidden="1" x14ac:dyDescent="0.25">
      <c r="A641" s="50" t="s">
        <v>622</v>
      </c>
      <c r="B641" s="168">
        <f>'Прайс для расчета'!E627</f>
        <v>7455</v>
      </c>
    </row>
    <row r="642" spans="1:2" hidden="1" x14ac:dyDescent="0.25">
      <c r="A642" s="50" t="s">
        <v>623</v>
      </c>
      <c r="B642" s="168">
        <f>'Прайс для расчета'!E628</f>
        <v>8200.5</v>
      </c>
    </row>
    <row r="643" spans="1:2" hidden="1" x14ac:dyDescent="0.25">
      <c r="A643" s="50" t="s">
        <v>624</v>
      </c>
      <c r="B643" s="168">
        <f>'Прайс для расчета'!E629</f>
        <v>8946</v>
      </c>
    </row>
    <row r="644" spans="1:2" hidden="1" x14ac:dyDescent="0.25">
      <c r="A644" s="50" t="s">
        <v>625</v>
      </c>
      <c r="B644" s="168">
        <f>'Прайс для расчета'!E630</f>
        <v>8946</v>
      </c>
    </row>
    <row r="645" spans="1:2" hidden="1" x14ac:dyDescent="0.25">
      <c r="A645" s="50" t="s">
        <v>274</v>
      </c>
      <c r="B645" s="168">
        <f>'Прайс для расчета'!E631</f>
        <v>8946</v>
      </c>
    </row>
    <row r="646" spans="1:2" hidden="1" x14ac:dyDescent="0.25">
      <c r="A646" s="50" t="s">
        <v>86</v>
      </c>
      <c r="B646" s="168">
        <f>'Прайс для расчета'!E632</f>
        <v>10735.2</v>
      </c>
    </row>
    <row r="647" spans="1:2" ht="26.4" hidden="1" x14ac:dyDescent="0.25">
      <c r="A647" s="50" t="s">
        <v>626</v>
      </c>
      <c r="B647" s="168">
        <f>'Прайс для расчета'!E633</f>
        <v>5218.5</v>
      </c>
    </row>
    <row r="648" spans="1:2" hidden="1" x14ac:dyDescent="0.25">
      <c r="A648" s="50" t="s">
        <v>256</v>
      </c>
      <c r="B648" s="168">
        <f>'Прайс для расчета'!E634</f>
        <v>5218.5</v>
      </c>
    </row>
    <row r="649" spans="1:2" hidden="1" x14ac:dyDescent="0.25">
      <c r="A649" s="50" t="s">
        <v>919</v>
      </c>
      <c r="B649" s="168">
        <f>'Прайс для расчета'!E635</f>
        <v>1997.94</v>
      </c>
    </row>
    <row r="650" spans="1:2" ht="26.4" hidden="1" x14ac:dyDescent="0.25">
      <c r="A650" s="50" t="s">
        <v>627</v>
      </c>
      <c r="B650" s="168">
        <f>'Прайс для расчета'!E636</f>
        <v>2534.7000000000003</v>
      </c>
    </row>
    <row r="651" spans="1:2" hidden="1" x14ac:dyDescent="0.25">
      <c r="A651" s="50" t="s">
        <v>213</v>
      </c>
      <c r="B651" s="168">
        <f>'Прайс для расчета'!E637</f>
        <v>15655.5</v>
      </c>
    </row>
    <row r="652" spans="1:2" hidden="1" x14ac:dyDescent="0.25">
      <c r="A652" s="50" t="s">
        <v>214</v>
      </c>
      <c r="B652" s="168">
        <f>'Прайс для расчета'!E638</f>
        <v>17742.900000000001</v>
      </c>
    </row>
    <row r="653" spans="1:2" ht="26.4" hidden="1" x14ac:dyDescent="0.25">
      <c r="A653" s="50" t="s">
        <v>628</v>
      </c>
      <c r="B653" s="168">
        <f>'Прайс для расчета'!E639</f>
        <v>19681.2</v>
      </c>
    </row>
    <row r="654" spans="1:2" hidden="1" x14ac:dyDescent="0.25">
      <c r="A654" s="50" t="s">
        <v>88</v>
      </c>
      <c r="B654" s="168">
        <f>'Прайс для расчета'!E640</f>
        <v>21470.400000000001</v>
      </c>
    </row>
    <row r="655" spans="1:2" hidden="1" x14ac:dyDescent="0.25">
      <c r="A655" s="50" t="s">
        <v>89</v>
      </c>
      <c r="B655" s="168">
        <f>'Прайс для расчета'!E641</f>
        <v>26838</v>
      </c>
    </row>
    <row r="656" spans="1:2" ht="26.4" hidden="1" x14ac:dyDescent="0.25">
      <c r="A656" s="50" t="s">
        <v>629</v>
      </c>
      <c r="B656" s="168">
        <f>'Прайс для расчета'!E642</f>
        <v>30416.400000000001</v>
      </c>
    </row>
    <row r="657" spans="1:2" ht="26.4" hidden="1" x14ac:dyDescent="0.25">
      <c r="A657" s="50" t="s">
        <v>630</v>
      </c>
      <c r="B657" s="168">
        <f>'Прайс для расчета'!E643</f>
        <v>35784</v>
      </c>
    </row>
    <row r="658" spans="1:2" ht="26.4" hidden="1" x14ac:dyDescent="0.25">
      <c r="A658" s="50" t="s">
        <v>631</v>
      </c>
      <c r="B658" s="168">
        <f>'Прайс для расчета'!E644</f>
        <v>5218.5</v>
      </c>
    </row>
    <row r="659" spans="1:2" ht="26.4" hidden="1" x14ac:dyDescent="0.25">
      <c r="A659" s="50" t="s">
        <v>632</v>
      </c>
      <c r="B659" s="168">
        <f>'Прайс для расчета'!E645</f>
        <v>4473</v>
      </c>
    </row>
    <row r="660" spans="1:2" ht="26.4" hidden="1" x14ac:dyDescent="0.25">
      <c r="A660" s="50" t="s">
        <v>633</v>
      </c>
      <c r="B660" s="168">
        <f>'Прайс для расчета'!E646</f>
        <v>10437</v>
      </c>
    </row>
    <row r="661" spans="1:2" ht="26.4" hidden="1" x14ac:dyDescent="0.25">
      <c r="A661" s="50" t="s">
        <v>634</v>
      </c>
      <c r="B661" s="168">
        <f>'Прайс для расчета'!E647</f>
        <v>1789.2</v>
      </c>
    </row>
    <row r="662" spans="1:2" ht="26.4" hidden="1" x14ac:dyDescent="0.25">
      <c r="A662" s="50" t="s">
        <v>635</v>
      </c>
      <c r="B662" s="168">
        <f>'Прайс для расчета'!E648</f>
        <v>268.38</v>
      </c>
    </row>
    <row r="663" spans="1:2" ht="26.4" hidden="1" x14ac:dyDescent="0.25">
      <c r="A663" s="50" t="s">
        <v>93</v>
      </c>
      <c r="B663" s="168">
        <f>'Прайс для расчета'!E649</f>
        <v>2832.9</v>
      </c>
    </row>
    <row r="664" spans="1:2" hidden="1" x14ac:dyDescent="0.25">
      <c r="A664" s="50" t="s">
        <v>257</v>
      </c>
      <c r="B664" s="168">
        <f>'Прайс для расчета'!E650</f>
        <v>2147.04</v>
      </c>
    </row>
    <row r="665" spans="1:2" hidden="1" x14ac:dyDescent="0.25">
      <c r="A665" s="50" t="s">
        <v>258</v>
      </c>
      <c r="B665" s="168">
        <f>'Прайс для расчета'!E651</f>
        <v>5218.5</v>
      </c>
    </row>
    <row r="666" spans="1:2" ht="52.8" hidden="1" x14ac:dyDescent="0.25">
      <c r="A666" s="50" t="s">
        <v>636</v>
      </c>
      <c r="B666" s="168">
        <f>'Прайс для расчета'!E652</f>
        <v>2982</v>
      </c>
    </row>
    <row r="667" spans="1:2" ht="26.4" hidden="1" x14ac:dyDescent="0.25">
      <c r="A667" s="50" t="s">
        <v>637</v>
      </c>
      <c r="B667" s="168">
        <f>'Прайс для расчета'!E653</f>
        <v>6709.5</v>
      </c>
    </row>
    <row r="668" spans="1:2" hidden="1" x14ac:dyDescent="0.25">
      <c r="A668" s="50" t="s">
        <v>638</v>
      </c>
      <c r="B668" s="168">
        <f>'Прайс для расчета'!E654</f>
        <v>5964</v>
      </c>
    </row>
    <row r="669" spans="1:2" hidden="1" x14ac:dyDescent="0.25">
      <c r="A669" s="50" t="s">
        <v>639</v>
      </c>
      <c r="B669" s="168">
        <f>'Прайс для расчета'!E655</f>
        <v>5964</v>
      </c>
    </row>
    <row r="670" spans="1:2" ht="26.4" hidden="1" x14ac:dyDescent="0.25">
      <c r="A670" s="50" t="s">
        <v>640</v>
      </c>
      <c r="B670" s="168">
        <f>'Прайс для расчета'!E656</f>
        <v>805.14</v>
      </c>
    </row>
    <row r="671" spans="1:2" hidden="1" x14ac:dyDescent="0.25">
      <c r="A671" s="50" t="s">
        <v>98</v>
      </c>
      <c r="B671" s="168">
        <f>'Прайс для расчета'!E657</f>
        <v>894.6</v>
      </c>
    </row>
    <row r="672" spans="1:2" hidden="1" x14ac:dyDescent="0.25">
      <c r="A672" s="50" t="s">
        <v>99</v>
      </c>
      <c r="B672" s="168">
        <f>'Прайс для расчета'!E658</f>
        <v>298.2</v>
      </c>
    </row>
    <row r="673" spans="1:2" hidden="1" x14ac:dyDescent="0.25">
      <c r="A673" s="50" t="s">
        <v>100</v>
      </c>
      <c r="B673" s="168">
        <f>'Прайс для расчета'!E659</f>
        <v>208.73999999999998</v>
      </c>
    </row>
    <row r="674" spans="1:2" hidden="1" x14ac:dyDescent="0.25">
      <c r="A674" s="50" t="s">
        <v>641</v>
      </c>
      <c r="B674" s="168">
        <f>'Прайс для расчета'!E660</f>
        <v>2534.7000000000003</v>
      </c>
    </row>
    <row r="675" spans="1:2" hidden="1" x14ac:dyDescent="0.25">
      <c r="A675" s="50" t="s">
        <v>920</v>
      </c>
      <c r="B675" s="168">
        <f>'Прайс для расчета'!E661</f>
        <v>5218.5</v>
      </c>
    </row>
    <row r="676" spans="1:2" hidden="1" x14ac:dyDescent="0.25">
      <c r="A676" s="50" t="s">
        <v>921</v>
      </c>
      <c r="B676" s="168">
        <f>'Прайс для расчета'!E662</f>
        <v>4622.1000000000004</v>
      </c>
    </row>
    <row r="677" spans="1:2" ht="26.4" hidden="1" x14ac:dyDescent="0.25">
      <c r="A677" s="50" t="s">
        <v>642</v>
      </c>
      <c r="B677" s="168">
        <f>'Прайс для расчета'!E663</f>
        <v>1789.2</v>
      </c>
    </row>
    <row r="678" spans="1:2" ht="26.4" hidden="1" x14ac:dyDescent="0.25">
      <c r="A678" s="50" t="s">
        <v>643</v>
      </c>
      <c r="B678" s="168">
        <f>'Прайс для расчета'!E664</f>
        <v>2206.6799999999998</v>
      </c>
    </row>
    <row r="679" spans="1:2" hidden="1" x14ac:dyDescent="0.25">
      <c r="A679" s="50" t="s">
        <v>262</v>
      </c>
      <c r="B679" s="168">
        <f>'Прайс для расчета'!E665</f>
        <v>2504.88</v>
      </c>
    </row>
    <row r="680" spans="1:2" ht="26.4" hidden="1" x14ac:dyDescent="0.25">
      <c r="A680" s="50" t="s">
        <v>263</v>
      </c>
      <c r="B680" s="168">
        <f>'Прайс для расчета'!E666</f>
        <v>2325.96</v>
      </c>
    </row>
    <row r="681" spans="1:2" hidden="1" x14ac:dyDescent="0.25">
      <c r="A681" s="50" t="s">
        <v>264</v>
      </c>
      <c r="B681" s="168">
        <f>'Прайс для расчета'!E667</f>
        <v>4920.3</v>
      </c>
    </row>
    <row r="682" spans="1:2" hidden="1" x14ac:dyDescent="0.25">
      <c r="A682" s="50" t="s">
        <v>102</v>
      </c>
      <c r="B682" s="168">
        <f>'Прайс для расчета'!E668</f>
        <v>5367.6</v>
      </c>
    </row>
    <row r="683" spans="1:2" ht="26.4" hidden="1" x14ac:dyDescent="0.25">
      <c r="A683" s="50" t="s">
        <v>644</v>
      </c>
      <c r="B683" s="168">
        <f>'Прайс для расчета'!E669</f>
        <v>2236.5</v>
      </c>
    </row>
    <row r="684" spans="1:2" ht="41.4" x14ac:dyDescent="0.25">
      <c r="A684" s="92" t="s">
        <v>961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5:C5"/>
    <mergeCell ref="A2:C2"/>
    <mergeCell ref="A3:C3"/>
    <mergeCell ref="A4:C4"/>
  </mergeCells>
  <conditionalFormatting sqref="C8:C28 C430:C451 C455:C470 C473:C486">
    <cfRule type="expression" dxfId="103" priority="34">
      <formula>$B8=0</formula>
    </cfRule>
  </conditionalFormatting>
  <conditionalFormatting sqref="C29:C30">
    <cfRule type="expression" dxfId="102" priority="33">
      <formula>$B29=0</formula>
    </cfRule>
  </conditionalFormatting>
  <conditionalFormatting sqref="C31">
    <cfRule type="expression" dxfId="101" priority="32">
      <formula>$B31=0</formula>
    </cfRule>
  </conditionalFormatting>
  <conditionalFormatting sqref="C32:C56">
    <cfRule type="expression" dxfId="100" priority="31">
      <formula>$B32=0</formula>
    </cfRule>
  </conditionalFormatting>
  <conditionalFormatting sqref="C57">
    <cfRule type="expression" dxfId="99" priority="30">
      <formula>$B57=0</formula>
    </cfRule>
  </conditionalFormatting>
  <conditionalFormatting sqref="C58:C65">
    <cfRule type="expression" dxfId="98" priority="29">
      <formula>$B58=0</formula>
    </cfRule>
  </conditionalFormatting>
  <conditionalFormatting sqref="C66:C81">
    <cfRule type="expression" dxfId="97" priority="28">
      <formula>$B66=0</formula>
    </cfRule>
  </conditionalFormatting>
  <conditionalFormatting sqref="C82:C90">
    <cfRule type="expression" dxfId="96" priority="27">
      <formula>$B82=0</formula>
    </cfRule>
  </conditionalFormatting>
  <conditionalFormatting sqref="C91:C97">
    <cfRule type="expression" dxfId="95" priority="26">
      <formula>$B91=0</formula>
    </cfRule>
  </conditionalFormatting>
  <conditionalFormatting sqref="C98:C117">
    <cfRule type="expression" dxfId="94" priority="25">
      <formula>$B98=0</formula>
    </cfRule>
  </conditionalFormatting>
  <conditionalFormatting sqref="C118:C127">
    <cfRule type="expression" dxfId="93" priority="24">
      <formula>$B118=0</formula>
    </cfRule>
  </conditionalFormatting>
  <conditionalFormatting sqref="C129:C152">
    <cfRule type="expression" dxfId="92" priority="23">
      <formula>$B129=0</formula>
    </cfRule>
  </conditionalFormatting>
  <conditionalFormatting sqref="C154:C195 C197:C205">
    <cfRule type="expression" dxfId="91" priority="22">
      <formula>$B154=0</formula>
    </cfRule>
  </conditionalFormatting>
  <conditionalFormatting sqref="C207:C232">
    <cfRule type="expression" dxfId="90" priority="20">
      <formula>$B207=0</formula>
    </cfRule>
  </conditionalFormatting>
  <conditionalFormatting sqref="C234:C252">
    <cfRule type="expression" dxfId="89" priority="18">
      <formula>$B234=0</formula>
    </cfRule>
  </conditionalFormatting>
  <conditionalFormatting sqref="C253:C269">
    <cfRule type="expression" dxfId="88" priority="19">
      <formula>$B253=0</formula>
    </cfRule>
  </conditionalFormatting>
  <conditionalFormatting sqref="C271:C313">
    <cfRule type="expression" dxfId="87" priority="17">
      <formula>$B271=0</formula>
    </cfRule>
  </conditionalFormatting>
  <conditionalFormatting sqref="C314">
    <cfRule type="expression" dxfId="86" priority="16">
      <formula>$B314=0</formula>
    </cfRule>
  </conditionalFormatting>
  <conditionalFormatting sqref="C316:C322">
    <cfRule type="expression" dxfId="85" priority="15">
      <formula>$B316=0</formula>
    </cfRule>
  </conditionalFormatting>
  <conditionalFormatting sqref="C324:C336">
    <cfRule type="expression" dxfId="84" priority="14">
      <formula>$B324=0</formula>
    </cfRule>
  </conditionalFormatting>
  <conditionalFormatting sqref="C366">
    <cfRule type="expression" dxfId="83" priority="13">
      <formula>$B366=0</formula>
    </cfRule>
  </conditionalFormatting>
  <conditionalFormatting sqref="C367:C411">
    <cfRule type="expression" dxfId="82" priority="12">
      <formula>$B367=0</formula>
    </cfRule>
  </conditionalFormatting>
  <conditionalFormatting sqref="C421:C428">
    <cfRule type="expression" dxfId="81" priority="11">
      <formula>$B421=0</formula>
    </cfRule>
  </conditionalFormatting>
  <conditionalFormatting sqref="C452:C453 C471">
    <cfRule type="expression" dxfId="80" priority="35">
      <formula>$B453=0</formula>
    </cfRule>
  </conditionalFormatting>
  <conditionalFormatting sqref="C454">
    <cfRule type="expression" dxfId="79" priority="10">
      <formula>$B454=0</formula>
    </cfRule>
  </conditionalFormatting>
  <conditionalFormatting sqref="C472">
    <cfRule type="expression" dxfId="78" priority="9">
      <formula>$B472=0</formula>
    </cfRule>
  </conditionalFormatting>
  <conditionalFormatting sqref="C354">
    <cfRule type="expression" dxfId="77" priority="8">
      <formula>$B354=0</formula>
    </cfRule>
  </conditionalFormatting>
  <conditionalFormatting sqref="C355">
    <cfRule type="expression" dxfId="76" priority="7">
      <formula>$B355=0</formula>
    </cfRule>
  </conditionalFormatting>
  <conditionalFormatting sqref="A229:A231">
    <cfRule type="expression" dxfId="75" priority="3">
      <formula>$B229=0</formula>
    </cfRule>
  </conditionalFormatting>
  <conditionalFormatting sqref="A155:A161">
    <cfRule type="expression" dxfId="74" priority="6">
      <formula>$B155=0</formula>
    </cfRule>
  </conditionalFormatting>
  <conditionalFormatting sqref="A208:A210">
    <cfRule type="expression" dxfId="73" priority="5">
      <formula>$B208=0</formula>
    </cfRule>
  </conditionalFormatting>
  <conditionalFormatting sqref="A219:A220 A222:A223">
    <cfRule type="expression" dxfId="72" priority="4">
      <formula>$B219=0</formula>
    </cfRule>
  </conditionalFormatting>
  <conditionalFormatting sqref="A165:A169">
    <cfRule type="expression" dxfId="71" priority="2">
      <formula>$B165=0</formula>
    </cfRule>
  </conditionalFormatting>
  <conditionalFormatting sqref="A221">
    <cfRule type="expression" dxfId="70" priority="1">
      <formula>$B221=0</formula>
    </cfRule>
  </conditionalFormatting>
  <pageMargins left="0.7" right="0.7" top="0.75" bottom="0.75" header="0.3" footer="0.3"/>
  <pageSetup paperSize="9" orientation="portrait" r:id="rId1"/>
  <headerFooter>
    <oddFooter>&amp;Rредакция 3.0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11111211">
    <tabColor rgb="FF00B050"/>
  </sheetPr>
  <dimension ref="A2:F679"/>
  <sheetViews>
    <sheetView zoomScaleNormal="100" workbookViewId="0">
      <selection activeCell="E3" sqref="E3"/>
    </sheetView>
  </sheetViews>
  <sheetFormatPr defaultColWidth="8.77734375" defaultRowHeight="13.2" x14ac:dyDescent="0.25"/>
  <cols>
    <col min="1" max="1" width="174" style="25" customWidth="1"/>
    <col min="2" max="2" width="10.77734375" style="23" bestFit="1" customWidth="1"/>
    <col min="3" max="3" width="8.6640625" style="40" bestFit="1" customWidth="1"/>
    <col min="4" max="4" width="19.33203125" style="42" bestFit="1" customWidth="1"/>
    <col min="5" max="5" width="16.6640625" style="23" bestFit="1" customWidth="1"/>
  </cols>
  <sheetData>
    <row r="2" spans="1:5" x14ac:dyDescent="0.25">
      <c r="A2" s="22"/>
    </row>
    <row r="3" spans="1:5" x14ac:dyDescent="0.25">
      <c r="A3" s="272" t="s">
        <v>727</v>
      </c>
      <c r="B3" s="272"/>
      <c r="C3" s="272"/>
      <c r="D3" s="107">
        <v>0.5</v>
      </c>
    </row>
    <row r="4" spans="1:5" x14ac:dyDescent="0.25">
      <c r="A4" s="81" t="s">
        <v>728</v>
      </c>
      <c r="B4" s="47" t="s">
        <v>729</v>
      </c>
      <c r="C4" s="48" t="s">
        <v>731</v>
      </c>
      <c r="D4" s="49" t="s">
        <v>732</v>
      </c>
      <c r="E4" s="47" t="s">
        <v>730</v>
      </c>
    </row>
    <row r="5" spans="1:5" x14ac:dyDescent="0.25">
      <c r="A5" s="82" t="s">
        <v>305</v>
      </c>
      <c r="B5" s="24">
        <f>'Прайс для расчета'!E5</f>
        <v>89.25</v>
      </c>
      <c r="C5" s="108">
        <f t="shared" ref="C5:C68" si="0">$D$3</f>
        <v>0.5</v>
      </c>
      <c r="D5" s="43"/>
      <c r="E5" s="24">
        <f>IF(D5=0,B5*C5,B5*D5)</f>
        <v>44.625</v>
      </c>
    </row>
    <row r="6" spans="1:5" x14ac:dyDescent="0.25">
      <c r="A6" s="83" t="s">
        <v>889</v>
      </c>
      <c r="B6" s="24">
        <f>'Прайс для расчета'!E6</f>
        <v>157.5</v>
      </c>
      <c r="C6" s="108">
        <f t="shared" si="0"/>
        <v>0.5</v>
      </c>
      <c r="D6" s="43"/>
      <c r="E6" s="24">
        <f t="shared" ref="E6:E69" si="1">IF(D6=0,B6*C6,B6*D6)</f>
        <v>78.75</v>
      </c>
    </row>
    <row r="7" spans="1:5" x14ac:dyDescent="0.25">
      <c r="A7" s="82" t="s">
        <v>307</v>
      </c>
      <c r="B7" s="24">
        <f>'Прайс для расчета'!E7</f>
        <v>292.23599999999999</v>
      </c>
      <c r="C7" s="108">
        <f t="shared" si="0"/>
        <v>0.5</v>
      </c>
      <c r="D7" s="43"/>
      <c r="E7" s="24">
        <f t="shared" si="1"/>
        <v>146.11799999999999</v>
      </c>
    </row>
    <row r="8" spans="1:5" x14ac:dyDescent="0.25">
      <c r="A8" s="82" t="s">
        <v>308</v>
      </c>
      <c r="B8" s="24">
        <f>'Прайс для расчета'!E8</f>
        <v>367.5</v>
      </c>
      <c r="C8" s="108">
        <f t="shared" si="0"/>
        <v>0.5</v>
      </c>
      <c r="D8" s="43"/>
      <c r="E8" s="24">
        <f t="shared" si="1"/>
        <v>183.75</v>
      </c>
    </row>
    <row r="9" spans="1:5" x14ac:dyDescent="0.25">
      <c r="A9" s="84" t="s">
        <v>309</v>
      </c>
      <c r="B9" s="24">
        <f>'Прайс для расчета'!E9</f>
        <v>120.771</v>
      </c>
      <c r="C9" s="108">
        <f t="shared" si="0"/>
        <v>0.5</v>
      </c>
      <c r="D9" s="43"/>
      <c r="E9" s="24">
        <f t="shared" si="1"/>
        <v>60.3855</v>
      </c>
    </row>
    <row r="10" spans="1:5" x14ac:dyDescent="0.25">
      <c r="A10" s="82" t="s">
        <v>310</v>
      </c>
      <c r="B10" s="24">
        <f>'Прайс для расчета'!E10</f>
        <v>102.87899999999999</v>
      </c>
      <c r="C10" s="108">
        <f t="shared" si="0"/>
        <v>0.5</v>
      </c>
      <c r="D10" s="43"/>
      <c r="E10" s="24">
        <f t="shared" si="1"/>
        <v>51.439499999999995</v>
      </c>
    </row>
    <row r="11" spans="1:5" x14ac:dyDescent="0.25">
      <c r="A11" s="84" t="s">
        <v>1012</v>
      </c>
      <c r="B11" s="24">
        <f>'Прайс для расчета'!E11</f>
        <v>1837.5</v>
      </c>
      <c r="C11" s="108">
        <f t="shared" si="0"/>
        <v>0.5</v>
      </c>
      <c r="D11" s="43"/>
      <c r="E11" s="24">
        <f t="shared" si="1"/>
        <v>918.75</v>
      </c>
    </row>
    <row r="12" spans="1:5" x14ac:dyDescent="0.25">
      <c r="A12" s="84" t="s">
        <v>1013</v>
      </c>
      <c r="B12" s="24">
        <f>'Прайс для расчета'!E12</f>
        <v>2677.5</v>
      </c>
      <c r="C12" s="108">
        <f t="shared" si="0"/>
        <v>0.5</v>
      </c>
      <c r="D12" s="43"/>
      <c r="E12" s="24">
        <f t="shared" si="1"/>
        <v>1338.75</v>
      </c>
    </row>
    <row r="13" spans="1:5" x14ac:dyDescent="0.25">
      <c r="A13" s="82" t="s">
        <v>59</v>
      </c>
      <c r="B13" s="24">
        <f>'Прайс для расчета'!E13</f>
        <v>367.5</v>
      </c>
      <c r="C13" s="108">
        <f t="shared" si="0"/>
        <v>0.5</v>
      </c>
      <c r="D13" s="43"/>
      <c r="E13" s="24">
        <f t="shared" si="1"/>
        <v>183.75</v>
      </c>
    </row>
    <row r="14" spans="1:5" x14ac:dyDescent="0.25">
      <c r="A14" s="82" t="s">
        <v>311</v>
      </c>
      <c r="B14" s="24">
        <f>'Прайс для расчета'!E14</f>
        <v>315</v>
      </c>
      <c r="C14" s="108">
        <f t="shared" si="0"/>
        <v>0.5</v>
      </c>
      <c r="D14" s="43"/>
      <c r="E14" s="24">
        <f t="shared" si="1"/>
        <v>157.5</v>
      </c>
    </row>
    <row r="15" spans="1:5" x14ac:dyDescent="0.25">
      <c r="A15" s="82" t="s">
        <v>312</v>
      </c>
      <c r="B15" s="24">
        <f>'Прайс для расчета'!E15</f>
        <v>162.75</v>
      </c>
      <c r="C15" s="108">
        <f t="shared" si="0"/>
        <v>0.5</v>
      </c>
      <c r="D15" s="43"/>
      <c r="E15" s="24">
        <f t="shared" si="1"/>
        <v>81.375</v>
      </c>
    </row>
    <row r="16" spans="1:5" x14ac:dyDescent="0.25">
      <c r="A16" s="82" t="s">
        <v>313</v>
      </c>
      <c r="B16" s="24">
        <f>'Прайс для расчета'!E16</f>
        <v>162.75</v>
      </c>
      <c r="C16" s="108">
        <f t="shared" si="0"/>
        <v>0.5</v>
      </c>
      <c r="D16" s="43"/>
      <c r="E16" s="24">
        <f t="shared" si="1"/>
        <v>81.375</v>
      </c>
    </row>
    <row r="17" spans="1:5" x14ac:dyDescent="0.25">
      <c r="A17" s="82" t="s">
        <v>314</v>
      </c>
      <c r="B17" s="24">
        <f>'Прайс для расчета'!E17</f>
        <v>335.47500000000002</v>
      </c>
      <c r="C17" s="108">
        <f t="shared" si="0"/>
        <v>0.5</v>
      </c>
      <c r="D17" s="43"/>
      <c r="E17" s="24">
        <f t="shared" si="1"/>
        <v>167.73750000000001</v>
      </c>
    </row>
    <row r="18" spans="1:5" x14ac:dyDescent="0.25">
      <c r="A18" s="82" t="s">
        <v>658</v>
      </c>
      <c r="B18" s="24">
        <f>'Прайс для расчета'!E18</f>
        <v>73.5</v>
      </c>
      <c r="C18" s="108">
        <f t="shared" si="0"/>
        <v>0.5</v>
      </c>
      <c r="D18" s="43"/>
      <c r="E18" s="24">
        <f t="shared" si="1"/>
        <v>36.75</v>
      </c>
    </row>
    <row r="19" spans="1:5" x14ac:dyDescent="0.25">
      <c r="A19" s="82" t="s">
        <v>315</v>
      </c>
      <c r="B19" s="24">
        <f>'Прайс для расчета'!E19</f>
        <v>420.46199999999999</v>
      </c>
      <c r="C19" s="108">
        <f t="shared" si="0"/>
        <v>0.5</v>
      </c>
      <c r="D19" s="43"/>
      <c r="E19" s="24">
        <f t="shared" si="1"/>
        <v>210.23099999999999</v>
      </c>
    </row>
    <row r="20" spans="1:5" x14ac:dyDescent="0.25">
      <c r="A20" s="82" t="s">
        <v>316</v>
      </c>
      <c r="B20" s="24">
        <f>'Прайс для расчета'!E20</f>
        <v>577.5</v>
      </c>
      <c r="C20" s="108">
        <f t="shared" si="0"/>
        <v>0.5</v>
      </c>
      <c r="D20" s="43"/>
      <c r="E20" s="24">
        <f t="shared" si="1"/>
        <v>288.75</v>
      </c>
    </row>
    <row r="21" spans="1:5" x14ac:dyDescent="0.25">
      <c r="A21" s="82" t="s">
        <v>317</v>
      </c>
      <c r="B21" s="24">
        <f>'Прайс для расчета'!E21</f>
        <v>262.5</v>
      </c>
      <c r="C21" s="108">
        <f t="shared" si="0"/>
        <v>0.5</v>
      </c>
      <c r="D21" s="43"/>
      <c r="E21" s="24">
        <f t="shared" si="1"/>
        <v>131.25</v>
      </c>
    </row>
    <row r="22" spans="1:5" x14ac:dyDescent="0.25">
      <c r="A22" s="82" t="s">
        <v>318</v>
      </c>
      <c r="B22" s="24">
        <f>'Прайс для расчета'!E22</f>
        <v>644.11199999999997</v>
      </c>
      <c r="C22" s="108">
        <f t="shared" si="0"/>
        <v>0.5</v>
      </c>
      <c r="D22" s="43"/>
      <c r="E22" s="24">
        <f t="shared" si="1"/>
        <v>322.05599999999998</v>
      </c>
    </row>
    <row r="23" spans="1:5" x14ac:dyDescent="0.25">
      <c r="A23" s="82" t="s">
        <v>319</v>
      </c>
      <c r="B23" s="24">
        <f>'Прайс для расчета'!E23</f>
        <v>111.825</v>
      </c>
      <c r="C23" s="108">
        <f t="shared" si="0"/>
        <v>0.5</v>
      </c>
      <c r="D23" s="43"/>
      <c r="E23" s="24">
        <f t="shared" si="1"/>
        <v>55.912500000000001</v>
      </c>
    </row>
    <row r="24" spans="1:5" x14ac:dyDescent="0.25">
      <c r="A24" s="82" t="s">
        <v>320</v>
      </c>
      <c r="B24" s="24">
        <f>'Прайс для расчета'!E24</f>
        <v>523.34100000000001</v>
      </c>
      <c r="C24" s="108">
        <f t="shared" si="0"/>
        <v>0.5</v>
      </c>
      <c r="D24" s="43"/>
      <c r="E24" s="24">
        <f t="shared" si="1"/>
        <v>261.6705</v>
      </c>
    </row>
    <row r="25" spans="1:5" x14ac:dyDescent="0.25">
      <c r="A25" s="82" t="s">
        <v>219</v>
      </c>
      <c r="B25" s="24">
        <f>'Прайс для расчета'!E25</f>
        <v>335.47500000000002</v>
      </c>
      <c r="C25" s="108">
        <f t="shared" si="0"/>
        <v>0.5</v>
      </c>
      <c r="D25" s="43"/>
      <c r="E25" s="24">
        <f t="shared" si="1"/>
        <v>167.73750000000001</v>
      </c>
    </row>
    <row r="26" spans="1:5" x14ac:dyDescent="0.25">
      <c r="A26" s="82" t="s">
        <v>564</v>
      </c>
      <c r="B26" s="24">
        <f>'Прайс для расчета'!E26</f>
        <v>1786.2179999999998</v>
      </c>
      <c r="C26" s="108">
        <f t="shared" si="0"/>
        <v>0.5</v>
      </c>
      <c r="D26" s="43"/>
      <c r="E26" s="24">
        <f t="shared" si="1"/>
        <v>893.10899999999992</v>
      </c>
    </row>
    <row r="27" spans="1:5" x14ac:dyDescent="0.25">
      <c r="A27" s="82" t="s">
        <v>565</v>
      </c>
      <c r="B27" s="24">
        <f>'Прайс для расчета'!E27</f>
        <v>4045.0829999999996</v>
      </c>
      <c r="C27" s="108">
        <f t="shared" si="0"/>
        <v>0.5</v>
      </c>
      <c r="D27" s="43"/>
      <c r="E27" s="24">
        <f t="shared" si="1"/>
        <v>2022.5414999999998</v>
      </c>
    </row>
    <row r="28" spans="1:5" x14ac:dyDescent="0.25">
      <c r="A28" s="82" t="s">
        <v>706</v>
      </c>
      <c r="B28" s="24">
        <f>'Прайс для расчета'!E28</f>
        <v>1186.836</v>
      </c>
      <c r="C28" s="108">
        <f t="shared" si="0"/>
        <v>0.5</v>
      </c>
      <c r="D28" s="43"/>
      <c r="E28" s="24">
        <f t="shared" si="1"/>
        <v>593.41800000000001</v>
      </c>
    </row>
    <row r="29" spans="1:5" x14ac:dyDescent="0.25">
      <c r="A29" s="82" t="s">
        <v>321</v>
      </c>
      <c r="B29" s="24">
        <f>'Прайс для расчета'!E29</f>
        <v>68.585999999999999</v>
      </c>
      <c r="C29" s="108">
        <f t="shared" si="0"/>
        <v>0.5</v>
      </c>
      <c r="D29" s="43"/>
      <c r="E29" s="24">
        <f t="shared" si="1"/>
        <v>34.292999999999999</v>
      </c>
    </row>
    <row r="30" spans="1:5" x14ac:dyDescent="0.25">
      <c r="A30" s="82" t="s">
        <v>322</v>
      </c>
      <c r="B30" s="24">
        <f>'Прайс для расчета'!E30</f>
        <v>231</v>
      </c>
      <c r="C30" s="108">
        <f t="shared" si="0"/>
        <v>0.5</v>
      </c>
      <c r="D30" s="43"/>
      <c r="E30" s="24">
        <f t="shared" si="1"/>
        <v>115.5</v>
      </c>
    </row>
    <row r="31" spans="1:5" x14ac:dyDescent="0.25">
      <c r="A31" s="82" t="s">
        <v>220</v>
      </c>
      <c r="B31" s="24">
        <f>'Прайс для расчета'!E31</f>
        <v>210</v>
      </c>
      <c r="C31" s="108">
        <f t="shared" si="0"/>
        <v>0.5</v>
      </c>
      <c r="D31" s="43"/>
      <c r="E31" s="24">
        <f t="shared" si="1"/>
        <v>105</v>
      </c>
    </row>
    <row r="32" spans="1:5" x14ac:dyDescent="0.25">
      <c r="A32" s="82" t="s">
        <v>323</v>
      </c>
      <c r="B32" s="24">
        <f>'Прайс для расчета'!E32</f>
        <v>205.75799999999998</v>
      </c>
      <c r="C32" s="108">
        <f t="shared" si="0"/>
        <v>0.5</v>
      </c>
      <c r="D32" s="43"/>
      <c r="E32" s="24">
        <f t="shared" si="1"/>
        <v>102.87899999999999</v>
      </c>
    </row>
    <row r="33" spans="1:5" x14ac:dyDescent="0.25">
      <c r="A33" s="82" t="s">
        <v>154</v>
      </c>
      <c r="B33" s="24">
        <f>'Прайс для расчета'!E33</f>
        <v>205.75799999999998</v>
      </c>
      <c r="C33" s="108">
        <f t="shared" si="0"/>
        <v>0.5</v>
      </c>
      <c r="D33" s="43"/>
      <c r="E33" s="24">
        <f t="shared" si="1"/>
        <v>102.87899999999999</v>
      </c>
    </row>
    <row r="34" spans="1:5" x14ac:dyDescent="0.25">
      <c r="A34" s="82" t="s">
        <v>324</v>
      </c>
      <c r="B34" s="24">
        <f>'Прайс для расчета'!E34</f>
        <v>506.94</v>
      </c>
      <c r="C34" s="108">
        <f t="shared" si="0"/>
        <v>0.5</v>
      </c>
      <c r="D34" s="43"/>
      <c r="E34" s="24">
        <f t="shared" si="1"/>
        <v>253.47</v>
      </c>
    </row>
    <row r="35" spans="1:5" x14ac:dyDescent="0.25">
      <c r="A35" s="82" t="s">
        <v>325</v>
      </c>
      <c r="B35" s="24">
        <f>'Прайс для расчета'!E35</f>
        <v>205.75799999999998</v>
      </c>
      <c r="C35" s="108">
        <f t="shared" si="0"/>
        <v>0.5</v>
      </c>
      <c r="D35" s="43"/>
      <c r="E35" s="24">
        <f t="shared" si="1"/>
        <v>102.87899999999999</v>
      </c>
    </row>
    <row r="36" spans="1:5" x14ac:dyDescent="0.25">
      <c r="A36" s="82" t="s">
        <v>155</v>
      </c>
      <c r="B36" s="24">
        <f>'Прайс для расчета'!E36</f>
        <v>205.75799999999998</v>
      </c>
      <c r="C36" s="108">
        <f t="shared" si="0"/>
        <v>0.5</v>
      </c>
      <c r="D36" s="43"/>
      <c r="E36" s="24">
        <f t="shared" si="1"/>
        <v>102.87899999999999</v>
      </c>
    </row>
    <row r="37" spans="1:5" x14ac:dyDescent="0.25">
      <c r="A37" s="82" t="s">
        <v>659</v>
      </c>
      <c r="B37" s="24">
        <f>'Прайс для расчета'!E37</f>
        <v>204.75</v>
      </c>
      <c r="C37" s="108">
        <f t="shared" si="0"/>
        <v>0.5</v>
      </c>
      <c r="D37" s="43"/>
      <c r="E37" s="24">
        <f t="shared" si="1"/>
        <v>102.375</v>
      </c>
    </row>
    <row r="38" spans="1:5" x14ac:dyDescent="0.25">
      <c r="A38" s="82" t="s">
        <v>660</v>
      </c>
      <c r="B38" s="24">
        <f>'Прайс для расчета'!E38</f>
        <v>292.23599999999999</v>
      </c>
      <c r="C38" s="108">
        <f t="shared" si="0"/>
        <v>0.5</v>
      </c>
      <c r="D38" s="43"/>
      <c r="E38" s="24">
        <f t="shared" si="1"/>
        <v>146.11799999999999</v>
      </c>
    </row>
    <row r="39" spans="1:5" x14ac:dyDescent="0.25">
      <c r="A39" s="82" t="s">
        <v>326</v>
      </c>
      <c r="B39" s="24">
        <f>'Прайс для расчета'!E39</f>
        <v>164.01</v>
      </c>
      <c r="C39" s="108">
        <f t="shared" si="0"/>
        <v>0.5</v>
      </c>
      <c r="D39" s="43"/>
      <c r="E39" s="24">
        <f t="shared" si="1"/>
        <v>82.004999999999995</v>
      </c>
    </row>
    <row r="40" spans="1:5" x14ac:dyDescent="0.25">
      <c r="A40" s="82" t="s">
        <v>327</v>
      </c>
      <c r="B40" s="24">
        <f>'Прайс для расчета'!E40</f>
        <v>335.47500000000002</v>
      </c>
      <c r="C40" s="108">
        <f t="shared" si="0"/>
        <v>0.5</v>
      </c>
      <c r="D40" s="43"/>
      <c r="E40" s="24">
        <f t="shared" si="1"/>
        <v>167.73750000000001</v>
      </c>
    </row>
    <row r="41" spans="1:5" x14ac:dyDescent="0.25">
      <c r="A41" s="82" t="s">
        <v>328</v>
      </c>
      <c r="B41" s="24">
        <f>'Прайс для расчета'!E41</f>
        <v>315</v>
      </c>
      <c r="C41" s="108">
        <f t="shared" si="0"/>
        <v>0.5</v>
      </c>
      <c r="D41" s="43"/>
      <c r="E41" s="24">
        <f t="shared" si="1"/>
        <v>157.5</v>
      </c>
    </row>
    <row r="42" spans="1:5" x14ac:dyDescent="0.25">
      <c r="A42" s="82" t="s">
        <v>329</v>
      </c>
      <c r="B42" s="24">
        <f>'Прайс для расчета'!E42</f>
        <v>292.23599999999999</v>
      </c>
      <c r="C42" s="108">
        <f t="shared" si="0"/>
        <v>0.5</v>
      </c>
      <c r="D42" s="43"/>
      <c r="E42" s="24">
        <f t="shared" si="1"/>
        <v>146.11799999999999</v>
      </c>
    </row>
    <row r="43" spans="1:5" x14ac:dyDescent="0.25">
      <c r="A43" s="82" t="s">
        <v>222</v>
      </c>
      <c r="B43" s="24">
        <f>'Прайс для расчета'!E43</f>
        <v>335.47500000000002</v>
      </c>
      <c r="C43" s="108">
        <f t="shared" si="0"/>
        <v>0.5</v>
      </c>
      <c r="D43" s="43"/>
      <c r="E43" s="24">
        <f t="shared" si="1"/>
        <v>167.73750000000001</v>
      </c>
    </row>
    <row r="44" spans="1:5" x14ac:dyDescent="0.25">
      <c r="A44" s="82" t="s">
        <v>330</v>
      </c>
      <c r="B44" s="24">
        <f>'Прайс для расчета'!E44</f>
        <v>335.47500000000002</v>
      </c>
      <c r="C44" s="108">
        <f t="shared" si="0"/>
        <v>0.5</v>
      </c>
      <c r="D44" s="43"/>
      <c r="E44" s="24">
        <f t="shared" si="1"/>
        <v>167.73750000000001</v>
      </c>
    </row>
    <row r="45" spans="1:5" x14ac:dyDescent="0.25">
      <c r="A45" s="82" t="s">
        <v>475</v>
      </c>
      <c r="B45" s="24">
        <f>'Прайс для расчета'!E45</f>
        <v>102.87899999999999</v>
      </c>
      <c r="C45" s="108">
        <f t="shared" si="0"/>
        <v>0.5</v>
      </c>
      <c r="D45" s="43"/>
      <c r="E45" s="24">
        <f t="shared" si="1"/>
        <v>51.439499999999995</v>
      </c>
    </row>
    <row r="46" spans="1:5" x14ac:dyDescent="0.25">
      <c r="A46" s="82" t="s">
        <v>476</v>
      </c>
      <c r="B46" s="24">
        <f>'Прайс для расчета'!E46</f>
        <v>164.01</v>
      </c>
      <c r="C46" s="108">
        <f t="shared" si="0"/>
        <v>0.5</v>
      </c>
      <c r="D46" s="43"/>
      <c r="E46" s="24">
        <f t="shared" si="1"/>
        <v>82.004999999999995</v>
      </c>
    </row>
    <row r="47" spans="1:5" x14ac:dyDescent="0.25">
      <c r="A47" s="82" t="s">
        <v>477</v>
      </c>
      <c r="B47" s="24">
        <f>'Прайс для расчета'!E47</f>
        <v>849.87</v>
      </c>
      <c r="C47" s="108">
        <f t="shared" si="0"/>
        <v>0.5</v>
      </c>
      <c r="D47" s="43"/>
      <c r="E47" s="24">
        <f t="shared" si="1"/>
        <v>424.935</v>
      </c>
    </row>
    <row r="48" spans="1:5" x14ac:dyDescent="0.25">
      <c r="A48" s="82" t="s">
        <v>478</v>
      </c>
      <c r="B48" s="24">
        <f>'Прайс для расчета'!E48</f>
        <v>1021.3349999999999</v>
      </c>
      <c r="C48" s="108">
        <f t="shared" si="0"/>
        <v>0.5</v>
      </c>
      <c r="D48" s="43"/>
      <c r="E48" s="24">
        <f t="shared" si="1"/>
        <v>510.66749999999996</v>
      </c>
    </row>
    <row r="49" spans="1:5" x14ac:dyDescent="0.25">
      <c r="A49" s="82" t="s">
        <v>479</v>
      </c>
      <c r="B49" s="24">
        <f>'Прайс для расчета'!E49</f>
        <v>1192.8</v>
      </c>
      <c r="C49" s="108">
        <f t="shared" si="0"/>
        <v>0.5</v>
      </c>
      <c r="D49" s="43"/>
      <c r="E49" s="24">
        <f t="shared" si="1"/>
        <v>596.4</v>
      </c>
    </row>
    <row r="50" spans="1:5" x14ac:dyDescent="0.25">
      <c r="A50" s="82" t="s">
        <v>480</v>
      </c>
      <c r="B50" s="24">
        <f>'Прайс для расчета'!E50</f>
        <v>1364.2650000000001</v>
      </c>
      <c r="C50" s="108">
        <f t="shared" si="0"/>
        <v>0.5</v>
      </c>
      <c r="D50" s="43"/>
      <c r="E50" s="24">
        <f t="shared" si="1"/>
        <v>682.13250000000005</v>
      </c>
    </row>
    <row r="51" spans="1:5" x14ac:dyDescent="0.25">
      <c r="A51" s="82" t="s">
        <v>331</v>
      </c>
      <c r="B51" s="24">
        <f>'Прайс для расчета'!E51</f>
        <v>849.87</v>
      </c>
      <c r="C51" s="108">
        <f t="shared" si="0"/>
        <v>0.5</v>
      </c>
      <c r="D51" s="43"/>
      <c r="E51" s="24">
        <f t="shared" si="1"/>
        <v>424.935</v>
      </c>
    </row>
    <row r="52" spans="1:5" x14ac:dyDescent="0.25">
      <c r="A52" s="82" t="s">
        <v>332</v>
      </c>
      <c r="B52" s="24">
        <f>'Прайс для расчета'!E52</f>
        <v>506.94</v>
      </c>
      <c r="C52" s="108">
        <f t="shared" si="0"/>
        <v>0.5</v>
      </c>
      <c r="D52" s="43"/>
      <c r="E52" s="24">
        <f t="shared" si="1"/>
        <v>253.47</v>
      </c>
    </row>
    <row r="53" spans="1:5" x14ac:dyDescent="0.25">
      <c r="A53" s="82" t="s">
        <v>333</v>
      </c>
      <c r="B53" s="24">
        <f>'Прайс для расчета'!E53</f>
        <v>5093.2559999999994</v>
      </c>
      <c r="C53" s="108">
        <f t="shared" si="0"/>
        <v>0.5</v>
      </c>
      <c r="D53" s="43"/>
      <c r="E53" s="24">
        <f t="shared" si="1"/>
        <v>2546.6279999999997</v>
      </c>
    </row>
    <row r="54" spans="1:5" x14ac:dyDescent="0.25">
      <c r="A54" s="82" t="s">
        <v>45</v>
      </c>
      <c r="B54" s="24">
        <f>'Прайс для расчета'!E54</f>
        <v>335.47500000000002</v>
      </c>
      <c r="C54" s="108">
        <f t="shared" si="0"/>
        <v>0.5</v>
      </c>
      <c r="D54" s="43"/>
      <c r="E54" s="24">
        <f t="shared" si="1"/>
        <v>167.73750000000001</v>
      </c>
    </row>
    <row r="55" spans="1:5" x14ac:dyDescent="0.25">
      <c r="A55" s="82" t="s">
        <v>46</v>
      </c>
      <c r="B55" s="24">
        <f>'Прайс для расчета'!E55</f>
        <v>137.172</v>
      </c>
      <c r="C55" s="108">
        <f t="shared" si="0"/>
        <v>0.5</v>
      </c>
      <c r="D55" s="43"/>
      <c r="E55" s="24">
        <f t="shared" si="1"/>
        <v>68.585999999999999</v>
      </c>
    </row>
    <row r="56" spans="1:5" x14ac:dyDescent="0.25">
      <c r="A56" s="82" t="s">
        <v>60</v>
      </c>
      <c r="B56" s="24">
        <f>'Прайс для расчета'!E56</f>
        <v>205.75799999999998</v>
      </c>
      <c r="C56" s="108">
        <f t="shared" si="0"/>
        <v>0.5</v>
      </c>
      <c r="D56" s="43"/>
      <c r="E56" s="24">
        <f t="shared" si="1"/>
        <v>102.87899999999999</v>
      </c>
    </row>
    <row r="57" spans="1:5" x14ac:dyDescent="0.25">
      <c r="A57" s="82" t="s">
        <v>47</v>
      </c>
      <c r="B57" s="24">
        <f>'Прайс для расчета'!E57</f>
        <v>137.172</v>
      </c>
      <c r="C57" s="108">
        <f t="shared" si="0"/>
        <v>0.5</v>
      </c>
      <c r="D57" s="43"/>
      <c r="E57" s="24">
        <f t="shared" si="1"/>
        <v>68.585999999999999</v>
      </c>
    </row>
    <row r="58" spans="1:5" x14ac:dyDescent="0.25">
      <c r="A58" s="82" t="s">
        <v>48</v>
      </c>
      <c r="B58" s="24">
        <f>'Прайс для расчета'!E58</f>
        <v>205.75799999999998</v>
      </c>
      <c r="C58" s="108">
        <f t="shared" si="0"/>
        <v>0.5</v>
      </c>
      <c r="D58" s="43"/>
      <c r="E58" s="24">
        <f t="shared" si="1"/>
        <v>102.87899999999999</v>
      </c>
    </row>
    <row r="59" spans="1:5" x14ac:dyDescent="0.25">
      <c r="A59" s="82" t="s">
        <v>49</v>
      </c>
      <c r="B59" s="24">
        <f>'Прайс для расчета'!E59</f>
        <v>43.239000000000004</v>
      </c>
      <c r="C59" s="108">
        <f t="shared" si="0"/>
        <v>0.5</v>
      </c>
      <c r="D59" s="43"/>
      <c r="E59" s="24">
        <f t="shared" si="1"/>
        <v>21.619500000000002</v>
      </c>
    </row>
    <row r="60" spans="1:5" x14ac:dyDescent="0.25">
      <c r="A60" s="82" t="s">
        <v>50</v>
      </c>
      <c r="B60" s="24">
        <f>'Прайс для расчета'!E60</f>
        <v>86.478000000000009</v>
      </c>
      <c r="C60" s="108">
        <f t="shared" si="0"/>
        <v>0.5</v>
      </c>
      <c r="D60" s="43"/>
      <c r="E60" s="24">
        <f t="shared" si="1"/>
        <v>43.239000000000004</v>
      </c>
    </row>
    <row r="61" spans="1:5" x14ac:dyDescent="0.25">
      <c r="A61" s="82" t="s">
        <v>51</v>
      </c>
      <c r="B61" s="24">
        <f>'Прайс для расчета'!E61</f>
        <v>43.239000000000004</v>
      </c>
      <c r="C61" s="108">
        <f t="shared" si="0"/>
        <v>0.5</v>
      </c>
      <c r="D61" s="43"/>
      <c r="E61" s="24">
        <f t="shared" si="1"/>
        <v>21.619500000000002</v>
      </c>
    </row>
    <row r="62" spans="1:5" x14ac:dyDescent="0.25">
      <c r="A62" s="82" t="s">
        <v>334</v>
      </c>
      <c r="B62" s="24">
        <f>'Прайс для расчета'!E62</f>
        <v>110.25</v>
      </c>
      <c r="C62" s="108">
        <f t="shared" si="0"/>
        <v>0.5</v>
      </c>
      <c r="D62" s="43"/>
      <c r="E62" s="24">
        <f t="shared" si="1"/>
        <v>55.125</v>
      </c>
    </row>
    <row r="63" spans="1:5" x14ac:dyDescent="0.25">
      <c r="A63" s="82" t="s">
        <v>335</v>
      </c>
      <c r="B63" s="24">
        <f>'Прайс для расчета'!E63</f>
        <v>248.99699999999999</v>
      </c>
      <c r="C63" s="108">
        <f t="shared" si="0"/>
        <v>0.5</v>
      </c>
      <c r="D63" s="43"/>
      <c r="E63" s="24">
        <f t="shared" si="1"/>
        <v>124.49849999999999</v>
      </c>
    </row>
    <row r="64" spans="1:5" x14ac:dyDescent="0.25">
      <c r="A64" s="82" t="s">
        <v>336</v>
      </c>
      <c r="B64" s="24">
        <f>'Прайс для расчета'!E64</f>
        <v>205.75799999999998</v>
      </c>
      <c r="C64" s="108">
        <f t="shared" si="0"/>
        <v>0.5</v>
      </c>
      <c r="D64" s="43"/>
      <c r="E64" s="24">
        <f t="shared" si="1"/>
        <v>102.87899999999999</v>
      </c>
    </row>
    <row r="65" spans="1:5" x14ac:dyDescent="0.25">
      <c r="A65" s="82" t="s">
        <v>481</v>
      </c>
      <c r="B65" s="24">
        <f>'Прайс для расчета'!E65</f>
        <v>155.06400000000002</v>
      </c>
      <c r="C65" s="108">
        <f t="shared" si="0"/>
        <v>0.5</v>
      </c>
      <c r="D65" s="43"/>
      <c r="E65" s="24">
        <f t="shared" si="1"/>
        <v>77.532000000000011</v>
      </c>
    </row>
    <row r="66" spans="1:5" x14ac:dyDescent="0.25">
      <c r="A66" s="82" t="s">
        <v>482</v>
      </c>
      <c r="B66" s="24">
        <f>'Прайс для расчета'!E66</f>
        <v>137.172</v>
      </c>
      <c r="C66" s="108">
        <f t="shared" si="0"/>
        <v>0.5</v>
      </c>
      <c r="D66" s="43"/>
      <c r="E66" s="24">
        <f t="shared" si="1"/>
        <v>68.585999999999999</v>
      </c>
    </row>
    <row r="67" spans="1:5" x14ac:dyDescent="0.25">
      <c r="A67" s="82" t="s">
        <v>483</v>
      </c>
      <c r="B67" s="24">
        <f>'Прайс для расчета'!E67</f>
        <v>86.478000000000009</v>
      </c>
      <c r="C67" s="108">
        <f t="shared" si="0"/>
        <v>0.5</v>
      </c>
      <c r="D67" s="43"/>
      <c r="E67" s="24">
        <f t="shared" si="1"/>
        <v>43.239000000000004</v>
      </c>
    </row>
    <row r="68" spans="1:5" x14ac:dyDescent="0.25">
      <c r="A68" s="82" t="s">
        <v>484</v>
      </c>
      <c r="B68" s="24">
        <f>'Прайс для расчета'!E68</f>
        <v>102.87899999999999</v>
      </c>
      <c r="C68" s="108">
        <f t="shared" si="0"/>
        <v>0.5</v>
      </c>
      <c r="D68" s="43"/>
      <c r="E68" s="24">
        <f t="shared" si="1"/>
        <v>51.439499999999995</v>
      </c>
    </row>
    <row r="69" spans="1:5" x14ac:dyDescent="0.25">
      <c r="A69" s="82" t="s">
        <v>337</v>
      </c>
      <c r="B69" s="24">
        <f>'Прайс для расчета'!E69</f>
        <v>164.01</v>
      </c>
      <c r="C69" s="108">
        <f t="shared" ref="C69:C132" si="2">$D$3</f>
        <v>0.5</v>
      </c>
      <c r="D69" s="43"/>
      <c r="E69" s="24">
        <f t="shared" si="1"/>
        <v>82.004999999999995</v>
      </c>
    </row>
    <row r="70" spans="1:5" x14ac:dyDescent="0.25">
      <c r="A70" s="82" t="s">
        <v>661</v>
      </c>
      <c r="B70" s="24">
        <f>'Прайс для расчета'!E70</f>
        <v>377.22300000000001</v>
      </c>
      <c r="C70" s="108">
        <f t="shared" si="2"/>
        <v>0.5</v>
      </c>
      <c r="D70" s="43"/>
      <c r="E70" s="24">
        <f t="shared" ref="E70:E135" si="3">IF(D70=0,B70*C70,B70*D70)</f>
        <v>188.61150000000001</v>
      </c>
    </row>
    <row r="71" spans="1:5" x14ac:dyDescent="0.25">
      <c r="A71" s="82" t="s">
        <v>338</v>
      </c>
      <c r="B71" s="24">
        <f>'Прайс для расчета'!E71</f>
        <v>274.34399999999999</v>
      </c>
      <c r="C71" s="108">
        <f t="shared" si="2"/>
        <v>0.5</v>
      </c>
      <c r="D71" s="43"/>
      <c r="E71" s="24">
        <f t="shared" si="3"/>
        <v>137.172</v>
      </c>
    </row>
    <row r="72" spans="1:5" x14ac:dyDescent="0.25">
      <c r="A72" s="82" t="s">
        <v>138</v>
      </c>
      <c r="B72" s="24">
        <f>'Прайс для расчета'!E72</f>
        <v>204.75</v>
      </c>
      <c r="C72" s="108">
        <f t="shared" si="2"/>
        <v>0.5</v>
      </c>
      <c r="D72" s="43"/>
      <c r="E72" s="24">
        <f t="shared" si="3"/>
        <v>102.375</v>
      </c>
    </row>
    <row r="73" spans="1:5" x14ac:dyDescent="0.25">
      <c r="A73" s="82" t="s">
        <v>339</v>
      </c>
      <c r="B73" s="24">
        <f>'Прайс для расчета'!E73</f>
        <v>274.34399999999999</v>
      </c>
      <c r="C73" s="108">
        <f t="shared" si="2"/>
        <v>0.5</v>
      </c>
      <c r="D73" s="43"/>
      <c r="E73" s="24">
        <f t="shared" si="3"/>
        <v>137.172</v>
      </c>
    </row>
    <row r="74" spans="1:5" x14ac:dyDescent="0.25">
      <c r="A74" s="82" t="s">
        <v>156</v>
      </c>
      <c r="B74" s="24">
        <f>'Прайс для расчета'!E74</f>
        <v>223.65</v>
      </c>
      <c r="C74" s="108">
        <f t="shared" si="2"/>
        <v>0.5</v>
      </c>
      <c r="D74" s="43"/>
      <c r="E74" s="24">
        <f t="shared" si="3"/>
        <v>111.825</v>
      </c>
    </row>
    <row r="75" spans="1:5" x14ac:dyDescent="0.25">
      <c r="A75" s="82" t="s">
        <v>340</v>
      </c>
      <c r="B75" s="24">
        <f>'Прайс для расчета'!E75</f>
        <v>506.94</v>
      </c>
      <c r="C75" s="108">
        <f t="shared" si="2"/>
        <v>0.5</v>
      </c>
      <c r="D75" s="43"/>
      <c r="E75" s="24">
        <f t="shared" si="3"/>
        <v>253.47</v>
      </c>
    </row>
    <row r="76" spans="1:5" x14ac:dyDescent="0.25">
      <c r="A76" s="82" t="s">
        <v>54</v>
      </c>
      <c r="B76" s="24">
        <f>'Прайс для расчета'!E76</f>
        <v>591.92700000000002</v>
      </c>
      <c r="C76" s="108">
        <f t="shared" si="2"/>
        <v>0.5</v>
      </c>
      <c r="D76" s="43"/>
      <c r="E76" s="24">
        <f t="shared" si="3"/>
        <v>295.96350000000001</v>
      </c>
    </row>
    <row r="77" spans="1:5" x14ac:dyDescent="0.25">
      <c r="A77" s="82" t="s">
        <v>221</v>
      </c>
      <c r="B77" s="24">
        <f>'Прайс для расчета'!E77</f>
        <v>210</v>
      </c>
      <c r="C77" s="108">
        <f t="shared" si="2"/>
        <v>0.5</v>
      </c>
      <c r="D77" s="43"/>
      <c r="E77" s="24">
        <f t="shared" si="3"/>
        <v>105</v>
      </c>
    </row>
    <row r="78" spans="1:5" x14ac:dyDescent="0.25">
      <c r="A78" s="82" t="s">
        <v>157</v>
      </c>
      <c r="B78" s="24">
        <f>'Прайс для расчета'!E78</f>
        <v>240.05099999999999</v>
      </c>
      <c r="C78" s="108">
        <f t="shared" si="2"/>
        <v>0.5</v>
      </c>
      <c r="D78" s="43"/>
      <c r="E78" s="24">
        <f t="shared" si="3"/>
        <v>120.02549999999999</v>
      </c>
    </row>
    <row r="79" spans="1:5" x14ac:dyDescent="0.25">
      <c r="A79" s="82" t="s">
        <v>662</v>
      </c>
      <c r="B79" s="24">
        <f>'Прайс для расчета'!E79</f>
        <v>86.478000000000009</v>
      </c>
      <c r="C79" s="108">
        <f t="shared" si="2"/>
        <v>0.5</v>
      </c>
      <c r="D79" s="43"/>
      <c r="E79" s="24">
        <f t="shared" si="3"/>
        <v>43.239000000000004</v>
      </c>
    </row>
    <row r="80" spans="1:5" x14ac:dyDescent="0.25">
      <c r="A80" s="82" t="s">
        <v>485</v>
      </c>
      <c r="B80" s="24">
        <f>'Прайс для расчета'!E80</f>
        <v>420.46199999999999</v>
      </c>
      <c r="C80" s="108">
        <f t="shared" si="2"/>
        <v>0.5</v>
      </c>
      <c r="D80" s="43"/>
      <c r="E80" s="24">
        <f t="shared" si="3"/>
        <v>210.23099999999999</v>
      </c>
    </row>
    <row r="81" spans="1:5" x14ac:dyDescent="0.25">
      <c r="A81" s="82" t="s">
        <v>486</v>
      </c>
      <c r="B81" s="24">
        <f>'Прайс для расчета'!E81</f>
        <v>591.92700000000002</v>
      </c>
      <c r="C81" s="108">
        <f t="shared" si="2"/>
        <v>0.5</v>
      </c>
      <c r="D81" s="43"/>
      <c r="E81" s="24">
        <f t="shared" si="3"/>
        <v>295.96350000000001</v>
      </c>
    </row>
    <row r="82" spans="1:5" x14ac:dyDescent="0.25">
      <c r="A82" s="82" t="s">
        <v>341</v>
      </c>
      <c r="B82" s="24">
        <f>'Прайс для расчета'!E82</f>
        <v>335.47500000000002</v>
      </c>
      <c r="C82" s="108">
        <f t="shared" si="2"/>
        <v>0.5</v>
      </c>
      <c r="D82" s="43"/>
      <c r="E82" s="24">
        <f t="shared" si="3"/>
        <v>167.73750000000001</v>
      </c>
    </row>
    <row r="83" spans="1:5" x14ac:dyDescent="0.25">
      <c r="A83" s="82" t="s">
        <v>61</v>
      </c>
      <c r="B83" s="24">
        <f>'Прайс для расчета'!E83</f>
        <v>102.87899999999999</v>
      </c>
      <c r="C83" s="108">
        <f t="shared" si="2"/>
        <v>0.5</v>
      </c>
      <c r="D83" s="43"/>
      <c r="E83" s="24">
        <f t="shared" si="3"/>
        <v>51.439499999999995</v>
      </c>
    </row>
    <row r="84" spans="1:5" x14ac:dyDescent="0.25">
      <c r="A84" s="82" t="s">
        <v>342</v>
      </c>
      <c r="B84" s="24">
        <f>'Прайс для расчета'!E84</f>
        <v>644.11199999999997</v>
      </c>
      <c r="C84" s="108">
        <f t="shared" si="2"/>
        <v>0.5</v>
      </c>
      <c r="D84" s="43"/>
      <c r="E84" s="24">
        <f t="shared" si="3"/>
        <v>322.05599999999998</v>
      </c>
    </row>
    <row r="85" spans="1:5" x14ac:dyDescent="0.25">
      <c r="A85" s="82" t="s">
        <v>343</v>
      </c>
      <c r="B85" s="24">
        <f>'Прайс для расчета'!E85</f>
        <v>678.40500000000009</v>
      </c>
      <c r="C85" s="108">
        <f t="shared" si="2"/>
        <v>0.5</v>
      </c>
      <c r="D85" s="43"/>
      <c r="E85" s="24">
        <f t="shared" si="3"/>
        <v>339.20250000000004</v>
      </c>
    </row>
    <row r="86" spans="1:5" x14ac:dyDescent="0.25">
      <c r="A86" s="82" t="s">
        <v>663</v>
      </c>
      <c r="B86" s="24">
        <f>'Прайс для расчета'!E86</f>
        <v>395.11499999999995</v>
      </c>
      <c r="C86" s="108">
        <f t="shared" si="2"/>
        <v>0.5</v>
      </c>
      <c r="D86" s="43"/>
      <c r="E86" s="24">
        <f t="shared" si="3"/>
        <v>197.55749999999998</v>
      </c>
    </row>
    <row r="87" spans="1:5" x14ac:dyDescent="0.25">
      <c r="A87" s="82" t="s">
        <v>344</v>
      </c>
      <c r="B87" s="24">
        <f>'Прайс для расчета'!E87</f>
        <v>849.87</v>
      </c>
      <c r="C87" s="108">
        <f t="shared" si="2"/>
        <v>0.5</v>
      </c>
      <c r="D87" s="43"/>
      <c r="E87" s="24">
        <f t="shared" si="3"/>
        <v>424.935</v>
      </c>
    </row>
    <row r="88" spans="1:5" x14ac:dyDescent="0.25">
      <c r="A88" s="82" t="s">
        <v>158</v>
      </c>
      <c r="B88" s="24">
        <f>'Прайс для расчета'!E88</f>
        <v>987.04200000000003</v>
      </c>
      <c r="C88" s="108">
        <f t="shared" si="2"/>
        <v>0.5</v>
      </c>
      <c r="D88" s="43"/>
      <c r="E88" s="24">
        <f t="shared" si="3"/>
        <v>493.52100000000002</v>
      </c>
    </row>
    <row r="89" spans="1:5" x14ac:dyDescent="0.25">
      <c r="A89" s="82" t="s">
        <v>345</v>
      </c>
      <c r="B89" s="24">
        <f>'Прайс для расчета'!E89</f>
        <v>248.99699999999999</v>
      </c>
      <c r="C89" s="108">
        <f t="shared" si="2"/>
        <v>0.5</v>
      </c>
      <c r="D89" s="43"/>
      <c r="E89" s="24">
        <f t="shared" si="3"/>
        <v>124.49849999999999</v>
      </c>
    </row>
    <row r="90" spans="1:5" x14ac:dyDescent="0.25">
      <c r="A90" s="82" t="s">
        <v>62</v>
      </c>
      <c r="B90" s="24">
        <f>'Прайс для расчета'!E90</f>
        <v>326.529</v>
      </c>
      <c r="C90" s="108">
        <f t="shared" si="2"/>
        <v>0.5</v>
      </c>
      <c r="D90" s="43"/>
      <c r="E90" s="24">
        <f t="shared" si="3"/>
        <v>163.2645</v>
      </c>
    </row>
    <row r="91" spans="1:5" x14ac:dyDescent="0.25">
      <c r="A91" s="82" t="s">
        <v>487</v>
      </c>
      <c r="B91" s="24">
        <f>'Прайс для расчета'!E91</f>
        <v>1698.249</v>
      </c>
      <c r="C91" s="108">
        <f t="shared" si="2"/>
        <v>0.5</v>
      </c>
      <c r="D91" s="43"/>
      <c r="E91" s="24">
        <f t="shared" si="3"/>
        <v>849.12450000000001</v>
      </c>
    </row>
    <row r="92" spans="1:5" x14ac:dyDescent="0.25">
      <c r="A92" s="82" t="s">
        <v>346</v>
      </c>
      <c r="B92" s="24">
        <f>'Прайс для расчета'!E92</f>
        <v>335.47500000000002</v>
      </c>
      <c r="C92" s="108">
        <f t="shared" si="2"/>
        <v>0.5</v>
      </c>
      <c r="D92" s="43"/>
      <c r="E92" s="24">
        <f t="shared" si="3"/>
        <v>167.73750000000001</v>
      </c>
    </row>
    <row r="93" spans="1:5" x14ac:dyDescent="0.25">
      <c r="A93" s="82" t="s">
        <v>664</v>
      </c>
      <c r="B93" s="24">
        <f>'Прайс для расчета'!E93</f>
        <v>240.05099999999999</v>
      </c>
      <c r="C93" s="108">
        <f t="shared" si="2"/>
        <v>0.5</v>
      </c>
      <c r="D93" s="43"/>
      <c r="E93" s="24">
        <f t="shared" si="3"/>
        <v>120.02549999999999</v>
      </c>
    </row>
    <row r="94" spans="1:5" x14ac:dyDescent="0.25">
      <c r="A94" s="82" t="s">
        <v>665</v>
      </c>
      <c r="B94" s="24">
        <f>'Прайс для расчета'!E94</f>
        <v>102.87899999999999</v>
      </c>
      <c r="C94" s="108">
        <f t="shared" si="2"/>
        <v>0.5</v>
      </c>
      <c r="D94" s="43"/>
      <c r="E94" s="24">
        <f t="shared" si="3"/>
        <v>51.439499999999995</v>
      </c>
    </row>
    <row r="95" spans="1:5" x14ac:dyDescent="0.25">
      <c r="A95" s="82" t="s">
        <v>666</v>
      </c>
      <c r="B95" s="24">
        <f>'Прайс для расчета'!E95</f>
        <v>472.5</v>
      </c>
      <c r="C95" s="108">
        <f t="shared" si="2"/>
        <v>0.5</v>
      </c>
      <c r="D95" s="43"/>
      <c r="E95" s="24">
        <f t="shared" si="3"/>
        <v>236.25</v>
      </c>
    </row>
    <row r="96" spans="1:5" x14ac:dyDescent="0.25">
      <c r="A96" s="82" t="s">
        <v>159</v>
      </c>
      <c r="B96" s="24">
        <f>'Прайс для расчета'!E96</f>
        <v>840</v>
      </c>
      <c r="C96" s="108">
        <f t="shared" si="2"/>
        <v>0.5</v>
      </c>
      <c r="D96" s="43"/>
      <c r="E96" s="24">
        <f t="shared" si="3"/>
        <v>420</v>
      </c>
    </row>
    <row r="97" spans="1:5" x14ac:dyDescent="0.25">
      <c r="A97" s="82" t="s">
        <v>63</v>
      </c>
      <c r="B97" s="24">
        <f>'Прайс для расчета'!E97</f>
        <v>420.46199999999999</v>
      </c>
      <c r="C97" s="108">
        <f t="shared" si="2"/>
        <v>0.5</v>
      </c>
      <c r="D97" s="43"/>
      <c r="E97" s="24">
        <f t="shared" si="3"/>
        <v>210.23099999999999</v>
      </c>
    </row>
    <row r="98" spans="1:5" x14ac:dyDescent="0.25">
      <c r="A98" s="82" t="s">
        <v>488</v>
      </c>
      <c r="B98" s="24">
        <f>'Прайс для расчета'!E98</f>
        <v>1021.3349999999999</v>
      </c>
      <c r="C98" s="108">
        <f t="shared" si="2"/>
        <v>0.5</v>
      </c>
      <c r="D98" s="43"/>
      <c r="E98" s="24">
        <f t="shared" si="3"/>
        <v>510.66749999999996</v>
      </c>
    </row>
    <row r="99" spans="1:5" x14ac:dyDescent="0.25">
      <c r="A99" s="82" t="s">
        <v>489</v>
      </c>
      <c r="B99" s="24">
        <f>'Прайс для расчета'!E99</f>
        <v>4179</v>
      </c>
      <c r="C99" s="108">
        <f t="shared" si="2"/>
        <v>0.5</v>
      </c>
      <c r="D99" s="43"/>
      <c r="E99" s="24">
        <f t="shared" si="3"/>
        <v>2089.5</v>
      </c>
    </row>
    <row r="100" spans="1:5" x14ac:dyDescent="0.25">
      <c r="A100" s="82" t="s">
        <v>490</v>
      </c>
      <c r="B100" s="24">
        <f>'Прайс для расчета'!E100</f>
        <v>1183.854</v>
      </c>
      <c r="C100" s="108">
        <f t="shared" si="2"/>
        <v>0.5</v>
      </c>
      <c r="D100" s="43"/>
      <c r="E100" s="24">
        <f t="shared" si="3"/>
        <v>591.92700000000002</v>
      </c>
    </row>
    <row r="101" spans="1:5" x14ac:dyDescent="0.25">
      <c r="A101" s="82" t="s">
        <v>491</v>
      </c>
      <c r="B101" s="24">
        <f>'Прайс для расчета'!E101</f>
        <v>3129</v>
      </c>
      <c r="C101" s="108">
        <f t="shared" si="2"/>
        <v>0.5</v>
      </c>
      <c r="D101" s="43"/>
      <c r="E101" s="24">
        <f t="shared" si="3"/>
        <v>1564.5</v>
      </c>
    </row>
    <row r="102" spans="1:5" x14ac:dyDescent="0.25">
      <c r="A102" s="82" t="s">
        <v>667</v>
      </c>
      <c r="B102" s="24">
        <f>'Прайс для расчета'!E102</f>
        <v>591.92700000000002</v>
      </c>
      <c r="C102" s="108">
        <f t="shared" si="2"/>
        <v>0.5</v>
      </c>
      <c r="D102" s="43"/>
      <c r="E102" s="24">
        <f t="shared" si="3"/>
        <v>295.96350000000001</v>
      </c>
    </row>
    <row r="103" spans="1:5" x14ac:dyDescent="0.25">
      <c r="A103" s="82" t="s">
        <v>347</v>
      </c>
      <c r="B103" s="24">
        <f>'Прайс для расчета'!E103</f>
        <v>678.40500000000009</v>
      </c>
      <c r="C103" s="108">
        <f t="shared" si="2"/>
        <v>0.5</v>
      </c>
      <c r="D103" s="43"/>
      <c r="E103" s="24">
        <f t="shared" si="3"/>
        <v>339.20250000000004</v>
      </c>
    </row>
    <row r="104" spans="1:5" x14ac:dyDescent="0.25">
      <c r="A104" s="82" t="s">
        <v>348</v>
      </c>
      <c r="B104" s="24">
        <f>'Прайс для расчета'!E104</f>
        <v>849.87</v>
      </c>
      <c r="C104" s="108">
        <f t="shared" si="2"/>
        <v>0.5</v>
      </c>
      <c r="D104" s="43"/>
      <c r="E104" s="24">
        <f t="shared" si="3"/>
        <v>424.935</v>
      </c>
    </row>
    <row r="105" spans="1:5" x14ac:dyDescent="0.25">
      <c r="A105" s="82" t="s">
        <v>349</v>
      </c>
      <c r="B105" s="24">
        <f>'Прайс для расчета'!E105</f>
        <v>849.87</v>
      </c>
      <c r="C105" s="108">
        <f t="shared" si="2"/>
        <v>0.5</v>
      </c>
      <c r="D105" s="43"/>
      <c r="E105" s="24">
        <f t="shared" si="3"/>
        <v>424.935</v>
      </c>
    </row>
    <row r="106" spans="1:5" x14ac:dyDescent="0.25">
      <c r="A106" s="82" t="s">
        <v>668</v>
      </c>
      <c r="B106" s="24">
        <f>'Прайс для расчета'!E106</f>
        <v>678.40500000000009</v>
      </c>
      <c r="C106" s="108">
        <f t="shared" si="2"/>
        <v>0.5</v>
      </c>
      <c r="D106" s="43"/>
      <c r="E106" s="24">
        <f t="shared" si="3"/>
        <v>339.20250000000004</v>
      </c>
    </row>
    <row r="107" spans="1:5" x14ac:dyDescent="0.25">
      <c r="A107" s="82" t="s">
        <v>669</v>
      </c>
      <c r="B107" s="24">
        <f>'Прайс для расчета'!E107</f>
        <v>1106.3219999999999</v>
      </c>
      <c r="C107" s="108">
        <f t="shared" si="2"/>
        <v>0.5</v>
      </c>
      <c r="D107" s="43"/>
      <c r="E107" s="24">
        <f t="shared" si="3"/>
        <v>553.16099999999994</v>
      </c>
    </row>
    <row r="108" spans="1:5" x14ac:dyDescent="0.25">
      <c r="A108" s="82" t="s">
        <v>670</v>
      </c>
      <c r="B108" s="24">
        <f>'Прайс для расчета'!E108</f>
        <v>892.5</v>
      </c>
      <c r="C108" s="108">
        <f t="shared" si="2"/>
        <v>0.5</v>
      </c>
      <c r="D108" s="43"/>
      <c r="E108" s="24">
        <f t="shared" si="3"/>
        <v>446.25</v>
      </c>
    </row>
    <row r="109" spans="1:5" x14ac:dyDescent="0.25">
      <c r="A109" s="82" t="s">
        <v>350</v>
      </c>
      <c r="B109" s="24">
        <f>'Прайс для расчета'!E109</f>
        <v>164.01</v>
      </c>
      <c r="C109" s="108">
        <f t="shared" si="2"/>
        <v>0.5</v>
      </c>
      <c r="D109" s="43"/>
      <c r="E109" s="24">
        <f t="shared" si="3"/>
        <v>82.004999999999995</v>
      </c>
    </row>
    <row r="110" spans="1:5" x14ac:dyDescent="0.25">
      <c r="A110" s="82" t="s">
        <v>351</v>
      </c>
      <c r="B110" s="24">
        <f>'Прайс для расчета'!E110</f>
        <v>102.87899999999999</v>
      </c>
      <c r="C110" s="108">
        <f t="shared" si="2"/>
        <v>0.5</v>
      </c>
      <c r="D110" s="43"/>
      <c r="E110" s="24">
        <f t="shared" si="3"/>
        <v>51.439499999999995</v>
      </c>
    </row>
    <row r="111" spans="1:5" x14ac:dyDescent="0.25">
      <c r="A111" s="82" t="s">
        <v>352</v>
      </c>
      <c r="B111" s="24">
        <f>'Прайс для расчета'!E111</f>
        <v>248.99699999999999</v>
      </c>
      <c r="C111" s="108">
        <f t="shared" si="2"/>
        <v>0.5</v>
      </c>
      <c r="D111" s="43"/>
      <c r="E111" s="24">
        <f t="shared" si="3"/>
        <v>124.49849999999999</v>
      </c>
    </row>
    <row r="112" spans="1:5" x14ac:dyDescent="0.25">
      <c r="A112" s="82" t="s">
        <v>353</v>
      </c>
      <c r="B112" s="24">
        <f>'Прайс для расчета'!E112</f>
        <v>395.11499999999995</v>
      </c>
      <c r="C112" s="108">
        <f t="shared" si="2"/>
        <v>0.5</v>
      </c>
      <c r="D112" s="43"/>
      <c r="E112" s="24">
        <f t="shared" si="3"/>
        <v>197.55749999999998</v>
      </c>
    </row>
    <row r="113" spans="1:5" x14ac:dyDescent="0.25">
      <c r="A113" s="82" t="s">
        <v>492</v>
      </c>
      <c r="B113" s="24">
        <f>'Прайс для расчета'!E113</f>
        <v>978.096</v>
      </c>
      <c r="C113" s="108">
        <f t="shared" si="2"/>
        <v>0.5</v>
      </c>
      <c r="D113" s="43"/>
      <c r="E113" s="24">
        <f t="shared" si="3"/>
        <v>489.048</v>
      </c>
    </row>
    <row r="114" spans="1:5" x14ac:dyDescent="0.25">
      <c r="A114" s="82" t="s">
        <v>493</v>
      </c>
      <c r="B114" s="24">
        <f>'Прайс для расчета'!E114</f>
        <v>1183.854</v>
      </c>
      <c r="C114" s="108">
        <f t="shared" si="2"/>
        <v>0.5</v>
      </c>
      <c r="D114" s="43"/>
      <c r="E114" s="24">
        <f t="shared" si="3"/>
        <v>591.92700000000002</v>
      </c>
    </row>
    <row r="115" spans="1:5" x14ac:dyDescent="0.25">
      <c r="A115" s="82" t="s">
        <v>354</v>
      </c>
      <c r="B115" s="24">
        <f>'Прайс для расчета'!E115</f>
        <v>146.11799999999999</v>
      </c>
      <c r="C115" s="108">
        <f t="shared" si="2"/>
        <v>0.5</v>
      </c>
      <c r="D115" s="43"/>
      <c r="E115" s="24">
        <f t="shared" si="3"/>
        <v>73.058999999999997</v>
      </c>
    </row>
    <row r="116" spans="1:5" x14ac:dyDescent="0.25">
      <c r="A116" s="82" t="s">
        <v>671</v>
      </c>
      <c r="B116" s="24">
        <f>'Прайс для расчета'!E116</f>
        <v>164.01</v>
      </c>
      <c r="C116" s="108">
        <f t="shared" si="2"/>
        <v>0.5</v>
      </c>
      <c r="D116" s="43"/>
      <c r="E116" s="24">
        <f t="shared" si="3"/>
        <v>82.004999999999995</v>
      </c>
    </row>
    <row r="117" spans="1:5" x14ac:dyDescent="0.25">
      <c r="A117" s="82" t="s">
        <v>146</v>
      </c>
      <c r="B117" s="24">
        <f>'Прайс для расчета'!E117</f>
        <v>335.47500000000002</v>
      </c>
      <c r="C117" s="108">
        <f t="shared" si="2"/>
        <v>0.5</v>
      </c>
      <c r="D117" s="43"/>
      <c r="E117" s="24">
        <f t="shared" si="3"/>
        <v>167.73750000000001</v>
      </c>
    </row>
    <row r="118" spans="1:5" x14ac:dyDescent="0.25">
      <c r="A118" s="82" t="s">
        <v>64</v>
      </c>
      <c r="B118" s="24">
        <f>'Прайс для расчета'!E118</f>
        <v>1021.3349999999999</v>
      </c>
      <c r="C118" s="108">
        <f t="shared" si="2"/>
        <v>0.5</v>
      </c>
      <c r="D118" s="43"/>
      <c r="E118" s="24">
        <f t="shared" si="3"/>
        <v>510.66749999999996</v>
      </c>
    </row>
    <row r="119" spans="1:5" x14ac:dyDescent="0.25">
      <c r="A119" s="82" t="s">
        <v>672</v>
      </c>
      <c r="B119" s="24">
        <f>'Прайс для расчета'!E119</f>
        <v>34.292999999999999</v>
      </c>
      <c r="C119" s="108">
        <f t="shared" si="2"/>
        <v>0.5</v>
      </c>
      <c r="D119" s="43"/>
      <c r="E119" s="24">
        <f t="shared" si="3"/>
        <v>17.1465</v>
      </c>
    </row>
    <row r="120" spans="1:5" x14ac:dyDescent="0.25">
      <c r="A120" s="82" t="s">
        <v>177</v>
      </c>
      <c r="B120" s="24">
        <f>'Прайс для расчета'!E120</f>
        <v>164.01</v>
      </c>
      <c r="C120" s="108">
        <f t="shared" si="2"/>
        <v>0.5</v>
      </c>
      <c r="D120" s="43"/>
      <c r="E120" s="24">
        <f t="shared" si="3"/>
        <v>82.004999999999995</v>
      </c>
    </row>
    <row r="121" spans="1:5" x14ac:dyDescent="0.25">
      <c r="A121" s="82" t="s">
        <v>355</v>
      </c>
      <c r="B121" s="24">
        <f>'Прайс для расчета'!E121</f>
        <v>600.87300000000005</v>
      </c>
      <c r="C121" s="108">
        <f t="shared" si="2"/>
        <v>0.5</v>
      </c>
      <c r="D121" s="43"/>
      <c r="E121" s="24">
        <f t="shared" si="3"/>
        <v>300.43650000000002</v>
      </c>
    </row>
    <row r="122" spans="1:5" x14ac:dyDescent="0.25">
      <c r="A122" s="82" t="s">
        <v>494</v>
      </c>
      <c r="B122" s="24">
        <f>'Прайс для расчета'!E122</f>
        <v>3936.24</v>
      </c>
      <c r="C122" s="108">
        <f t="shared" si="2"/>
        <v>0.5</v>
      </c>
      <c r="D122" s="43"/>
      <c r="E122" s="24">
        <f t="shared" si="3"/>
        <v>1968.12</v>
      </c>
    </row>
    <row r="123" spans="1:5" x14ac:dyDescent="0.25">
      <c r="A123" s="82" t="s">
        <v>495</v>
      </c>
      <c r="B123" s="24">
        <f>'Прайс для расчета'!E123</f>
        <v>5093.2559999999994</v>
      </c>
      <c r="C123" s="108">
        <f t="shared" si="2"/>
        <v>0.5</v>
      </c>
      <c r="D123" s="43"/>
      <c r="E123" s="24">
        <f t="shared" si="3"/>
        <v>2546.6279999999997</v>
      </c>
    </row>
    <row r="124" spans="1:5" x14ac:dyDescent="0.25">
      <c r="A124" s="82" t="s">
        <v>496</v>
      </c>
      <c r="B124" s="24">
        <f>'Прайс для расчета'!E124</f>
        <v>4244.8769999999995</v>
      </c>
      <c r="C124" s="108">
        <f t="shared" si="2"/>
        <v>0.5</v>
      </c>
      <c r="D124" s="43"/>
      <c r="E124" s="24">
        <f t="shared" si="3"/>
        <v>2122.4384999999997</v>
      </c>
    </row>
    <row r="125" spans="1:5" x14ac:dyDescent="0.25">
      <c r="A125" s="82" t="s">
        <v>356</v>
      </c>
      <c r="B125" s="24">
        <f>'Прайс для расчета'!E125</f>
        <v>94.5</v>
      </c>
      <c r="C125" s="108">
        <f t="shared" si="2"/>
        <v>0.5</v>
      </c>
      <c r="D125" s="43"/>
      <c r="E125" s="24">
        <f t="shared" si="3"/>
        <v>47.25</v>
      </c>
    </row>
    <row r="126" spans="1:5" x14ac:dyDescent="0.25">
      <c r="A126" s="83" t="s">
        <v>894</v>
      </c>
      <c r="B126" s="24">
        <f>'Прайс для расчета'!E126</f>
        <v>157.5</v>
      </c>
      <c r="C126" s="108">
        <f t="shared" si="2"/>
        <v>0.5</v>
      </c>
      <c r="D126" s="43"/>
      <c r="E126" s="24">
        <f t="shared" si="3"/>
        <v>78.75</v>
      </c>
    </row>
    <row r="127" spans="1:5" x14ac:dyDescent="0.25">
      <c r="A127" s="82" t="s">
        <v>498</v>
      </c>
      <c r="B127" s="24">
        <f>'Прайс для расчета'!E127</f>
        <v>114.45</v>
      </c>
      <c r="C127" s="108">
        <f t="shared" si="2"/>
        <v>0.5</v>
      </c>
      <c r="D127" s="43"/>
      <c r="E127" s="24">
        <f t="shared" si="3"/>
        <v>57.225000000000001</v>
      </c>
    </row>
    <row r="128" spans="1:5" x14ac:dyDescent="0.25">
      <c r="A128" s="83" t="s">
        <v>959</v>
      </c>
      <c r="B128" s="24">
        <f>'Прайс для расчета'!E128</f>
        <v>0</v>
      </c>
      <c r="C128" s="108">
        <f t="shared" si="2"/>
        <v>0.5</v>
      </c>
      <c r="D128" s="43"/>
      <c r="E128" s="24">
        <f t="shared" si="3"/>
        <v>0</v>
      </c>
    </row>
    <row r="129" spans="1:5" x14ac:dyDescent="0.25">
      <c r="A129" s="83" t="s">
        <v>930</v>
      </c>
      <c r="B129" s="24">
        <f>'Прайс для расчета'!E129</f>
        <v>576.45000000000005</v>
      </c>
      <c r="C129" s="108">
        <f t="shared" si="2"/>
        <v>0.5</v>
      </c>
      <c r="D129" s="43"/>
      <c r="E129" s="24">
        <f t="shared" si="3"/>
        <v>288.22500000000002</v>
      </c>
    </row>
    <row r="130" spans="1:5" x14ac:dyDescent="0.25">
      <c r="A130" s="83" t="s">
        <v>931</v>
      </c>
      <c r="B130" s="24">
        <f>'Прайс для расчета'!E130</f>
        <v>681.45</v>
      </c>
      <c r="C130" s="108">
        <f t="shared" si="2"/>
        <v>0.5</v>
      </c>
      <c r="D130" s="43"/>
      <c r="E130" s="24">
        <f t="shared" si="3"/>
        <v>340.72500000000002</v>
      </c>
    </row>
    <row r="131" spans="1:5" x14ac:dyDescent="0.25">
      <c r="A131" s="83" t="s">
        <v>932</v>
      </c>
      <c r="B131" s="24">
        <f>'Прайс для расчета'!E131</f>
        <v>891.45</v>
      </c>
      <c r="C131" s="108">
        <f t="shared" si="2"/>
        <v>0.5</v>
      </c>
      <c r="D131" s="43"/>
      <c r="E131" s="24">
        <f t="shared" si="3"/>
        <v>445.72500000000002</v>
      </c>
    </row>
    <row r="132" spans="1:5" x14ac:dyDescent="0.25">
      <c r="A132" s="82" t="s">
        <v>357</v>
      </c>
      <c r="B132" s="24">
        <f>'Прайс для расчета'!E132</f>
        <v>996.45</v>
      </c>
      <c r="C132" s="108">
        <f t="shared" si="2"/>
        <v>0.5</v>
      </c>
      <c r="D132" s="43"/>
      <c r="E132" s="24">
        <f t="shared" si="3"/>
        <v>498.22500000000002</v>
      </c>
    </row>
    <row r="133" spans="1:5" x14ac:dyDescent="0.25">
      <c r="A133" s="82" t="s">
        <v>358</v>
      </c>
      <c r="B133" s="24">
        <f>'Прайс для расчета'!E133</f>
        <v>1101.45</v>
      </c>
      <c r="C133" s="108">
        <f t="shared" ref="C133:C196" si="4">$D$3</f>
        <v>0.5</v>
      </c>
      <c r="D133" s="43"/>
      <c r="E133" s="24">
        <f t="shared" si="3"/>
        <v>550.72500000000002</v>
      </c>
    </row>
    <row r="134" spans="1:5" x14ac:dyDescent="0.25">
      <c r="A134" s="82" t="s">
        <v>151</v>
      </c>
      <c r="B134" s="24">
        <f>'Прайс для расчета'!E134</f>
        <v>271.95</v>
      </c>
      <c r="C134" s="108">
        <f t="shared" si="4"/>
        <v>0.5</v>
      </c>
      <c r="D134" s="43"/>
      <c r="E134" s="24">
        <f t="shared" si="3"/>
        <v>135.97499999999999</v>
      </c>
    </row>
    <row r="135" spans="1:5" x14ac:dyDescent="0.25">
      <c r="A135" s="82" t="s">
        <v>499</v>
      </c>
      <c r="B135" s="24">
        <f>'Прайс для расчета'!E135</f>
        <v>262.5</v>
      </c>
      <c r="C135" s="108">
        <f t="shared" si="4"/>
        <v>0.5</v>
      </c>
      <c r="D135" s="43"/>
      <c r="E135" s="24">
        <f t="shared" si="3"/>
        <v>131.25</v>
      </c>
    </row>
    <row r="136" spans="1:5" x14ac:dyDescent="0.25">
      <c r="A136" s="82" t="s">
        <v>500</v>
      </c>
      <c r="B136" s="24">
        <f>'Прайс для расчета'!E136</f>
        <v>250.95000000000002</v>
      </c>
      <c r="C136" s="108">
        <f t="shared" si="4"/>
        <v>0.5</v>
      </c>
      <c r="D136" s="43"/>
      <c r="E136" s="24">
        <f t="shared" ref="E136:E201" si="5">IF(D136=0,B136*C136,B136*D136)</f>
        <v>125.47500000000001</v>
      </c>
    </row>
    <row r="137" spans="1:5" x14ac:dyDescent="0.25">
      <c r="A137" s="82" t="s">
        <v>217</v>
      </c>
      <c r="B137" s="24">
        <f>'Прайс для расчета'!E137</f>
        <v>204.75</v>
      </c>
      <c r="C137" s="108">
        <f t="shared" si="4"/>
        <v>0.5</v>
      </c>
      <c r="D137" s="43"/>
      <c r="E137" s="24">
        <f t="shared" si="5"/>
        <v>102.375</v>
      </c>
    </row>
    <row r="138" spans="1:5" x14ac:dyDescent="0.25">
      <c r="A138" s="82" t="s">
        <v>359</v>
      </c>
      <c r="B138" s="24">
        <f>'Прайс для расчета'!E138</f>
        <v>299.25</v>
      </c>
      <c r="C138" s="108">
        <f t="shared" si="4"/>
        <v>0.5</v>
      </c>
      <c r="D138" s="43"/>
      <c r="E138" s="24">
        <f t="shared" si="5"/>
        <v>149.625</v>
      </c>
    </row>
    <row r="139" spans="1:5" x14ac:dyDescent="0.25">
      <c r="A139" s="82" t="s">
        <v>360</v>
      </c>
      <c r="B139" s="24">
        <f>'Прайс для расчета'!E139</f>
        <v>104.36999999999999</v>
      </c>
      <c r="C139" s="108">
        <f t="shared" si="4"/>
        <v>0.5</v>
      </c>
      <c r="D139" s="43"/>
      <c r="E139" s="24">
        <f t="shared" si="5"/>
        <v>52.184999999999995</v>
      </c>
    </row>
    <row r="140" spans="1:5" x14ac:dyDescent="0.25">
      <c r="A140" s="82" t="s">
        <v>361</v>
      </c>
      <c r="B140" s="24">
        <f>'Прайс для расчета'!E140</f>
        <v>498.75</v>
      </c>
      <c r="C140" s="108">
        <f t="shared" si="4"/>
        <v>0.5</v>
      </c>
      <c r="D140" s="43"/>
      <c r="E140" s="24">
        <f t="shared" si="5"/>
        <v>249.375</v>
      </c>
    </row>
    <row r="141" spans="1:5" x14ac:dyDescent="0.25">
      <c r="A141" s="82" t="s">
        <v>501</v>
      </c>
      <c r="B141" s="24">
        <f>'Прайс для расчета'!E141</f>
        <v>460.95000000000005</v>
      </c>
      <c r="C141" s="108">
        <f t="shared" si="4"/>
        <v>0.5</v>
      </c>
      <c r="D141" s="43"/>
      <c r="E141" s="24">
        <f t="shared" si="5"/>
        <v>230.47500000000002</v>
      </c>
    </row>
    <row r="142" spans="1:5" x14ac:dyDescent="0.25">
      <c r="A142" s="82" t="s">
        <v>362</v>
      </c>
      <c r="B142" s="24">
        <f>'Прайс для расчета'!E142</f>
        <v>1942.5</v>
      </c>
      <c r="C142" s="108">
        <f t="shared" si="4"/>
        <v>0.5</v>
      </c>
      <c r="D142" s="43"/>
      <c r="E142" s="24">
        <f t="shared" si="5"/>
        <v>971.25</v>
      </c>
    </row>
    <row r="143" spans="1:5" x14ac:dyDescent="0.25">
      <c r="A143" s="82" t="s">
        <v>227</v>
      </c>
      <c r="B143" s="24">
        <f>'Прайс для расчета'!E143</f>
        <v>362.25</v>
      </c>
      <c r="C143" s="108">
        <f t="shared" si="4"/>
        <v>0.5</v>
      </c>
      <c r="D143" s="43"/>
      <c r="E143" s="24">
        <f t="shared" si="5"/>
        <v>181.125</v>
      </c>
    </row>
    <row r="144" spans="1:5" x14ac:dyDescent="0.25">
      <c r="A144" s="82" t="s">
        <v>224</v>
      </c>
      <c r="B144" s="24">
        <f>'Прайс для расчета'!E144</f>
        <v>271.95</v>
      </c>
      <c r="C144" s="108">
        <f t="shared" si="4"/>
        <v>0.5</v>
      </c>
      <c r="D144" s="43"/>
      <c r="E144" s="24">
        <f t="shared" si="5"/>
        <v>135.97499999999999</v>
      </c>
    </row>
    <row r="145" spans="1:5" x14ac:dyDescent="0.25">
      <c r="A145" s="82" t="s">
        <v>673</v>
      </c>
      <c r="B145" s="24">
        <f>'Прайс для расчета'!E145</f>
        <v>509.25</v>
      </c>
      <c r="C145" s="108">
        <f t="shared" si="4"/>
        <v>0.5</v>
      </c>
      <c r="D145" s="43"/>
      <c r="E145" s="24">
        <f t="shared" si="5"/>
        <v>254.625</v>
      </c>
    </row>
    <row r="146" spans="1:5" x14ac:dyDescent="0.25">
      <c r="A146" s="82" t="s">
        <v>363</v>
      </c>
      <c r="B146" s="24">
        <f>'Прайс для расчета'!E146</f>
        <v>472.5</v>
      </c>
      <c r="C146" s="108">
        <f t="shared" si="4"/>
        <v>0.5</v>
      </c>
      <c r="D146" s="43"/>
      <c r="E146" s="24">
        <f t="shared" si="5"/>
        <v>236.25</v>
      </c>
    </row>
    <row r="147" spans="1:5" x14ac:dyDescent="0.25">
      <c r="A147" s="82" t="s">
        <v>364</v>
      </c>
      <c r="B147" s="24">
        <f>'Прайс для расчета'!E147</f>
        <v>404.06100000000004</v>
      </c>
      <c r="C147" s="108">
        <f t="shared" si="4"/>
        <v>0.5</v>
      </c>
      <c r="D147" s="43"/>
      <c r="E147" s="24">
        <f t="shared" si="5"/>
        <v>202.03050000000002</v>
      </c>
    </row>
    <row r="148" spans="1:5" x14ac:dyDescent="0.25">
      <c r="A148" s="82" t="s">
        <v>365</v>
      </c>
      <c r="B148" s="24">
        <f>'Прайс для расчета'!E148</f>
        <v>304.5</v>
      </c>
      <c r="C148" s="108">
        <f t="shared" si="4"/>
        <v>0.5</v>
      </c>
      <c r="D148" s="43"/>
      <c r="E148" s="24">
        <f t="shared" si="5"/>
        <v>152.25</v>
      </c>
    </row>
    <row r="149" spans="1:5" x14ac:dyDescent="0.25">
      <c r="A149" s="82" t="s">
        <v>366</v>
      </c>
      <c r="B149" s="24">
        <f>'Прайс для расчета'!E149</f>
        <v>472.5</v>
      </c>
      <c r="C149" s="108">
        <f t="shared" si="4"/>
        <v>0.5</v>
      </c>
      <c r="D149" s="43"/>
      <c r="E149" s="24">
        <f t="shared" si="5"/>
        <v>236.25</v>
      </c>
    </row>
    <row r="150" spans="1:5" x14ac:dyDescent="0.25">
      <c r="A150" s="82" t="s">
        <v>502</v>
      </c>
      <c r="B150" s="24">
        <f>'Прайс для расчета'!E150</f>
        <v>124.95</v>
      </c>
      <c r="C150" s="108">
        <f t="shared" si="4"/>
        <v>0.5</v>
      </c>
      <c r="D150" s="43"/>
      <c r="E150" s="24">
        <f t="shared" si="5"/>
        <v>62.475000000000001</v>
      </c>
    </row>
    <row r="151" spans="1:5" x14ac:dyDescent="0.25">
      <c r="A151" s="83" t="s">
        <v>956</v>
      </c>
      <c r="B151" s="24">
        <f>'Прайс для расчета'!E151</f>
        <v>892.5</v>
      </c>
      <c r="C151" s="108">
        <f t="shared" si="4"/>
        <v>0.5</v>
      </c>
      <c r="D151" s="43"/>
      <c r="E151" s="24">
        <f t="shared" si="5"/>
        <v>446.25</v>
      </c>
    </row>
    <row r="152" spans="1:5" x14ac:dyDescent="0.25">
      <c r="A152" s="82" t="s">
        <v>367</v>
      </c>
      <c r="B152" s="24">
        <f>'Прайс для расчета'!E152</f>
        <v>1207.5</v>
      </c>
      <c r="C152" s="108">
        <f t="shared" si="4"/>
        <v>0.5</v>
      </c>
      <c r="D152" s="43"/>
      <c r="E152" s="24">
        <f t="shared" si="5"/>
        <v>603.75</v>
      </c>
    </row>
    <row r="153" spans="1:5" x14ac:dyDescent="0.25">
      <c r="A153" s="82" t="s">
        <v>368</v>
      </c>
      <c r="B153" s="24">
        <f>'Прайс для расчета'!E153</f>
        <v>624.75</v>
      </c>
      <c r="C153" s="108">
        <f t="shared" si="4"/>
        <v>0.5</v>
      </c>
      <c r="D153" s="43"/>
      <c r="E153" s="24">
        <f t="shared" si="5"/>
        <v>312.375</v>
      </c>
    </row>
    <row r="154" spans="1:5" x14ac:dyDescent="0.25">
      <c r="A154" s="82" t="s">
        <v>369</v>
      </c>
      <c r="B154" s="24">
        <f>'Прайс для расчета'!E154</f>
        <v>729.75</v>
      </c>
      <c r="C154" s="108">
        <f t="shared" si="4"/>
        <v>0.5</v>
      </c>
      <c r="D154" s="43"/>
      <c r="E154" s="24">
        <f t="shared" si="5"/>
        <v>364.875</v>
      </c>
    </row>
    <row r="155" spans="1:5" x14ac:dyDescent="0.25">
      <c r="A155" s="82" t="s">
        <v>370</v>
      </c>
      <c r="B155" s="24">
        <f>'Прайс для расчета'!E155</f>
        <v>943.95</v>
      </c>
      <c r="C155" s="108">
        <f t="shared" si="4"/>
        <v>0.5</v>
      </c>
      <c r="D155" s="43"/>
      <c r="E155" s="24">
        <f t="shared" si="5"/>
        <v>471.97500000000002</v>
      </c>
    </row>
    <row r="156" spans="1:5" x14ac:dyDescent="0.25">
      <c r="A156" s="82" t="s">
        <v>503</v>
      </c>
      <c r="B156" s="24">
        <f>'Прайс для расчета'!E156</f>
        <v>787.5</v>
      </c>
      <c r="C156" s="108">
        <f t="shared" si="4"/>
        <v>0.5</v>
      </c>
      <c r="D156" s="43"/>
      <c r="E156" s="24">
        <f t="shared" si="5"/>
        <v>393.75</v>
      </c>
    </row>
    <row r="157" spans="1:5" x14ac:dyDescent="0.25">
      <c r="A157" s="82" t="s">
        <v>371</v>
      </c>
      <c r="B157" s="24">
        <f>'Прайс для расчета'!E157</f>
        <v>651</v>
      </c>
      <c r="C157" s="108">
        <f t="shared" si="4"/>
        <v>0.5</v>
      </c>
      <c r="D157" s="43"/>
      <c r="E157" s="24">
        <f t="shared" si="5"/>
        <v>325.5</v>
      </c>
    </row>
    <row r="158" spans="1:5" x14ac:dyDescent="0.25">
      <c r="A158" s="82" t="s">
        <v>674</v>
      </c>
      <c r="B158" s="24">
        <f>'Прайс для расчета'!E158</f>
        <v>267.75</v>
      </c>
      <c r="C158" s="108">
        <f t="shared" si="4"/>
        <v>0.5</v>
      </c>
      <c r="D158" s="43"/>
      <c r="E158" s="24">
        <f t="shared" si="5"/>
        <v>133.875</v>
      </c>
    </row>
    <row r="159" spans="1:5" x14ac:dyDescent="0.25">
      <c r="A159" s="82" t="s">
        <v>218</v>
      </c>
      <c r="B159" s="24">
        <f>'Прайс для расчета'!E159</f>
        <v>2992.5</v>
      </c>
      <c r="C159" s="108">
        <f t="shared" si="4"/>
        <v>0.5</v>
      </c>
      <c r="D159" s="43"/>
      <c r="E159" s="24">
        <f t="shared" si="5"/>
        <v>1496.25</v>
      </c>
    </row>
    <row r="160" spans="1:5" x14ac:dyDescent="0.25">
      <c r="A160" s="83" t="s">
        <v>372</v>
      </c>
      <c r="B160" s="24">
        <f>'Прайс для расчета'!E160</f>
        <v>94.5</v>
      </c>
      <c r="C160" s="108">
        <f t="shared" si="4"/>
        <v>0.5</v>
      </c>
      <c r="D160" s="43"/>
      <c r="E160" s="24">
        <f t="shared" si="5"/>
        <v>47.25</v>
      </c>
    </row>
    <row r="161" spans="1:5" x14ac:dyDescent="0.25">
      <c r="A161" s="83" t="s">
        <v>957</v>
      </c>
      <c r="B161" s="24">
        <f>'Прайс для расчета'!E161</f>
        <v>157.5</v>
      </c>
      <c r="C161" s="108">
        <f t="shared" si="4"/>
        <v>0.5</v>
      </c>
      <c r="D161" s="43"/>
      <c r="E161" s="24">
        <f t="shared" si="5"/>
        <v>78.75</v>
      </c>
    </row>
    <row r="162" spans="1:5" x14ac:dyDescent="0.25">
      <c r="A162" s="83" t="s">
        <v>373</v>
      </c>
      <c r="B162" s="24">
        <f>'Прайс для расчета'!E162</f>
        <v>519.75</v>
      </c>
      <c r="C162" s="108">
        <f t="shared" si="4"/>
        <v>0.5</v>
      </c>
      <c r="D162" s="43"/>
      <c r="E162" s="24">
        <f t="shared" si="5"/>
        <v>259.875</v>
      </c>
    </row>
    <row r="163" spans="1:5" x14ac:dyDescent="0.25">
      <c r="A163" s="82" t="s">
        <v>504</v>
      </c>
      <c r="B163" s="24">
        <f>'Прайс для расчета'!E163</f>
        <v>687.75</v>
      </c>
      <c r="C163" s="108">
        <f t="shared" si="4"/>
        <v>0.5</v>
      </c>
      <c r="D163" s="43"/>
      <c r="E163" s="24">
        <f t="shared" si="5"/>
        <v>343.875</v>
      </c>
    </row>
    <row r="164" spans="1:5" x14ac:dyDescent="0.25">
      <c r="A164" s="82" t="s">
        <v>505</v>
      </c>
      <c r="B164" s="24">
        <f>'Прайс для расчета'!E164</f>
        <v>420</v>
      </c>
      <c r="C164" s="108">
        <f t="shared" si="4"/>
        <v>0.5</v>
      </c>
      <c r="D164" s="43"/>
      <c r="E164" s="24">
        <f t="shared" si="5"/>
        <v>210</v>
      </c>
    </row>
    <row r="165" spans="1:5" x14ac:dyDescent="0.25">
      <c r="A165" s="82" t="s">
        <v>506</v>
      </c>
      <c r="B165" s="24">
        <f>'Прайс для расчета'!E165</f>
        <v>829.5</v>
      </c>
      <c r="C165" s="108">
        <f t="shared" si="4"/>
        <v>0.5</v>
      </c>
      <c r="D165" s="43"/>
      <c r="E165" s="24">
        <f t="shared" si="5"/>
        <v>414.75</v>
      </c>
    </row>
    <row r="166" spans="1:5" x14ac:dyDescent="0.25">
      <c r="A166" s="82" t="s">
        <v>507</v>
      </c>
      <c r="B166" s="24">
        <f>'Прайс для расчета'!E166</f>
        <v>204.75</v>
      </c>
      <c r="C166" s="108">
        <f t="shared" si="4"/>
        <v>0.5</v>
      </c>
      <c r="D166" s="43"/>
      <c r="E166" s="24">
        <f t="shared" si="5"/>
        <v>102.375</v>
      </c>
    </row>
    <row r="167" spans="1:5" x14ac:dyDescent="0.25">
      <c r="A167" s="82" t="s">
        <v>116</v>
      </c>
      <c r="B167" s="24">
        <f>'Прайс для расчета'!E167</f>
        <v>157.5</v>
      </c>
      <c r="C167" s="108">
        <f t="shared" si="4"/>
        <v>0.5</v>
      </c>
      <c r="D167" s="43"/>
      <c r="E167" s="24">
        <f t="shared" si="5"/>
        <v>78.75</v>
      </c>
    </row>
    <row r="168" spans="1:5" x14ac:dyDescent="0.25">
      <c r="A168" s="82" t="s">
        <v>117</v>
      </c>
      <c r="B168" s="24">
        <f>'Прайс для расчета'!E168</f>
        <v>157.5</v>
      </c>
      <c r="C168" s="108">
        <f t="shared" si="4"/>
        <v>0.5</v>
      </c>
      <c r="D168" s="43"/>
      <c r="E168" s="24">
        <f t="shared" si="5"/>
        <v>78.75</v>
      </c>
    </row>
    <row r="169" spans="1:5" x14ac:dyDescent="0.25">
      <c r="A169" s="82" t="s">
        <v>374</v>
      </c>
      <c r="B169" s="24">
        <f>'Прайс для расчета'!E169</f>
        <v>204.75</v>
      </c>
      <c r="C169" s="108">
        <f t="shared" si="4"/>
        <v>0.5</v>
      </c>
      <c r="D169" s="43"/>
      <c r="E169" s="24">
        <f t="shared" si="5"/>
        <v>102.375</v>
      </c>
    </row>
    <row r="170" spans="1:5" x14ac:dyDescent="0.25">
      <c r="A170" s="82" t="s">
        <v>375</v>
      </c>
      <c r="B170" s="24">
        <f>'Прайс для расчета'!E170</f>
        <v>204.75</v>
      </c>
      <c r="C170" s="108">
        <f t="shared" si="4"/>
        <v>0.5</v>
      </c>
      <c r="D170" s="43"/>
      <c r="E170" s="24">
        <f t="shared" si="5"/>
        <v>102.375</v>
      </c>
    </row>
    <row r="171" spans="1:5" x14ac:dyDescent="0.25">
      <c r="A171" s="82" t="s">
        <v>376</v>
      </c>
      <c r="B171" s="24">
        <f>'Прайс для расчета'!E171</f>
        <v>1559.586</v>
      </c>
      <c r="C171" s="108">
        <f t="shared" si="4"/>
        <v>0.5</v>
      </c>
      <c r="D171" s="43"/>
      <c r="E171" s="24">
        <f t="shared" si="5"/>
        <v>779.79300000000001</v>
      </c>
    </row>
    <row r="172" spans="1:5" x14ac:dyDescent="0.25">
      <c r="A172" s="82" t="s">
        <v>377</v>
      </c>
      <c r="B172" s="24">
        <f>'Прайс для расчета'!E172</f>
        <v>1616.2440000000001</v>
      </c>
      <c r="C172" s="108">
        <f t="shared" si="4"/>
        <v>0.5</v>
      </c>
      <c r="D172" s="43"/>
      <c r="E172" s="24">
        <f t="shared" si="5"/>
        <v>808.12200000000007</v>
      </c>
    </row>
    <row r="173" spans="1:5" x14ac:dyDescent="0.25">
      <c r="A173" s="82" t="s">
        <v>378</v>
      </c>
      <c r="B173" s="24">
        <f>'Прайс для расчета'!E173</f>
        <v>1131.6690000000001</v>
      </c>
      <c r="C173" s="108">
        <f t="shared" si="4"/>
        <v>0.5</v>
      </c>
      <c r="D173" s="43"/>
      <c r="E173" s="24">
        <f t="shared" si="5"/>
        <v>565.83450000000005</v>
      </c>
    </row>
    <row r="174" spans="1:5" x14ac:dyDescent="0.25">
      <c r="A174" s="82" t="s">
        <v>379</v>
      </c>
      <c r="B174" s="24">
        <f>'Прайс для расчета'!E174</f>
        <v>1191.309</v>
      </c>
      <c r="C174" s="108">
        <f t="shared" si="4"/>
        <v>0.5</v>
      </c>
      <c r="D174" s="43"/>
      <c r="E174" s="24">
        <f t="shared" si="5"/>
        <v>595.65449999999998</v>
      </c>
    </row>
    <row r="175" spans="1:5" x14ac:dyDescent="0.25">
      <c r="A175" s="82" t="s">
        <v>380</v>
      </c>
      <c r="B175" s="24">
        <f>'Прайс для расчета'!E175</f>
        <v>1265.8589999999999</v>
      </c>
      <c r="C175" s="108">
        <f t="shared" si="4"/>
        <v>0.5</v>
      </c>
      <c r="D175" s="43"/>
      <c r="E175" s="24">
        <f t="shared" si="5"/>
        <v>632.92949999999996</v>
      </c>
    </row>
    <row r="176" spans="1:5" x14ac:dyDescent="0.25">
      <c r="A176" s="82" t="s">
        <v>161</v>
      </c>
      <c r="B176" s="24">
        <f>'Прайс для расчета'!E176</f>
        <v>1417.5</v>
      </c>
      <c r="C176" s="108">
        <f t="shared" si="4"/>
        <v>0.5</v>
      </c>
      <c r="D176" s="43"/>
      <c r="E176" s="24">
        <f t="shared" si="5"/>
        <v>708.75</v>
      </c>
    </row>
    <row r="177" spans="1:5" x14ac:dyDescent="0.25">
      <c r="A177" s="82" t="s">
        <v>162</v>
      </c>
      <c r="B177" s="24">
        <f>'Прайс для расчета'!E177</f>
        <v>1837.5</v>
      </c>
      <c r="C177" s="108">
        <f t="shared" si="4"/>
        <v>0.5</v>
      </c>
      <c r="D177" s="43"/>
      <c r="E177" s="24">
        <f t="shared" si="5"/>
        <v>918.75</v>
      </c>
    </row>
    <row r="178" spans="1:5" x14ac:dyDescent="0.25">
      <c r="A178" s="82" t="s">
        <v>381</v>
      </c>
      <c r="B178" s="24">
        <f>'Прайс для расчета'!E178</f>
        <v>183.75</v>
      </c>
      <c r="C178" s="108">
        <f t="shared" si="4"/>
        <v>0.5</v>
      </c>
      <c r="D178" s="43"/>
      <c r="E178" s="24">
        <f t="shared" si="5"/>
        <v>91.875</v>
      </c>
    </row>
    <row r="179" spans="1:5" x14ac:dyDescent="0.25">
      <c r="A179" s="82" t="s">
        <v>382</v>
      </c>
      <c r="B179" s="24">
        <f>'Прайс для расчета'!E179</f>
        <v>367.5</v>
      </c>
      <c r="C179" s="108">
        <f t="shared" si="4"/>
        <v>0.5</v>
      </c>
      <c r="D179" s="43"/>
      <c r="E179" s="24">
        <f t="shared" si="5"/>
        <v>183.75</v>
      </c>
    </row>
    <row r="180" spans="1:5" x14ac:dyDescent="0.25">
      <c r="A180" s="82" t="s">
        <v>508</v>
      </c>
      <c r="B180" s="24">
        <f>'Прайс для расчета'!E180</f>
        <v>481.95000000000005</v>
      </c>
      <c r="C180" s="108">
        <f t="shared" si="4"/>
        <v>0.5</v>
      </c>
      <c r="D180" s="43"/>
      <c r="E180" s="24">
        <f t="shared" si="5"/>
        <v>240.97500000000002</v>
      </c>
    </row>
    <row r="181" spans="1:5" x14ac:dyDescent="0.25">
      <c r="A181" s="82" t="s">
        <v>383</v>
      </c>
      <c r="B181" s="24">
        <f>'Прайс для расчета'!E181</f>
        <v>1506.75</v>
      </c>
      <c r="C181" s="108">
        <f t="shared" si="4"/>
        <v>0.5</v>
      </c>
      <c r="D181" s="43"/>
      <c r="E181" s="24">
        <f t="shared" si="5"/>
        <v>753.375</v>
      </c>
    </row>
    <row r="182" spans="1:5" x14ac:dyDescent="0.25">
      <c r="A182" s="82" t="s">
        <v>384</v>
      </c>
      <c r="B182" s="24">
        <f>'Прайс для расчета'!E182</f>
        <v>1821.75</v>
      </c>
      <c r="C182" s="108">
        <f t="shared" si="4"/>
        <v>0.5</v>
      </c>
      <c r="D182" s="43"/>
      <c r="E182" s="24">
        <f t="shared" si="5"/>
        <v>910.875</v>
      </c>
    </row>
    <row r="183" spans="1:5" x14ac:dyDescent="0.25">
      <c r="A183" s="82" t="s">
        <v>385</v>
      </c>
      <c r="B183" s="24">
        <f>'Прайс для расчета'!E183</f>
        <v>1149.75</v>
      </c>
      <c r="C183" s="108">
        <f t="shared" si="4"/>
        <v>0.5</v>
      </c>
      <c r="D183" s="43"/>
      <c r="E183" s="24">
        <f t="shared" si="5"/>
        <v>574.875</v>
      </c>
    </row>
    <row r="184" spans="1:5" x14ac:dyDescent="0.25">
      <c r="A184" s="82" t="s">
        <v>509</v>
      </c>
      <c r="B184" s="24">
        <f>'Прайс для расчета'!E184</f>
        <v>1527.75</v>
      </c>
      <c r="C184" s="108">
        <f t="shared" si="4"/>
        <v>0.5</v>
      </c>
      <c r="D184" s="43"/>
      <c r="E184" s="24">
        <f t="shared" si="5"/>
        <v>763.875</v>
      </c>
    </row>
    <row r="185" spans="1:5" x14ac:dyDescent="0.25">
      <c r="A185" s="82" t="s">
        <v>510</v>
      </c>
      <c r="B185" s="24">
        <f>'Прайс для расчета'!E185</f>
        <v>1737.75</v>
      </c>
      <c r="C185" s="108">
        <f t="shared" si="4"/>
        <v>0.5</v>
      </c>
      <c r="D185" s="43"/>
      <c r="E185" s="24">
        <f t="shared" si="5"/>
        <v>868.875</v>
      </c>
    </row>
    <row r="186" spans="1:5" x14ac:dyDescent="0.25">
      <c r="A186" s="82" t="s">
        <v>43</v>
      </c>
      <c r="B186" s="24">
        <f>'Прайс для расчета'!E186</f>
        <v>194.25</v>
      </c>
      <c r="C186" s="108">
        <f t="shared" si="4"/>
        <v>0.5</v>
      </c>
      <c r="D186" s="43"/>
      <c r="E186" s="24">
        <f t="shared" si="5"/>
        <v>97.125</v>
      </c>
    </row>
    <row r="187" spans="1:5" x14ac:dyDescent="0.25">
      <c r="A187" s="82" t="s">
        <v>386</v>
      </c>
      <c r="B187" s="24">
        <f>'Прайс для расчета'!E187</f>
        <v>2089.5</v>
      </c>
      <c r="C187" s="108">
        <f t="shared" si="4"/>
        <v>0.5</v>
      </c>
      <c r="D187" s="43"/>
      <c r="E187" s="24">
        <f t="shared" si="5"/>
        <v>1044.75</v>
      </c>
    </row>
    <row r="188" spans="1:5" x14ac:dyDescent="0.25">
      <c r="A188" s="82" t="s">
        <v>387</v>
      </c>
      <c r="B188" s="24">
        <f>'Прайс для расчета'!E188</f>
        <v>3097.5</v>
      </c>
      <c r="C188" s="108">
        <f t="shared" si="4"/>
        <v>0.5</v>
      </c>
      <c r="D188" s="43"/>
      <c r="E188" s="24">
        <f t="shared" si="5"/>
        <v>1548.75</v>
      </c>
    </row>
    <row r="189" spans="1:5" x14ac:dyDescent="0.25">
      <c r="A189" s="82" t="s">
        <v>388</v>
      </c>
      <c r="B189" s="24">
        <f>'Прайс для расчета'!E189</f>
        <v>2992.5</v>
      </c>
      <c r="C189" s="108">
        <f t="shared" si="4"/>
        <v>0.5</v>
      </c>
      <c r="D189" s="43"/>
      <c r="E189" s="24">
        <f t="shared" si="5"/>
        <v>1496.25</v>
      </c>
    </row>
    <row r="190" spans="1:5" x14ac:dyDescent="0.25">
      <c r="A190" s="82" t="s">
        <v>230</v>
      </c>
      <c r="B190" s="24">
        <f>'Прайс для расчета'!E190</f>
        <v>404.06100000000004</v>
      </c>
      <c r="C190" s="108">
        <f t="shared" si="4"/>
        <v>0.5</v>
      </c>
      <c r="D190" s="43"/>
      <c r="E190" s="24">
        <f t="shared" si="5"/>
        <v>202.03050000000002</v>
      </c>
    </row>
    <row r="191" spans="1:5" x14ac:dyDescent="0.25">
      <c r="A191" s="82" t="s">
        <v>225</v>
      </c>
      <c r="B191" s="24">
        <f>'Прайс для расчета'!E191</f>
        <v>282.45</v>
      </c>
      <c r="C191" s="108">
        <f t="shared" si="4"/>
        <v>0.5</v>
      </c>
      <c r="D191" s="43"/>
      <c r="E191" s="24">
        <f t="shared" si="5"/>
        <v>141.22499999999999</v>
      </c>
    </row>
    <row r="192" spans="1:5" x14ac:dyDescent="0.25">
      <c r="A192" s="82" t="s">
        <v>656</v>
      </c>
      <c r="B192" s="24">
        <f>'Прайс для расчета'!E192</f>
        <v>614.25</v>
      </c>
      <c r="C192" s="108">
        <f t="shared" si="4"/>
        <v>0.5</v>
      </c>
      <c r="D192" s="43"/>
      <c r="E192" s="24">
        <f t="shared" si="5"/>
        <v>307.125</v>
      </c>
    </row>
    <row r="193" spans="1:5" x14ac:dyDescent="0.25">
      <c r="A193" s="82" t="s">
        <v>389</v>
      </c>
      <c r="B193" s="24">
        <f>'Прайс для расчета'!E193</f>
        <v>84</v>
      </c>
      <c r="C193" s="108">
        <f t="shared" si="4"/>
        <v>0.5</v>
      </c>
      <c r="D193" s="43"/>
      <c r="E193" s="24">
        <f t="shared" si="5"/>
        <v>42</v>
      </c>
    </row>
    <row r="194" spans="1:5" x14ac:dyDescent="0.25">
      <c r="A194" s="82" t="s">
        <v>390</v>
      </c>
      <c r="B194" s="24">
        <f>'Прайс для расчета'!E194</f>
        <v>787.5</v>
      </c>
      <c r="C194" s="108">
        <f t="shared" si="4"/>
        <v>0.5</v>
      </c>
      <c r="D194" s="43"/>
      <c r="E194" s="24">
        <f t="shared" si="5"/>
        <v>393.75</v>
      </c>
    </row>
    <row r="195" spans="1:5" x14ac:dyDescent="0.25">
      <c r="A195" s="82" t="s">
        <v>391</v>
      </c>
      <c r="B195" s="24">
        <f>'Прайс для расчета'!E195</f>
        <v>892.5</v>
      </c>
      <c r="C195" s="108">
        <f t="shared" si="4"/>
        <v>0.5</v>
      </c>
      <c r="D195" s="43"/>
      <c r="E195" s="24">
        <f t="shared" si="5"/>
        <v>446.25</v>
      </c>
    </row>
    <row r="196" spans="1:5" x14ac:dyDescent="0.25">
      <c r="A196" s="82" t="s">
        <v>392</v>
      </c>
      <c r="B196" s="24">
        <f>'Прайс для расчета'!E196</f>
        <v>997.5</v>
      </c>
      <c r="C196" s="108">
        <f t="shared" si="4"/>
        <v>0.5</v>
      </c>
      <c r="D196" s="43"/>
      <c r="E196" s="24">
        <f t="shared" si="5"/>
        <v>498.75</v>
      </c>
    </row>
    <row r="197" spans="1:5" x14ac:dyDescent="0.25">
      <c r="A197" s="82" t="s">
        <v>393</v>
      </c>
      <c r="B197" s="24">
        <f>'Прайс для расчета'!E197</f>
        <v>787.5</v>
      </c>
      <c r="C197" s="108">
        <f t="shared" ref="C197:C260" si="6">$D$3</f>
        <v>0.5</v>
      </c>
      <c r="D197" s="43"/>
      <c r="E197" s="24">
        <f t="shared" si="5"/>
        <v>393.75</v>
      </c>
    </row>
    <row r="198" spans="1:5" x14ac:dyDescent="0.25">
      <c r="A198" s="82" t="s">
        <v>52</v>
      </c>
      <c r="B198" s="24">
        <f>'Прайс для расчета'!E198</f>
        <v>204.75</v>
      </c>
      <c r="C198" s="108">
        <f t="shared" si="6"/>
        <v>0.5</v>
      </c>
      <c r="D198" s="43"/>
      <c r="E198" s="24">
        <f t="shared" si="5"/>
        <v>102.375</v>
      </c>
    </row>
    <row r="199" spans="1:5" x14ac:dyDescent="0.25">
      <c r="A199" s="82" t="s">
        <v>53</v>
      </c>
      <c r="B199" s="24">
        <f>'Прайс для расчета'!E199</f>
        <v>194.25</v>
      </c>
      <c r="C199" s="108">
        <f t="shared" si="6"/>
        <v>0.5</v>
      </c>
      <c r="D199" s="43"/>
      <c r="E199" s="24">
        <f t="shared" si="5"/>
        <v>97.125</v>
      </c>
    </row>
    <row r="200" spans="1:5" x14ac:dyDescent="0.25">
      <c r="A200" s="82" t="s">
        <v>394</v>
      </c>
      <c r="B200" s="24">
        <f>'Прайс для расчета'!E200</f>
        <v>866.25</v>
      </c>
      <c r="C200" s="108">
        <f t="shared" si="6"/>
        <v>0.5</v>
      </c>
      <c r="D200" s="43"/>
      <c r="E200" s="24">
        <f t="shared" si="5"/>
        <v>433.125</v>
      </c>
    </row>
    <row r="201" spans="1:5" x14ac:dyDescent="0.25">
      <c r="A201" s="82" t="s">
        <v>395</v>
      </c>
      <c r="B201" s="24">
        <f>'Прайс для расчета'!E201</f>
        <v>262.5</v>
      </c>
      <c r="C201" s="108">
        <f t="shared" si="6"/>
        <v>0.5</v>
      </c>
      <c r="D201" s="43"/>
      <c r="E201" s="24">
        <f t="shared" si="5"/>
        <v>131.25</v>
      </c>
    </row>
    <row r="202" spans="1:5" x14ac:dyDescent="0.25">
      <c r="A202" s="83" t="s">
        <v>396</v>
      </c>
      <c r="B202" s="24">
        <f>'Прайс для расчета'!E202</f>
        <v>135.45000000000002</v>
      </c>
      <c r="C202" s="108">
        <f t="shared" si="6"/>
        <v>0.5</v>
      </c>
      <c r="D202" s="43"/>
      <c r="E202" s="24">
        <f t="shared" ref="E202:E275" si="7">IF(D202=0,B202*C202,B202*D202)</f>
        <v>67.725000000000009</v>
      </c>
    </row>
    <row r="203" spans="1:5" x14ac:dyDescent="0.25">
      <c r="A203" s="83" t="s">
        <v>958</v>
      </c>
      <c r="B203" s="24">
        <f>'Прайс для расчета'!E203</f>
        <v>210</v>
      </c>
      <c r="C203" s="108">
        <f t="shared" si="6"/>
        <v>0.5</v>
      </c>
      <c r="D203" s="43"/>
      <c r="E203" s="24">
        <f t="shared" si="7"/>
        <v>105</v>
      </c>
    </row>
    <row r="204" spans="1:5" x14ac:dyDescent="0.25">
      <c r="A204" s="82" t="s">
        <v>511</v>
      </c>
      <c r="B204" s="24">
        <f>'Прайс для расчета'!E204</f>
        <v>892.5</v>
      </c>
      <c r="C204" s="108">
        <f t="shared" si="6"/>
        <v>0.5</v>
      </c>
      <c r="D204" s="43"/>
      <c r="E204" s="24">
        <f t="shared" si="7"/>
        <v>446.25</v>
      </c>
    </row>
    <row r="205" spans="1:5" x14ac:dyDescent="0.25">
      <c r="A205" s="82" t="s">
        <v>397</v>
      </c>
      <c r="B205" s="24">
        <f>'Прайс для расчета'!E205</f>
        <v>1102.5</v>
      </c>
      <c r="C205" s="108">
        <f t="shared" si="6"/>
        <v>0.5</v>
      </c>
      <c r="D205" s="43"/>
      <c r="E205" s="24">
        <f t="shared" si="7"/>
        <v>551.25</v>
      </c>
    </row>
    <row r="206" spans="1:5" x14ac:dyDescent="0.25">
      <c r="A206" s="82" t="s">
        <v>398</v>
      </c>
      <c r="B206" s="24">
        <f>'Прайс для расчета'!E206</f>
        <v>892.5</v>
      </c>
      <c r="C206" s="108">
        <f t="shared" si="6"/>
        <v>0.5</v>
      </c>
      <c r="D206" s="43"/>
      <c r="E206" s="24">
        <f t="shared" si="7"/>
        <v>446.25</v>
      </c>
    </row>
    <row r="207" spans="1:5" x14ac:dyDescent="0.25">
      <c r="A207" s="82" t="s">
        <v>399</v>
      </c>
      <c r="B207" s="24">
        <f>'Прайс для расчета'!E207</f>
        <v>210</v>
      </c>
      <c r="C207" s="108">
        <f t="shared" si="6"/>
        <v>0.5</v>
      </c>
      <c r="D207" s="43"/>
      <c r="E207" s="24">
        <f t="shared" si="7"/>
        <v>105</v>
      </c>
    </row>
    <row r="208" spans="1:5" x14ac:dyDescent="0.25">
      <c r="A208" s="82" t="s">
        <v>226</v>
      </c>
      <c r="B208" s="24">
        <f>'Прайс для расчета'!E208</f>
        <v>3097.5</v>
      </c>
      <c r="C208" s="108">
        <f t="shared" si="6"/>
        <v>0.5</v>
      </c>
      <c r="D208" s="43"/>
      <c r="E208" s="24">
        <f t="shared" si="7"/>
        <v>1548.75</v>
      </c>
    </row>
    <row r="209" spans="1:5" x14ac:dyDescent="0.25">
      <c r="A209" s="82" t="s">
        <v>400</v>
      </c>
      <c r="B209" s="24">
        <f>'Прайс для расчета'!E209</f>
        <v>240.05099999999999</v>
      </c>
      <c r="C209" s="108">
        <f t="shared" si="6"/>
        <v>0.5</v>
      </c>
      <c r="D209" s="43"/>
      <c r="E209" s="24">
        <f t="shared" si="7"/>
        <v>120.02549999999999</v>
      </c>
    </row>
    <row r="210" spans="1:5" x14ac:dyDescent="0.25">
      <c r="A210" s="82" t="s">
        <v>401</v>
      </c>
      <c r="B210" s="24">
        <f>'Прайс для расчета'!E210</f>
        <v>164.01</v>
      </c>
      <c r="C210" s="108">
        <f t="shared" si="6"/>
        <v>0.5</v>
      </c>
      <c r="D210" s="43"/>
      <c r="E210" s="24">
        <f t="shared" si="7"/>
        <v>82.004999999999995</v>
      </c>
    </row>
    <row r="211" spans="1:5" x14ac:dyDescent="0.25">
      <c r="A211" s="82" t="s">
        <v>675</v>
      </c>
      <c r="B211" s="24">
        <f>'Прайс для расчета'!E211</f>
        <v>477.12</v>
      </c>
      <c r="C211" s="108">
        <f t="shared" si="6"/>
        <v>0.5</v>
      </c>
      <c r="D211" s="43"/>
      <c r="E211" s="24">
        <f t="shared" si="7"/>
        <v>238.56</v>
      </c>
    </row>
    <row r="212" spans="1:5" x14ac:dyDescent="0.25">
      <c r="A212" s="82" t="s">
        <v>402</v>
      </c>
      <c r="B212" s="24">
        <f>'Прайс для расчета'!E212</f>
        <v>124.95</v>
      </c>
      <c r="C212" s="108">
        <f t="shared" si="6"/>
        <v>0.5</v>
      </c>
      <c r="D212" s="43"/>
      <c r="E212" s="24">
        <f t="shared" si="7"/>
        <v>62.475000000000001</v>
      </c>
    </row>
    <row r="213" spans="1:5" x14ac:dyDescent="0.25">
      <c r="A213" s="83" t="s">
        <v>960</v>
      </c>
      <c r="B213" s="24">
        <f>'Прайс для расчета'!E213</f>
        <v>199.5</v>
      </c>
      <c r="C213" s="108">
        <f t="shared" si="6"/>
        <v>0.5</v>
      </c>
      <c r="D213" s="43"/>
      <c r="E213" s="24">
        <f t="shared" si="7"/>
        <v>99.75</v>
      </c>
    </row>
    <row r="214" spans="1:5" x14ac:dyDescent="0.25">
      <c r="A214" s="82" t="s">
        <v>676</v>
      </c>
      <c r="B214" s="24">
        <f>'Прайс для расчета'!E214</f>
        <v>299.25</v>
      </c>
      <c r="C214" s="108">
        <f t="shared" si="6"/>
        <v>0.5</v>
      </c>
      <c r="D214" s="43"/>
      <c r="E214" s="24">
        <f t="shared" si="7"/>
        <v>149.625</v>
      </c>
    </row>
    <row r="215" spans="1:5" x14ac:dyDescent="0.25">
      <c r="A215" s="82" t="s">
        <v>403</v>
      </c>
      <c r="B215" s="24">
        <f>'Прайс для расчета'!E215</f>
        <v>236.25</v>
      </c>
      <c r="C215" s="108">
        <f t="shared" si="6"/>
        <v>0.5</v>
      </c>
      <c r="D215" s="43"/>
      <c r="E215" s="24">
        <f t="shared" si="7"/>
        <v>118.125</v>
      </c>
    </row>
    <row r="216" spans="1:5" x14ac:dyDescent="0.25">
      <c r="A216" s="82" t="s">
        <v>404</v>
      </c>
      <c r="B216" s="24">
        <f>'Прайс для расчета'!E216</f>
        <v>624.75</v>
      </c>
      <c r="C216" s="108">
        <f t="shared" si="6"/>
        <v>0.5</v>
      </c>
      <c r="D216" s="43"/>
      <c r="E216" s="24">
        <f t="shared" si="7"/>
        <v>312.375</v>
      </c>
    </row>
    <row r="217" spans="1:5" x14ac:dyDescent="0.25">
      <c r="A217" s="82" t="s">
        <v>147</v>
      </c>
      <c r="B217" s="24">
        <f>'Прайс для расчета'!E217</f>
        <v>787.5</v>
      </c>
      <c r="C217" s="108">
        <f t="shared" si="6"/>
        <v>0.5</v>
      </c>
      <c r="D217" s="43"/>
      <c r="E217" s="24">
        <f t="shared" si="7"/>
        <v>393.75</v>
      </c>
    </row>
    <row r="218" spans="1:5" x14ac:dyDescent="0.25">
      <c r="A218" s="82" t="s">
        <v>148</v>
      </c>
      <c r="B218" s="24">
        <f>'Прайс для расчета'!E218</f>
        <v>1207.5</v>
      </c>
      <c r="C218" s="108">
        <f t="shared" si="6"/>
        <v>0.5</v>
      </c>
      <c r="D218" s="43"/>
      <c r="E218" s="24">
        <f t="shared" si="7"/>
        <v>603.75</v>
      </c>
    </row>
    <row r="219" spans="1:5" x14ac:dyDescent="0.25">
      <c r="A219" s="82" t="s">
        <v>512</v>
      </c>
      <c r="B219" s="24">
        <f>'Прайс для расчета'!E219</f>
        <v>262.5</v>
      </c>
      <c r="C219" s="108">
        <f t="shared" si="6"/>
        <v>0.5</v>
      </c>
      <c r="D219" s="43"/>
      <c r="E219" s="24">
        <f t="shared" si="7"/>
        <v>131.25</v>
      </c>
    </row>
    <row r="220" spans="1:5" x14ac:dyDescent="0.25">
      <c r="A220" s="82" t="s">
        <v>513</v>
      </c>
      <c r="B220" s="24">
        <f>'Прайс для расчета'!E220</f>
        <v>997.5</v>
      </c>
      <c r="C220" s="108">
        <f t="shared" si="6"/>
        <v>0.5</v>
      </c>
      <c r="D220" s="43"/>
      <c r="E220" s="24">
        <f t="shared" si="7"/>
        <v>498.75</v>
      </c>
    </row>
    <row r="221" spans="1:5" x14ac:dyDescent="0.25">
      <c r="A221" s="82" t="s">
        <v>4</v>
      </c>
      <c r="B221" s="24">
        <f>'Прайс для расчета'!E221</f>
        <v>735</v>
      </c>
      <c r="C221" s="108">
        <f t="shared" si="6"/>
        <v>0.5</v>
      </c>
      <c r="D221" s="43"/>
      <c r="E221" s="24">
        <f t="shared" si="7"/>
        <v>367.5</v>
      </c>
    </row>
    <row r="222" spans="1:5" x14ac:dyDescent="0.25">
      <c r="A222" s="82" t="s">
        <v>152</v>
      </c>
      <c r="B222" s="24">
        <f>'Прайс для расчета'!E222</f>
        <v>105</v>
      </c>
      <c r="C222" s="108">
        <f t="shared" si="6"/>
        <v>0.5</v>
      </c>
      <c r="D222" s="43"/>
      <c r="E222" s="24">
        <f t="shared" si="7"/>
        <v>52.5</v>
      </c>
    </row>
    <row r="223" spans="1:5" x14ac:dyDescent="0.25">
      <c r="A223" s="82" t="s">
        <v>153</v>
      </c>
      <c r="B223" s="24">
        <f>'Прайс для расчета'!E223</f>
        <v>292.95</v>
      </c>
      <c r="C223" s="108">
        <f t="shared" si="6"/>
        <v>0.5</v>
      </c>
      <c r="D223" s="43"/>
      <c r="E223" s="24">
        <f t="shared" si="7"/>
        <v>146.47499999999999</v>
      </c>
    </row>
    <row r="224" spans="1:5" x14ac:dyDescent="0.25">
      <c r="A224" s="82" t="s">
        <v>223</v>
      </c>
      <c r="B224" s="24">
        <f>'Прайс для расчета'!E224</f>
        <v>719.25</v>
      </c>
      <c r="C224" s="108">
        <f t="shared" si="6"/>
        <v>0.5</v>
      </c>
      <c r="D224" s="43"/>
      <c r="E224" s="24">
        <f>IF(D224=0,B224*C224,B224*D224)</f>
        <v>359.625</v>
      </c>
    </row>
    <row r="225" spans="1:5" x14ac:dyDescent="0.25">
      <c r="A225" s="82" t="s">
        <v>405</v>
      </c>
      <c r="B225" s="24">
        <f>'Прайс для расчета'!E225</f>
        <v>2299.5</v>
      </c>
      <c r="C225" s="108">
        <f t="shared" si="6"/>
        <v>0.5</v>
      </c>
      <c r="D225" s="43"/>
      <c r="E225" s="24">
        <f t="shared" si="7"/>
        <v>1149.75</v>
      </c>
    </row>
    <row r="226" spans="1:5" x14ac:dyDescent="0.25">
      <c r="A226" s="82" t="s">
        <v>406</v>
      </c>
      <c r="B226" s="24">
        <f>'Прайс для расчета'!E226</f>
        <v>1942.5</v>
      </c>
      <c r="C226" s="108">
        <f t="shared" si="6"/>
        <v>0.5</v>
      </c>
      <c r="D226" s="43"/>
      <c r="E226" s="24">
        <f t="shared" si="7"/>
        <v>971.25</v>
      </c>
    </row>
    <row r="227" spans="1:5" x14ac:dyDescent="0.25">
      <c r="A227" s="82" t="s">
        <v>407</v>
      </c>
      <c r="B227" s="24">
        <f>'Прайс для расчета'!E227</f>
        <v>2047.5</v>
      </c>
      <c r="C227" s="108">
        <f t="shared" si="6"/>
        <v>0.5</v>
      </c>
      <c r="D227" s="43"/>
      <c r="E227" s="24">
        <f t="shared" si="7"/>
        <v>1023.75</v>
      </c>
    </row>
    <row r="228" spans="1:5" x14ac:dyDescent="0.25">
      <c r="A228" s="82" t="s">
        <v>408</v>
      </c>
      <c r="B228" s="24">
        <f>'Прайс для расчета'!E228</f>
        <v>2467.5</v>
      </c>
      <c r="C228" s="108">
        <f t="shared" si="6"/>
        <v>0.5</v>
      </c>
      <c r="D228" s="43"/>
      <c r="E228" s="24">
        <f t="shared" si="7"/>
        <v>1233.75</v>
      </c>
    </row>
    <row r="229" spans="1:5" x14ac:dyDescent="0.25">
      <c r="A229" s="83" t="s">
        <v>888</v>
      </c>
      <c r="B229" s="24">
        <f>'Прайс для расчета'!E229</f>
        <v>2677.5</v>
      </c>
      <c r="C229" s="108">
        <f t="shared" si="6"/>
        <v>0.5</v>
      </c>
      <c r="D229" s="43"/>
      <c r="E229" s="24">
        <f t="shared" si="7"/>
        <v>1338.75</v>
      </c>
    </row>
    <row r="230" spans="1:5" x14ac:dyDescent="0.25">
      <c r="A230" s="83" t="s">
        <v>933</v>
      </c>
      <c r="B230" s="24">
        <f>'Прайс для расчета'!E230</f>
        <v>2518.9500000000003</v>
      </c>
      <c r="C230" s="108">
        <f t="shared" si="6"/>
        <v>0.5</v>
      </c>
      <c r="D230" s="43"/>
      <c r="E230" s="24">
        <f t="shared" si="7"/>
        <v>1259.4750000000001</v>
      </c>
    </row>
    <row r="231" spans="1:5" x14ac:dyDescent="0.25">
      <c r="A231" s="82" t="s">
        <v>233</v>
      </c>
      <c r="B231" s="24">
        <f>'Прайс для расчета'!E231</f>
        <v>509.25</v>
      </c>
      <c r="C231" s="108">
        <f t="shared" si="6"/>
        <v>0.5</v>
      </c>
      <c r="D231" s="43"/>
      <c r="E231" s="24">
        <f t="shared" si="7"/>
        <v>254.625</v>
      </c>
    </row>
    <row r="232" spans="1:5" x14ac:dyDescent="0.25">
      <c r="A232" s="82" t="s">
        <v>409</v>
      </c>
      <c r="B232" s="24">
        <f>'Прайс для расчета'!E232</f>
        <v>2718.4500000000003</v>
      </c>
      <c r="C232" s="108">
        <f t="shared" si="6"/>
        <v>0.5</v>
      </c>
      <c r="D232" s="43"/>
      <c r="E232" s="24">
        <f t="shared" si="7"/>
        <v>1359.2250000000001</v>
      </c>
    </row>
    <row r="233" spans="1:5" x14ac:dyDescent="0.25">
      <c r="A233" s="82" t="s">
        <v>410</v>
      </c>
      <c r="B233" s="24">
        <f>'Прайс для расчета'!E233</f>
        <v>1260</v>
      </c>
      <c r="C233" s="108">
        <f t="shared" si="6"/>
        <v>0.5</v>
      </c>
      <c r="D233" s="43"/>
      <c r="E233" s="24">
        <f t="shared" si="7"/>
        <v>630</v>
      </c>
    </row>
    <row r="234" spans="1:5" x14ac:dyDescent="0.25">
      <c r="A234" s="82" t="s">
        <v>411</v>
      </c>
      <c r="B234" s="24">
        <f>'Прайс для расчета'!E234</f>
        <v>3033.4500000000003</v>
      </c>
      <c r="C234" s="108">
        <f t="shared" si="6"/>
        <v>0.5</v>
      </c>
      <c r="D234" s="43"/>
      <c r="E234" s="24">
        <f t="shared" si="7"/>
        <v>1516.7250000000001</v>
      </c>
    </row>
    <row r="235" spans="1:5" x14ac:dyDescent="0.25">
      <c r="A235" s="82" t="s">
        <v>515</v>
      </c>
      <c r="B235" s="24">
        <f>'Прайс для расчета'!E235</f>
        <v>971.25</v>
      </c>
      <c r="C235" s="108">
        <f t="shared" si="6"/>
        <v>0.5</v>
      </c>
      <c r="D235" s="43"/>
      <c r="E235" s="24">
        <f t="shared" si="7"/>
        <v>485.625</v>
      </c>
    </row>
    <row r="236" spans="1:5" x14ac:dyDescent="0.25">
      <c r="A236" s="83" t="s">
        <v>923</v>
      </c>
      <c r="B236" s="24">
        <f>'Прайс для расчета'!E236</f>
        <v>3412.5</v>
      </c>
      <c r="C236" s="108">
        <f t="shared" si="6"/>
        <v>0.5</v>
      </c>
      <c r="D236" s="43"/>
      <c r="E236" s="24">
        <f t="shared" si="7"/>
        <v>1706.25</v>
      </c>
    </row>
    <row r="237" spans="1:5" x14ac:dyDescent="0.25">
      <c r="A237" s="83" t="s">
        <v>934</v>
      </c>
      <c r="B237" s="24">
        <f>'Прайс для расчета'!E237</f>
        <v>2938.9500000000003</v>
      </c>
      <c r="C237" s="108">
        <f t="shared" si="6"/>
        <v>0.5</v>
      </c>
      <c r="D237" s="43"/>
      <c r="E237" s="24">
        <f t="shared" si="7"/>
        <v>1469.4750000000001</v>
      </c>
    </row>
    <row r="238" spans="1:5" x14ac:dyDescent="0.25">
      <c r="A238" s="83" t="s">
        <v>922</v>
      </c>
      <c r="B238" s="24">
        <f>'Прайс для расчета'!E238</f>
        <v>3097.5</v>
      </c>
      <c r="C238" s="108">
        <f t="shared" si="6"/>
        <v>0.5</v>
      </c>
      <c r="D238" s="43"/>
      <c r="E238" s="24">
        <f t="shared" si="7"/>
        <v>1548.75</v>
      </c>
    </row>
    <row r="239" spans="1:5" x14ac:dyDescent="0.25">
      <c r="A239" s="83" t="s">
        <v>935</v>
      </c>
      <c r="B239" s="24">
        <f>'Прайс для расчета'!E239</f>
        <v>3717</v>
      </c>
      <c r="C239" s="108">
        <f t="shared" si="6"/>
        <v>0.5</v>
      </c>
      <c r="D239" s="43"/>
      <c r="E239" s="24">
        <f t="shared" si="7"/>
        <v>1858.5</v>
      </c>
    </row>
    <row r="240" spans="1:5" x14ac:dyDescent="0.25">
      <c r="A240" s="83" t="s">
        <v>936</v>
      </c>
      <c r="B240" s="24">
        <f>'Прайс для расчета'!E240</f>
        <v>6237</v>
      </c>
      <c r="C240" s="108">
        <f t="shared" si="6"/>
        <v>0.5</v>
      </c>
      <c r="D240" s="43"/>
      <c r="E240" s="24">
        <f t="shared" si="7"/>
        <v>3118.5</v>
      </c>
    </row>
    <row r="241" spans="1:5" x14ac:dyDescent="0.25">
      <c r="A241" s="82" t="s">
        <v>516</v>
      </c>
      <c r="B241" s="24">
        <f>'Прайс для расчета'!E241</f>
        <v>3622.5</v>
      </c>
      <c r="C241" s="108">
        <f t="shared" si="6"/>
        <v>0.5</v>
      </c>
      <c r="D241" s="43"/>
      <c r="E241" s="24">
        <f t="shared" si="7"/>
        <v>1811.25</v>
      </c>
    </row>
    <row r="242" spans="1:5" x14ac:dyDescent="0.25">
      <c r="A242" s="82" t="s">
        <v>517</v>
      </c>
      <c r="B242" s="24">
        <f>'Прайс для расчета'!E242</f>
        <v>5197.5</v>
      </c>
      <c r="C242" s="108">
        <f t="shared" si="6"/>
        <v>0.5</v>
      </c>
      <c r="D242" s="43"/>
      <c r="E242" s="24">
        <f t="shared" si="7"/>
        <v>2598.75</v>
      </c>
    </row>
    <row r="243" spans="1:5" x14ac:dyDescent="0.25">
      <c r="A243" s="82" t="s">
        <v>518</v>
      </c>
      <c r="B243" s="24">
        <f>'Прайс для расчета'!E243</f>
        <v>3097.5</v>
      </c>
      <c r="C243" s="108">
        <f t="shared" si="6"/>
        <v>0.5</v>
      </c>
      <c r="D243" s="43"/>
      <c r="E243" s="24">
        <f t="shared" si="7"/>
        <v>1548.75</v>
      </c>
    </row>
    <row r="244" spans="1:5" x14ac:dyDescent="0.25">
      <c r="A244" s="82" t="s">
        <v>412</v>
      </c>
      <c r="B244" s="24">
        <f>'Прайс для расчета'!E244</f>
        <v>404.25</v>
      </c>
      <c r="C244" s="108">
        <f t="shared" si="6"/>
        <v>0.5</v>
      </c>
      <c r="D244" s="43"/>
      <c r="E244" s="24">
        <f t="shared" si="7"/>
        <v>202.125</v>
      </c>
    </row>
    <row r="245" spans="1:5" x14ac:dyDescent="0.25">
      <c r="A245" s="83" t="s">
        <v>937</v>
      </c>
      <c r="B245" s="24">
        <f>'Прайс для расчета'!E245</f>
        <v>1244.25</v>
      </c>
      <c r="C245" s="108">
        <f t="shared" si="6"/>
        <v>0.5</v>
      </c>
      <c r="D245" s="43"/>
      <c r="E245" s="24">
        <f t="shared" si="7"/>
        <v>622.125</v>
      </c>
    </row>
    <row r="246" spans="1:5" x14ac:dyDescent="0.25">
      <c r="A246" s="83" t="s">
        <v>938</v>
      </c>
      <c r="B246" s="24">
        <f>'Прайс для расчета'!E246</f>
        <v>929.25</v>
      </c>
      <c r="C246" s="108">
        <f t="shared" si="6"/>
        <v>0.5</v>
      </c>
      <c r="D246" s="43"/>
      <c r="E246" s="24">
        <f t="shared" si="7"/>
        <v>464.625</v>
      </c>
    </row>
    <row r="247" spans="1:5" x14ac:dyDescent="0.25">
      <c r="A247" s="82" t="s">
        <v>677</v>
      </c>
      <c r="B247" s="24">
        <f>'Прайс для расчета'!E247</f>
        <v>572.25</v>
      </c>
      <c r="C247" s="108">
        <f t="shared" si="6"/>
        <v>0.5</v>
      </c>
      <c r="D247" s="43"/>
      <c r="E247" s="24">
        <f t="shared" si="7"/>
        <v>286.125</v>
      </c>
    </row>
    <row r="248" spans="1:5" x14ac:dyDescent="0.25">
      <c r="A248" s="82" t="s">
        <v>413</v>
      </c>
      <c r="B248" s="24">
        <f>'Прайс для расчета'!E248</f>
        <v>1023.75</v>
      </c>
      <c r="C248" s="108">
        <f t="shared" si="6"/>
        <v>0.5</v>
      </c>
      <c r="D248" s="43"/>
      <c r="E248" s="24">
        <f t="shared" si="7"/>
        <v>511.875</v>
      </c>
    </row>
    <row r="249" spans="1:5" x14ac:dyDescent="0.25">
      <c r="A249" s="82" t="s">
        <v>414</v>
      </c>
      <c r="B249" s="24">
        <f>'Прайс для расчета'!E249</f>
        <v>715.68</v>
      </c>
      <c r="C249" s="108">
        <f t="shared" si="6"/>
        <v>0.5</v>
      </c>
      <c r="D249" s="43"/>
      <c r="E249" s="24">
        <f t="shared" si="7"/>
        <v>357.84</v>
      </c>
    </row>
    <row r="250" spans="1:5" x14ac:dyDescent="0.25">
      <c r="A250" s="82" t="s">
        <v>145</v>
      </c>
      <c r="B250" s="24">
        <f>'Прайс для расчета'!E250</f>
        <v>819</v>
      </c>
      <c r="C250" s="108">
        <f t="shared" si="6"/>
        <v>0.5</v>
      </c>
      <c r="D250" s="43"/>
      <c r="E250" s="24">
        <f t="shared" si="7"/>
        <v>409.5</v>
      </c>
    </row>
    <row r="251" spans="1:5" x14ac:dyDescent="0.25">
      <c r="A251" s="83" t="s">
        <v>904</v>
      </c>
      <c r="B251" s="24">
        <f>'Прайс для расчета'!E251</f>
        <v>876.75</v>
      </c>
      <c r="C251" s="108">
        <f t="shared" si="6"/>
        <v>0.5</v>
      </c>
      <c r="D251" s="43"/>
      <c r="E251" s="24">
        <f t="shared" si="7"/>
        <v>438.375</v>
      </c>
    </row>
    <row r="252" spans="1:5" x14ac:dyDescent="0.25">
      <c r="A252" s="83" t="s">
        <v>925</v>
      </c>
      <c r="B252" s="24">
        <f>'Прайс для расчета'!E252</f>
        <v>1097.25</v>
      </c>
      <c r="C252" s="108">
        <f t="shared" si="6"/>
        <v>0.5</v>
      </c>
      <c r="D252" s="43"/>
      <c r="E252" s="24">
        <f t="shared" si="7"/>
        <v>548.625</v>
      </c>
    </row>
    <row r="253" spans="1:5" x14ac:dyDescent="0.25">
      <c r="A253" s="83" t="s">
        <v>892</v>
      </c>
      <c r="B253" s="24">
        <f>'Прайс для расчета'!E253</f>
        <v>299.25</v>
      </c>
      <c r="C253" s="108">
        <f t="shared" si="6"/>
        <v>0.5</v>
      </c>
      <c r="D253" s="43"/>
      <c r="E253" s="24">
        <f t="shared" si="7"/>
        <v>149.625</v>
      </c>
    </row>
    <row r="254" spans="1:5" x14ac:dyDescent="0.25">
      <c r="A254" s="82" t="s">
        <v>415</v>
      </c>
      <c r="B254" s="24">
        <f>'Прайс для расчета'!E254</f>
        <v>1044.75</v>
      </c>
      <c r="C254" s="108">
        <f t="shared" si="6"/>
        <v>0.5</v>
      </c>
      <c r="D254" s="43"/>
      <c r="E254" s="24">
        <f t="shared" si="7"/>
        <v>522.375</v>
      </c>
    </row>
    <row r="255" spans="1:5" x14ac:dyDescent="0.25">
      <c r="A255" s="82" t="s">
        <v>519</v>
      </c>
      <c r="B255" s="24">
        <f>'Прайс для расчета'!E255</f>
        <v>1401.75</v>
      </c>
      <c r="C255" s="108">
        <f t="shared" si="6"/>
        <v>0.5</v>
      </c>
      <c r="D255" s="43"/>
      <c r="E255" s="24">
        <f t="shared" si="7"/>
        <v>700.875</v>
      </c>
    </row>
    <row r="256" spans="1:5" x14ac:dyDescent="0.25">
      <c r="A256" s="83" t="s">
        <v>891</v>
      </c>
      <c r="B256" s="24">
        <f>'Прайс для расчета'!E256</f>
        <v>2982</v>
      </c>
      <c r="C256" s="108">
        <f t="shared" si="6"/>
        <v>0.5</v>
      </c>
      <c r="D256" s="43"/>
      <c r="E256" s="24">
        <f t="shared" si="7"/>
        <v>1491</v>
      </c>
    </row>
    <row r="257" spans="1:6" x14ac:dyDescent="0.25">
      <c r="A257" s="82" t="s">
        <v>416</v>
      </c>
      <c r="B257" s="24">
        <f>'Прайс для расчета'!E257</f>
        <v>1155</v>
      </c>
      <c r="C257" s="108">
        <f t="shared" si="6"/>
        <v>0.5</v>
      </c>
      <c r="D257" s="43"/>
      <c r="E257" s="24">
        <f t="shared" si="7"/>
        <v>577.5</v>
      </c>
    </row>
    <row r="258" spans="1:6" x14ac:dyDescent="0.25">
      <c r="A258" s="82" t="s">
        <v>149</v>
      </c>
      <c r="B258" s="24">
        <f>'Прайс для расчета'!E258</f>
        <v>441</v>
      </c>
      <c r="C258" s="108">
        <f t="shared" si="6"/>
        <v>0.5</v>
      </c>
      <c r="D258" s="43"/>
      <c r="E258" s="24">
        <f t="shared" si="7"/>
        <v>220.5</v>
      </c>
    </row>
    <row r="259" spans="1:6" x14ac:dyDescent="0.25">
      <c r="A259" s="82" t="s">
        <v>150</v>
      </c>
      <c r="B259" s="24">
        <f>'Прайс для расчета'!E259</f>
        <v>514.5</v>
      </c>
      <c r="C259" s="108">
        <f t="shared" si="6"/>
        <v>0.5</v>
      </c>
      <c r="D259" s="43"/>
      <c r="E259" s="24">
        <f t="shared" si="7"/>
        <v>257.25</v>
      </c>
    </row>
    <row r="260" spans="1:6" x14ac:dyDescent="0.25">
      <c r="A260" s="82" t="s">
        <v>417</v>
      </c>
      <c r="B260" s="24">
        <f>'Прайс для расчета'!E260</f>
        <v>224.70000000000002</v>
      </c>
      <c r="C260" s="108">
        <f t="shared" si="6"/>
        <v>0.5</v>
      </c>
      <c r="D260" s="43"/>
      <c r="E260" s="24">
        <f>IF(D260=0,B260*C260,B260*D260)</f>
        <v>112.35000000000001</v>
      </c>
      <c r="F260" s="80"/>
    </row>
    <row r="261" spans="1:6" x14ac:dyDescent="0.25">
      <c r="A261" s="82" t="s">
        <v>250</v>
      </c>
      <c r="B261" s="24">
        <f>'Прайс для расчета'!E261</f>
        <v>651</v>
      </c>
      <c r="C261" s="108">
        <f t="shared" ref="C261:C324" si="8">$D$3</f>
        <v>0.5</v>
      </c>
      <c r="D261" s="43"/>
      <c r="E261" s="24">
        <f>IF(D261=0,B261*C261,B261*D261)</f>
        <v>325.5</v>
      </c>
    </row>
    <row r="262" spans="1:6" x14ac:dyDescent="0.25">
      <c r="A262" s="83" t="s">
        <v>890</v>
      </c>
      <c r="B262" s="24">
        <f>'Прайс для расчета'!E262</f>
        <v>834.75</v>
      </c>
      <c r="C262" s="108">
        <f t="shared" si="8"/>
        <v>0.5</v>
      </c>
      <c r="D262" s="43"/>
      <c r="E262" s="24">
        <f t="shared" si="7"/>
        <v>417.375</v>
      </c>
    </row>
    <row r="263" spans="1:6" x14ac:dyDescent="0.25">
      <c r="A263" s="82" t="s">
        <v>418</v>
      </c>
      <c r="B263" s="24">
        <f>'Прайс для расчета'!E263</f>
        <v>787.5</v>
      </c>
      <c r="C263" s="108">
        <f t="shared" si="8"/>
        <v>0.5</v>
      </c>
      <c r="D263" s="43"/>
      <c r="E263" s="24">
        <f t="shared" si="7"/>
        <v>393.75</v>
      </c>
    </row>
    <row r="264" spans="1:6" x14ac:dyDescent="0.25">
      <c r="A264" s="82" t="s">
        <v>137</v>
      </c>
      <c r="B264" s="24">
        <f>'Прайс для расчета'!E264</f>
        <v>2551.5</v>
      </c>
      <c r="C264" s="108">
        <f t="shared" si="8"/>
        <v>0.5</v>
      </c>
      <c r="D264" s="43"/>
      <c r="E264" s="24">
        <f t="shared" si="7"/>
        <v>1275.75</v>
      </c>
    </row>
    <row r="265" spans="1:6" x14ac:dyDescent="0.25">
      <c r="A265" s="82" t="s">
        <v>520</v>
      </c>
      <c r="B265" s="24">
        <f>'Прайс для расчета'!E265</f>
        <v>152.25</v>
      </c>
      <c r="C265" s="108">
        <f t="shared" si="8"/>
        <v>0.5</v>
      </c>
      <c r="D265" s="43"/>
      <c r="E265" s="24">
        <f t="shared" si="7"/>
        <v>76.125</v>
      </c>
    </row>
    <row r="266" spans="1:6" x14ac:dyDescent="0.25">
      <c r="A266" s="83" t="s">
        <v>939</v>
      </c>
      <c r="B266" s="24">
        <f>'Прайс для расчета'!E266</f>
        <v>2623.9500000000003</v>
      </c>
      <c r="C266" s="108">
        <f t="shared" si="8"/>
        <v>0.5</v>
      </c>
      <c r="D266" s="43"/>
      <c r="E266" s="24">
        <f t="shared" si="7"/>
        <v>1311.9750000000001</v>
      </c>
    </row>
    <row r="267" spans="1:6" x14ac:dyDescent="0.25">
      <c r="A267" s="83" t="s">
        <v>940</v>
      </c>
      <c r="B267" s="24">
        <f>'Прайс для расчета'!E267</f>
        <v>3043.9500000000003</v>
      </c>
      <c r="C267" s="108">
        <f t="shared" si="8"/>
        <v>0.5</v>
      </c>
      <c r="D267" s="43"/>
      <c r="E267" s="24">
        <f t="shared" si="7"/>
        <v>1521.9750000000001</v>
      </c>
    </row>
    <row r="268" spans="1:6" x14ac:dyDescent="0.25">
      <c r="A268" s="83" t="s">
        <v>941</v>
      </c>
      <c r="B268" s="24">
        <f>'Прайс для расчета'!E268</f>
        <v>3202.5</v>
      </c>
      <c r="C268" s="108">
        <f t="shared" si="8"/>
        <v>0.5</v>
      </c>
      <c r="D268" s="43"/>
      <c r="E268" s="24">
        <f t="shared" si="7"/>
        <v>1601.25</v>
      </c>
    </row>
    <row r="269" spans="1:6" x14ac:dyDescent="0.25">
      <c r="A269" s="83" t="s">
        <v>942</v>
      </c>
      <c r="B269" s="24">
        <f>'Прайс для расчета'!E269</f>
        <v>3927</v>
      </c>
      <c r="C269" s="108">
        <f t="shared" si="8"/>
        <v>0.5</v>
      </c>
      <c r="D269" s="43"/>
      <c r="E269" s="24">
        <f t="shared" si="7"/>
        <v>1963.5</v>
      </c>
    </row>
    <row r="270" spans="1:6" x14ac:dyDescent="0.25">
      <c r="A270" s="83" t="s">
        <v>924</v>
      </c>
      <c r="B270" s="24">
        <f>'Прайс для расчета'!E270</f>
        <v>6762</v>
      </c>
      <c r="C270" s="108">
        <f t="shared" si="8"/>
        <v>0.5</v>
      </c>
      <c r="D270" s="43"/>
      <c r="E270" s="24">
        <f t="shared" si="7"/>
        <v>3381</v>
      </c>
    </row>
    <row r="271" spans="1:6" x14ac:dyDescent="0.25">
      <c r="A271" s="82" t="s">
        <v>419</v>
      </c>
      <c r="B271" s="24">
        <f>'Прайс для расчета'!E271</f>
        <v>2823.4500000000003</v>
      </c>
      <c r="C271" s="108">
        <f t="shared" si="8"/>
        <v>0.5</v>
      </c>
      <c r="D271" s="43"/>
      <c r="E271" s="24">
        <f t="shared" si="7"/>
        <v>1411.7250000000001</v>
      </c>
    </row>
    <row r="272" spans="1:6" x14ac:dyDescent="0.25">
      <c r="A272" s="82" t="s">
        <v>420</v>
      </c>
      <c r="B272" s="24">
        <f>'Прайс для расчета'!E272</f>
        <v>1365</v>
      </c>
      <c r="C272" s="108">
        <f t="shared" si="8"/>
        <v>0.5</v>
      </c>
      <c r="D272" s="43"/>
      <c r="E272" s="24">
        <f t="shared" si="7"/>
        <v>682.5</v>
      </c>
    </row>
    <row r="273" spans="1:5" x14ac:dyDescent="0.25">
      <c r="A273" s="83" t="s">
        <v>943</v>
      </c>
      <c r="B273" s="24">
        <f>'Прайс для расчета'!E273</f>
        <v>0</v>
      </c>
      <c r="C273" s="108">
        <f t="shared" si="8"/>
        <v>0.5</v>
      </c>
      <c r="D273" s="43"/>
      <c r="E273" s="24">
        <f t="shared" si="7"/>
        <v>0</v>
      </c>
    </row>
    <row r="274" spans="1:5" x14ac:dyDescent="0.25">
      <c r="A274" s="83" t="s">
        <v>944</v>
      </c>
      <c r="B274" s="24">
        <f>'Прайс для расчета'!E274</f>
        <v>3517.5</v>
      </c>
      <c r="C274" s="108">
        <f t="shared" si="8"/>
        <v>0.5</v>
      </c>
      <c r="D274" s="43"/>
      <c r="E274" s="24">
        <f t="shared" si="7"/>
        <v>1758.75</v>
      </c>
    </row>
    <row r="275" spans="1:5" x14ac:dyDescent="0.25">
      <c r="A275" s="82" t="s">
        <v>521</v>
      </c>
      <c r="B275" s="24">
        <f>'Прайс для расчета'!E275</f>
        <v>1023.75</v>
      </c>
      <c r="C275" s="108">
        <f t="shared" si="8"/>
        <v>0.5</v>
      </c>
      <c r="D275" s="43"/>
      <c r="E275" s="24">
        <f t="shared" si="7"/>
        <v>511.875</v>
      </c>
    </row>
    <row r="276" spans="1:5" x14ac:dyDescent="0.25">
      <c r="A276" s="82" t="s">
        <v>522</v>
      </c>
      <c r="B276" s="24">
        <f>'Прайс для расчета'!E276</f>
        <v>4384.8</v>
      </c>
      <c r="C276" s="108">
        <f t="shared" si="8"/>
        <v>0.5</v>
      </c>
      <c r="D276" s="43"/>
      <c r="E276" s="24">
        <f t="shared" ref="E276:E345" si="9">IF(D276=0,B276*C276,B276*D276)</f>
        <v>2192.4</v>
      </c>
    </row>
    <row r="277" spans="1:5" x14ac:dyDescent="0.25">
      <c r="A277" s="83" t="s">
        <v>945</v>
      </c>
      <c r="B277" s="24">
        <f>'Прайс для расчета'!E277</f>
        <v>4042.5</v>
      </c>
      <c r="C277" s="108">
        <f t="shared" si="8"/>
        <v>0.5</v>
      </c>
      <c r="D277" s="43"/>
      <c r="E277" s="24">
        <f t="shared" si="9"/>
        <v>2021.25</v>
      </c>
    </row>
    <row r="278" spans="1:5" x14ac:dyDescent="0.25">
      <c r="A278" s="83" t="s">
        <v>946</v>
      </c>
      <c r="B278" s="24">
        <f>'Прайс для расчета'!E278</f>
        <v>5512.5</v>
      </c>
      <c r="C278" s="108">
        <f t="shared" si="8"/>
        <v>0.5</v>
      </c>
      <c r="D278" s="43"/>
      <c r="E278" s="24">
        <f t="shared" si="9"/>
        <v>2756.25</v>
      </c>
    </row>
    <row r="279" spans="1:5" x14ac:dyDescent="0.25">
      <c r="A279" s="82" t="s">
        <v>231</v>
      </c>
      <c r="B279" s="24">
        <f>'Прайс для расчета'!E279</f>
        <v>414.75</v>
      </c>
      <c r="C279" s="108">
        <f t="shared" si="8"/>
        <v>0.5</v>
      </c>
      <c r="D279" s="43"/>
      <c r="E279" s="24">
        <f t="shared" si="9"/>
        <v>207.375</v>
      </c>
    </row>
    <row r="280" spans="1:5" x14ac:dyDescent="0.25">
      <c r="A280" s="83" t="s">
        <v>937</v>
      </c>
      <c r="B280" s="24">
        <f>'Прайс для расчета'!E280</f>
        <v>1349.25</v>
      </c>
      <c r="C280" s="108">
        <f t="shared" si="8"/>
        <v>0.5</v>
      </c>
      <c r="D280" s="43"/>
      <c r="E280" s="24">
        <f t="shared" si="9"/>
        <v>674.625</v>
      </c>
    </row>
    <row r="281" spans="1:5" x14ac:dyDescent="0.25">
      <c r="A281" s="83" t="s">
        <v>938</v>
      </c>
      <c r="B281" s="24">
        <f>'Прайс для расчета'!E281</f>
        <v>1044.75</v>
      </c>
      <c r="C281" s="108">
        <f t="shared" si="8"/>
        <v>0.5</v>
      </c>
      <c r="D281" s="43"/>
      <c r="E281" s="24">
        <f t="shared" si="9"/>
        <v>522.375</v>
      </c>
    </row>
    <row r="282" spans="1:5" x14ac:dyDescent="0.25">
      <c r="A282" s="82" t="s">
        <v>421</v>
      </c>
      <c r="B282" s="24">
        <f>'Прайс для расчета'!E282</f>
        <v>509.25</v>
      </c>
      <c r="C282" s="108">
        <f t="shared" si="8"/>
        <v>0.5</v>
      </c>
      <c r="D282" s="43"/>
      <c r="E282" s="24">
        <f t="shared" si="9"/>
        <v>254.625</v>
      </c>
    </row>
    <row r="283" spans="1:5" x14ac:dyDescent="0.25">
      <c r="A283" s="82" t="s">
        <v>677</v>
      </c>
      <c r="B283" s="24">
        <f>'Прайс для расчета'!E283</f>
        <v>572.25</v>
      </c>
      <c r="C283" s="108">
        <f t="shared" si="8"/>
        <v>0.5</v>
      </c>
      <c r="D283" s="43"/>
      <c r="E283" s="24">
        <f t="shared" si="9"/>
        <v>286.125</v>
      </c>
    </row>
    <row r="284" spans="1:5" x14ac:dyDescent="0.25">
      <c r="A284" s="82" t="s">
        <v>160</v>
      </c>
      <c r="B284" s="24">
        <f>'Прайс для расчета'!E284</f>
        <v>3138.4500000000003</v>
      </c>
      <c r="C284" s="108">
        <f t="shared" si="8"/>
        <v>0.5</v>
      </c>
      <c r="D284" s="43"/>
      <c r="E284" s="24">
        <f t="shared" si="9"/>
        <v>1569.2250000000001</v>
      </c>
    </row>
    <row r="285" spans="1:5" x14ac:dyDescent="0.25">
      <c r="A285" s="82" t="s">
        <v>232</v>
      </c>
      <c r="B285" s="24">
        <f>'Прайс для расчета'!E285</f>
        <v>1464.75</v>
      </c>
      <c r="C285" s="108">
        <f t="shared" si="8"/>
        <v>0.5</v>
      </c>
      <c r="D285" s="43"/>
      <c r="E285" s="24">
        <f t="shared" si="9"/>
        <v>732.375</v>
      </c>
    </row>
    <row r="286" spans="1:5" x14ac:dyDescent="0.25">
      <c r="A286" s="82" t="s">
        <v>523</v>
      </c>
      <c r="B286" s="24">
        <f>'Прайс для расчета'!E286</f>
        <v>367.5</v>
      </c>
      <c r="C286" s="108">
        <f t="shared" si="8"/>
        <v>0.5</v>
      </c>
      <c r="D286" s="43"/>
      <c r="E286" s="24">
        <f t="shared" si="9"/>
        <v>183.75</v>
      </c>
    </row>
    <row r="287" spans="1:5" x14ac:dyDescent="0.25">
      <c r="A287" s="82" t="s">
        <v>270</v>
      </c>
      <c r="B287" s="24">
        <f>'Прайс для расчета'!E287</f>
        <v>2220.75</v>
      </c>
      <c r="C287" s="108">
        <f t="shared" si="8"/>
        <v>0.5</v>
      </c>
      <c r="D287" s="43"/>
      <c r="E287" s="24">
        <f t="shared" si="9"/>
        <v>1110.375</v>
      </c>
    </row>
    <row r="288" spans="1:5" x14ac:dyDescent="0.25">
      <c r="A288" s="82" t="s">
        <v>524</v>
      </c>
      <c r="B288" s="24">
        <f>'Прайс для расчета'!E288</f>
        <v>2577.75</v>
      </c>
      <c r="C288" s="108">
        <f t="shared" si="8"/>
        <v>0.5</v>
      </c>
      <c r="D288" s="43"/>
      <c r="E288" s="24">
        <f t="shared" si="9"/>
        <v>1288.875</v>
      </c>
    </row>
    <row r="289" spans="1:5" x14ac:dyDescent="0.25">
      <c r="A289" s="82" t="s">
        <v>525</v>
      </c>
      <c r="B289" s="24">
        <f>'Прайс для расчета'!E289</f>
        <v>1291.5</v>
      </c>
      <c r="C289" s="108">
        <f t="shared" si="8"/>
        <v>0.5</v>
      </c>
      <c r="D289" s="43"/>
      <c r="E289" s="24">
        <f t="shared" si="9"/>
        <v>645.75</v>
      </c>
    </row>
    <row r="290" spans="1:5" x14ac:dyDescent="0.25">
      <c r="A290" s="82" t="s">
        <v>526</v>
      </c>
      <c r="B290" s="24">
        <f>'Прайс для расчета'!E290</f>
        <v>1186.5</v>
      </c>
      <c r="C290" s="108">
        <f t="shared" si="8"/>
        <v>0.5</v>
      </c>
      <c r="D290" s="43"/>
      <c r="E290" s="24">
        <f t="shared" si="9"/>
        <v>593.25</v>
      </c>
    </row>
    <row r="291" spans="1:5" x14ac:dyDescent="0.25">
      <c r="A291" s="84" t="s">
        <v>271</v>
      </c>
      <c r="B291" s="24">
        <f>'Прайс для расчета'!E291</f>
        <v>761.25</v>
      </c>
      <c r="C291" s="108">
        <f t="shared" si="8"/>
        <v>0.5</v>
      </c>
      <c r="D291" s="43"/>
      <c r="E291" s="24">
        <f t="shared" si="9"/>
        <v>380.625</v>
      </c>
    </row>
    <row r="292" spans="1:5" x14ac:dyDescent="0.25">
      <c r="A292" s="84" t="s">
        <v>962</v>
      </c>
      <c r="B292" s="24">
        <f>'Прайс для расчета'!E292</f>
        <v>519.75</v>
      </c>
      <c r="C292" s="108">
        <f t="shared" si="8"/>
        <v>0.5</v>
      </c>
      <c r="D292" s="43"/>
      <c r="E292" s="24">
        <f t="shared" si="9"/>
        <v>259.875</v>
      </c>
    </row>
    <row r="293" spans="1:5" x14ac:dyDescent="0.25">
      <c r="A293" s="84" t="s">
        <v>963</v>
      </c>
      <c r="B293" s="24">
        <f>'Прайс для расчета'!E293</f>
        <v>824.25</v>
      </c>
      <c r="C293" s="108">
        <f t="shared" si="8"/>
        <v>0.5</v>
      </c>
      <c r="D293" s="43"/>
      <c r="E293" s="24">
        <f t="shared" si="9"/>
        <v>412.125</v>
      </c>
    </row>
    <row r="294" spans="1:5" x14ac:dyDescent="0.25">
      <c r="A294" s="82" t="s">
        <v>566</v>
      </c>
      <c r="B294" s="24">
        <f>'Прайс для расчета'!E294</f>
        <v>1732.5</v>
      </c>
      <c r="C294" s="108">
        <f t="shared" si="8"/>
        <v>0.5</v>
      </c>
      <c r="D294" s="43"/>
      <c r="E294" s="24">
        <f t="shared" si="9"/>
        <v>866.25</v>
      </c>
    </row>
    <row r="295" spans="1:5" x14ac:dyDescent="0.25">
      <c r="A295" s="82" t="s">
        <v>527</v>
      </c>
      <c r="B295" s="24">
        <f>'Прайс для расчета'!E295</f>
        <v>1942.5</v>
      </c>
      <c r="C295" s="108">
        <f t="shared" si="8"/>
        <v>0.5</v>
      </c>
      <c r="D295" s="43"/>
      <c r="E295" s="24">
        <f t="shared" si="9"/>
        <v>971.25</v>
      </c>
    </row>
    <row r="296" spans="1:5" x14ac:dyDescent="0.25">
      <c r="A296" s="82" t="s">
        <v>678</v>
      </c>
      <c r="B296" s="24">
        <f>'Прайс для расчета'!E296</f>
        <v>3097.5</v>
      </c>
      <c r="C296" s="108">
        <f t="shared" si="8"/>
        <v>0.5</v>
      </c>
      <c r="D296" s="43"/>
      <c r="E296" s="24">
        <f t="shared" si="9"/>
        <v>1548.75</v>
      </c>
    </row>
    <row r="297" spans="1:5" x14ac:dyDescent="0.25">
      <c r="A297" s="82" t="s">
        <v>679</v>
      </c>
      <c r="B297" s="24">
        <f>'Прайс для расчета'!E297</f>
        <v>1044.75</v>
      </c>
      <c r="C297" s="108">
        <f t="shared" si="8"/>
        <v>0.5</v>
      </c>
      <c r="D297" s="43"/>
      <c r="E297" s="24">
        <f t="shared" si="9"/>
        <v>522.375</v>
      </c>
    </row>
    <row r="298" spans="1:5" x14ac:dyDescent="0.25">
      <c r="A298" s="82" t="s">
        <v>422</v>
      </c>
      <c r="B298" s="24">
        <f>'Прайс для расчета'!E298</f>
        <v>593.25</v>
      </c>
      <c r="C298" s="108">
        <f t="shared" si="8"/>
        <v>0.5</v>
      </c>
      <c r="D298" s="43"/>
      <c r="E298" s="24">
        <f t="shared" si="9"/>
        <v>296.625</v>
      </c>
    </row>
    <row r="299" spans="1:5" x14ac:dyDescent="0.25">
      <c r="A299" s="83" t="s">
        <v>947</v>
      </c>
      <c r="B299" s="24">
        <f>'Прайс для расчета'!E299</f>
        <v>635.25</v>
      </c>
      <c r="C299" s="108">
        <f t="shared" si="8"/>
        <v>0.5</v>
      </c>
      <c r="D299" s="43"/>
      <c r="E299" s="24">
        <f t="shared" si="9"/>
        <v>317.625</v>
      </c>
    </row>
    <row r="300" spans="1:5" x14ac:dyDescent="0.25">
      <c r="A300" s="83" t="s">
        <v>955</v>
      </c>
      <c r="B300" s="24">
        <f>'Прайс для расчета'!E300</f>
        <v>1181.25</v>
      </c>
      <c r="C300" s="108">
        <f t="shared" si="8"/>
        <v>0.5</v>
      </c>
      <c r="D300" s="43"/>
      <c r="E300" s="24">
        <f t="shared" si="9"/>
        <v>590.625</v>
      </c>
    </row>
    <row r="301" spans="1:5" x14ac:dyDescent="0.25">
      <c r="A301" s="82" t="s">
        <v>423</v>
      </c>
      <c r="B301" s="24">
        <f>'Прайс для расчета'!E301</f>
        <v>635.25</v>
      </c>
      <c r="C301" s="108">
        <f t="shared" si="8"/>
        <v>0.5</v>
      </c>
      <c r="D301" s="43"/>
      <c r="E301" s="24">
        <f t="shared" si="9"/>
        <v>317.625</v>
      </c>
    </row>
    <row r="302" spans="1:5" x14ac:dyDescent="0.25">
      <c r="A302" s="82" t="s">
        <v>424</v>
      </c>
      <c r="B302" s="24">
        <f>'Прайс для расчета'!E302</f>
        <v>498.75</v>
      </c>
      <c r="C302" s="108">
        <f t="shared" si="8"/>
        <v>0.5</v>
      </c>
      <c r="D302" s="43"/>
      <c r="E302" s="24">
        <f t="shared" si="9"/>
        <v>249.375</v>
      </c>
    </row>
    <row r="303" spans="1:5" x14ac:dyDescent="0.25">
      <c r="A303" s="82" t="s">
        <v>425</v>
      </c>
      <c r="B303" s="24">
        <f>'Прайс для расчета'!E303</f>
        <v>183.75</v>
      </c>
      <c r="C303" s="108">
        <f t="shared" si="8"/>
        <v>0.5</v>
      </c>
      <c r="D303" s="43"/>
      <c r="E303" s="24">
        <f t="shared" si="9"/>
        <v>91.875</v>
      </c>
    </row>
    <row r="304" spans="1:5" x14ac:dyDescent="0.25">
      <c r="A304" s="82" t="s">
        <v>426</v>
      </c>
      <c r="B304" s="24">
        <f>'Прайс для расчета'!E304</f>
        <v>1181.25</v>
      </c>
      <c r="C304" s="108">
        <f t="shared" si="8"/>
        <v>0.5</v>
      </c>
      <c r="D304" s="43"/>
      <c r="E304" s="24">
        <f t="shared" si="9"/>
        <v>590.625</v>
      </c>
    </row>
    <row r="305" spans="1:5" x14ac:dyDescent="0.25">
      <c r="A305" s="82" t="s">
        <v>427</v>
      </c>
      <c r="B305" s="24">
        <f>'Прайс для расчета'!E305</f>
        <v>1055.25</v>
      </c>
      <c r="C305" s="108">
        <f t="shared" si="8"/>
        <v>0.5</v>
      </c>
      <c r="D305" s="43"/>
      <c r="E305" s="24">
        <f t="shared" si="9"/>
        <v>527.625</v>
      </c>
    </row>
    <row r="306" spans="1:5" x14ac:dyDescent="0.25">
      <c r="A306" s="82" t="s">
        <v>528</v>
      </c>
      <c r="B306" s="24">
        <f>'Прайс для расчета'!E306</f>
        <v>3990</v>
      </c>
      <c r="C306" s="108">
        <f t="shared" si="8"/>
        <v>0.5</v>
      </c>
      <c r="D306" s="43"/>
      <c r="E306" s="24">
        <f t="shared" si="9"/>
        <v>1995</v>
      </c>
    </row>
    <row r="307" spans="1:5" x14ac:dyDescent="0.25">
      <c r="A307" s="82" t="s">
        <v>429</v>
      </c>
      <c r="B307" s="24">
        <f>'Прайс для расчета'!E307</f>
        <v>472.5</v>
      </c>
      <c r="C307" s="108">
        <f t="shared" si="8"/>
        <v>0.5</v>
      </c>
      <c r="D307" s="43"/>
      <c r="E307" s="24">
        <f t="shared" si="9"/>
        <v>236.25</v>
      </c>
    </row>
    <row r="308" spans="1:5" x14ac:dyDescent="0.25">
      <c r="A308" s="82" t="s">
        <v>529</v>
      </c>
      <c r="B308" s="24">
        <f>'Прайс для расчета'!E308</f>
        <v>787.5</v>
      </c>
      <c r="C308" s="108">
        <f t="shared" si="8"/>
        <v>0.5</v>
      </c>
      <c r="D308" s="43"/>
      <c r="E308" s="24">
        <f t="shared" si="9"/>
        <v>393.75</v>
      </c>
    </row>
    <row r="309" spans="1:5" x14ac:dyDescent="0.25">
      <c r="A309" s="82" t="s">
        <v>430</v>
      </c>
      <c r="B309" s="24">
        <f>'Прайс для расчета'!E309</f>
        <v>420</v>
      </c>
      <c r="C309" s="108">
        <f t="shared" si="8"/>
        <v>0.5</v>
      </c>
      <c r="D309" s="43"/>
      <c r="E309" s="24">
        <f t="shared" si="9"/>
        <v>210</v>
      </c>
    </row>
    <row r="310" spans="1:5" x14ac:dyDescent="0.25">
      <c r="A310" s="82" t="s">
        <v>680</v>
      </c>
      <c r="B310" s="24">
        <f>'Прайс для расчета'!E310</f>
        <v>5040</v>
      </c>
      <c r="C310" s="108">
        <f t="shared" si="8"/>
        <v>0.5</v>
      </c>
      <c r="D310" s="43"/>
      <c r="E310" s="24">
        <f t="shared" si="9"/>
        <v>2520</v>
      </c>
    </row>
    <row r="311" spans="1:5" x14ac:dyDescent="0.25">
      <c r="A311" s="82" t="s">
        <v>431</v>
      </c>
      <c r="B311" s="24">
        <f>'Прайс для расчета'!E311</f>
        <v>315</v>
      </c>
      <c r="C311" s="108">
        <f t="shared" si="8"/>
        <v>0.5</v>
      </c>
      <c r="D311" s="43"/>
      <c r="E311" s="24">
        <f t="shared" si="9"/>
        <v>157.5</v>
      </c>
    </row>
    <row r="312" spans="1:5" x14ac:dyDescent="0.25">
      <c r="A312" s="82" t="s">
        <v>432</v>
      </c>
      <c r="B312" s="24">
        <f>'Прайс для расчета'!E312</f>
        <v>367.5</v>
      </c>
      <c r="C312" s="108">
        <f t="shared" si="8"/>
        <v>0.5</v>
      </c>
      <c r="D312" s="43"/>
      <c r="E312" s="24">
        <f t="shared" si="9"/>
        <v>183.75</v>
      </c>
    </row>
    <row r="313" spans="1:5" x14ac:dyDescent="0.25">
      <c r="A313" s="82" t="s">
        <v>115</v>
      </c>
      <c r="B313" s="24">
        <f>'Прайс для расчета'!E313</f>
        <v>194.25</v>
      </c>
      <c r="C313" s="108">
        <f t="shared" si="8"/>
        <v>0.5</v>
      </c>
      <c r="D313" s="43"/>
      <c r="E313" s="24">
        <f t="shared" si="9"/>
        <v>97.125</v>
      </c>
    </row>
    <row r="314" spans="1:5" x14ac:dyDescent="0.25">
      <c r="A314" s="82" t="s">
        <v>433</v>
      </c>
      <c r="B314" s="24">
        <f>'Прайс для расчета'!E314</f>
        <v>735</v>
      </c>
      <c r="C314" s="108">
        <f t="shared" si="8"/>
        <v>0.5</v>
      </c>
      <c r="D314" s="43"/>
      <c r="E314" s="24">
        <f t="shared" si="9"/>
        <v>367.5</v>
      </c>
    </row>
    <row r="315" spans="1:5" x14ac:dyDescent="0.25">
      <c r="A315" s="82" t="s">
        <v>434</v>
      </c>
      <c r="B315" s="24">
        <f>'Прайс для расчета'!E315</f>
        <v>1349.25</v>
      </c>
      <c r="C315" s="108">
        <f t="shared" si="8"/>
        <v>0.5</v>
      </c>
      <c r="D315" s="43"/>
      <c r="E315" s="24">
        <f t="shared" si="9"/>
        <v>674.625</v>
      </c>
    </row>
    <row r="316" spans="1:5" x14ac:dyDescent="0.25">
      <c r="A316" s="82" t="s">
        <v>530</v>
      </c>
      <c r="B316" s="24">
        <f>'Прайс для расчета'!E316</f>
        <v>0</v>
      </c>
      <c r="C316" s="108">
        <f t="shared" si="8"/>
        <v>0.5</v>
      </c>
      <c r="D316" s="43"/>
      <c r="E316" s="24">
        <f t="shared" si="9"/>
        <v>0</v>
      </c>
    </row>
    <row r="317" spans="1:5" x14ac:dyDescent="0.25">
      <c r="A317" s="82" t="s">
        <v>435</v>
      </c>
      <c r="B317" s="24">
        <f>'Прайс для расчета'!E317</f>
        <v>1464.75</v>
      </c>
      <c r="C317" s="108">
        <f t="shared" si="8"/>
        <v>0.5</v>
      </c>
      <c r="D317" s="43"/>
      <c r="E317" s="24">
        <f t="shared" si="9"/>
        <v>732.375</v>
      </c>
    </row>
    <row r="318" spans="1:5" x14ac:dyDescent="0.25">
      <c r="A318" s="82" t="s">
        <v>436</v>
      </c>
      <c r="B318" s="24">
        <f>'Прайс для расчета'!E318</f>
        <v>577.5</v>
      </c>
      <c r="C318" s="108">
        <f t="shared" si="8"/>
        <v>0.5</v>
      </c>
      <c r="D318" s="43"/>
      <c r="E318" s="24">
        <f t="shared" si="9"/>
        <v>288.75</v>
      </c>
    </row>
    <row r="319" spans="1:5" x14ac:dyDescent="0.25">
      <c r="A319" s="82" t="s">
        <v>437</v>
      </c>
      <c r="B319" s="24">
        <f>'Прайс для расчета'!E319</f>
        <v>1396.5</v>
      </c>
      <c r="C319" s="108">
        <f t="shared" si="8"/>
        <v>0.5</v>
      </c>
      <c r="D319" s="43"/>
      <c r="E319" s="24">
        <f t="shared" si="9"/>
        <v>698.25</v>
      </c>
    </row>
    <row r="320" spans="1:5" x14ac:dyDescent="0.25">
      <c r="A320" s="82" t="s">
        <v>438</v>
      </c>
      <c r="B320" s="24">
        <f>'Прайс для расчета'!E320</f>
        <v>1291.5</v>
      </c>
      <c r="C320" s="108">
        <f t="shared" si="8"/>
        <v>0.5</v>
      </c>
      <c r="D320" s="43"/>
      <c r="E320" s="24">
        <f t="shared" si="9"/>
        <v>645.75</v>
      </c>
    </row>
    <row r="321" spans="1:5" x14ac:dyDescent="0.25">
      <c r="A321" s="82" t="s">
        <v>439</v>
      </c>
      <c r="B321" s="24">
        <f>'Прайс для расчета'!E321</f>
        <v>1386</v>
      </c>
      <c r="C321" s="108">
        <f t="shared" si="8"/>
        <v>0.5</v>
      </c>
      <c r="D321" s="43"/>
      <c r="E321" s="24">
        <f t="shared" si="9"/>
        <v>693</v>
      </c>
    </row>
    <row r="322" spans="1:5" x14ac:dyDescent="0.25">
      <c r="A322" s="82" t="s">
        <v>440</v>
      </c>
      <c r="B322" s="24">
        <f>'Прайс для расчета'!E322</f>
        <v>1281</v>
      </c>
      <c r="C322" s="108">
        <f t="shared" si="8"/>
        <v>0.5</v>
      </c>
      <c r="D322" s="43"/>
      <c r="E322" s="24">
        <f t="shared" si="9"/>
        <v>640.5</v>
      </c>
    </row>
    <row r="323" spans="1:5" x14ac:dyDescent="0.25">
      <c r="A323" s="82" t="s">
        <v>441</v>
      </c>
      <c r="B323" s="24">
        <f>'Прайс для расчета'!E323</f>
        <v>330.75</v>
      </c>
      <c r="C323" s="108">
        <f t="shared" si="8"/>
        <v>0.5</v>
      </c>
      <c r="D323" s="43"/>
      <c r="E323" s="24">
        <f t="shared" si="9"/>
        <v>165.375</v>
      </c>
    </row>
    <row r="324" spans="1:5" x14ac:dyDescent="0.25">
      <c r="A324" s="83" t="s">
        <v>531</v>
      </c>
      <c r="B324" s="24">
        <f>'Прайс для расчета'!E324</f>
        <v>866.25</v>
      </c>
      <c r="C324" s="108">
        <f t="shared" si="8"/>
        <v>0.5</v>
      </c>
      <c r="D324" s="43"/>
      <c r="E324" s="24">
        <f t="shared" si="9"/>
        <v>433.125</v>
      </c>
    </row>
    <row r="325" spans="1:5" x14ac:dyDescent="0.25">
      <c r="A325" s="82" t="s">
        <v>532</v>
      </c>
      <c r="B325" s="24">
        <f>'Прайс для расчета'!E325</f>
        <v>1097.376</v>
      </c>
      <c r="C325" s="108">
        <f t="shared" ref="C325:C388" si="10">$D$3</f>
        <v>0.5</v>
      </c>
      <c r="D325" s="43"/>
      <c r="E325" s="24">
        <f t="shared" si="9"/>
        <v>548.68799999999999</v>
      </c>
    </row>
    <row r="326" spans="1:5" x14ac:dyDescent="0.25">
      <c r="A326" s="84" t="s">
        <v>533</v>
      </c>
      <c r="B326" s="24">
        <f>'Прайс для расчета'!E326</f>
        <v>852.6</v>
      </c>
      <c r="C326" s="108">
        <f t="shared" si="10"/>
        <v>0.5</v>
      </c>
      <c r="D326" s="43"/>
      <c r="E326" s="24">
        <f t="shared" si="9"/>
        <v>426.3</v>
      </c>
    </row>
    <row r="327" spans="1:5" x14ac:dyDescent="0.25">
      <c r="A327" s="82" t="s">
        <v>442</v>
      </c>
      <c r="B327" s="24">
        <f>'Прайс для расчета'!E327</f>
        <v>225.75</v>
      </c>
      <c r="C327" s="108">
        <f t="shared" si="10"/>
        <v>0.5</v>
      </c>
      <c r="D327" s="43"/>
      <c r="E327" s="24">
        <f t="shared" si="9"/>
        <v>112.875</v>
      </c>
    </row>
    <row r="328" spans="1:5" x14ac:dyDescent="0.25">
      <c r="A328" s="82" t="s">
        <v>443</v>
      </c>
      <c r="B328" s="24">
        <f>'Прайс для расчета'!E328</f>
        <v>462</v>
      </c>
      <c r="C328" s="108">
        <f t="shared" si="10"/>
        <v>0.5</v>
      </c>
      <c r="D328" s="43"/>
      <c r="E328" s="24">
        <f t="shared" si="9"/>
        <v>231</v>
      </c>
    </row>
    <row r="329" spans="1:5" x14ac:dyDescent="0.25">
      <c r="A329" s="82" t="s">
        <v>534</v>
      </c>
      <c r="B329" s="24">
        <f>'Прайс для расчета'!E329</f>
        <v>1060.5</v>
      </c>
      <c r="C329" s="108">
        <f t="shared" si="10"/>
        <v>0.5</v>
      </c>
      <c r="D329" s="43"/>
      <c r="E329" s="24">
        <f t="shared" si="9"/>
        <v>530.25</v>
      </c>
    </row>
    <row r="330" spans="1:5" x14ac:dyDescent="0.25">
      <c r="A330" s="82" t="s">
        <v>444</v>
      </c>
      <c r="B330" s="24">
        <f>'Прайс для расчета'!E330</f>
        <v>735</v>
      </c>
      <c r="C330" s="108">
        <f t="shared" si="10"/>
        <v>0.5</v>
      </c>
      <c r="D330" s="43"/>
      <c r="E330" s="24">
        <f t="shared" si="9"/>
        <v>367.5</v>
      </c>
    </row>
    <row r="331" spans="1:5" x14ac:dyDescent="0.25">
      <c r="A331" s="82" t="s">
        <v>118</v>
      </c>
      <c r="B331" s="24">
        <f>'Прайс для расчета'!E331</f>
        <v>525</v>
      </c>
      <c r="C331" s="108">
        <f t="shared" si="10"/>
        <v>0.5</v>
      </c>
      <c r="D331" s="43"/>
      <c r="E331" s="24">
        <f t="shared" si="9"/>
        <v>262.5</v>
      </c>
    </row>
    <row r="332" spans="1:5" x14ac:dyDescent="0.25">
      <c r="A332" s="82" t="s">
        <v>119</v>
      </c>
      <c r="B332" s="24">
        <f>'Прайс для расчета'!E332</f>
        <v>945</v>
      </c>
      <c r="C332" s="108">
        <f t="shared" si="10"/>
        <v>0.5</v>
      </c>
      <c r="D332" s="43"/>
      <c r="E332" s="24">
        <f t="shared" si="9"/>
        <v>472.5</v>
      </c>
    </row>
    <row r="333" spans="1:5" x14ac:dyDescent="0.25">
      <c r="A333" s="82" t="s">
        <v>120</v>
      </c>
      <c r="B333" s="24">
        <f>'Прайс для расчета'!E333</f>
        <v>1575</v>
      </c>
      <c r="C333" s="108">
        <f t="shared" si="10"/>
        <v>0.5</v>
      </c>
      <c r="D333" s="43"/>
      <c r="E333" s="24">
        <f t="shared" si="9"/>
        <v>787.5</v>
      </c>
    </row>
    <row r="334" spans="1:5" x14ac:dyDescent="0.25">
      <c r="A334" s="82" t="s">
        <v>121</v>
      </c>
      <c r="B334" s="24">
        <f>'Прайс для расчета'!E334</f>
        <v>840</v>
      </c>
      <c r="C334" s="108">
        <f t="shared" si="10"/>
        <v>0.5</v>
      </c>
      <c r="D334" s="43"/>
      <c r="E334" s="24">
        <f t="shared" si="9"/>
        <v>420</v>
      </c>
    </row>
    <row r="335" spans="1:5" x14ac:dyDescent="0.25">
      <c r="A335" s="82" t="s">
        <v>122</v>
      </c>
      <c r="B335" s="24">
        <f>'Прайс для расчета'!E335</f>
        <v>273</v>
      </c>
      <c r="C335" s="108">
        <f t="shared" si="10"/>
        <v>0.5</v>
      </c>
      <c r="D335" s="43"/>
      <c r="E335" s="24">
        <f t="shared" si="9"/>
        <v>136.5</v>
      </c>
    </row>
    <row r="336" spans="1:5" x14ac:dyDescent="0.25">
      <c r="A336" s="82" t="s">
        <v>123</v>
      </c>
      <c r="B336" s="24">
        <f>'Прайс для расчета'!E336</f>
        <v>1890</v>
      </c>
      <c r="C336" s="108">
        <f t="shared" si="10"/>
        <v>0.5</v>
      </c>
      <c r="D336" s="43"/>
      <c r="E336" s="24">
        <f t="shared" si="9"/>
        <v>945</v>
      </c>
    </row>
    <row r="337" spans="1:5" x14ac:dyDescent="0.25">
      <c r="A337" s="82" t="s">
        <v>124</v>
      </c>
      <c r="B337" s="24">
        <f>'Прайс для расчета'!E337</f>
        <v>346.5</v>
      </c>
      <c r="C337" s="108">
        <f t="shared" si="10"/>
        <v>0.5</v>
      </c>
      <c r="D337" s="43"/>
      <c r="E337" s="24">
        <f t="shared" si="9"/>
        <v>173.25</v>
      </c>
    </row>
    <row r="338" spans="1:5" x14ac:dyDescent="0.25">
      <c r="A338" s="82" t="s">
        <v>681</v>
      </c>
      <c r="B338" s="24">
        <f>'Прайс для расчета'!E338</f>
        <v>4179</v>
      </c>
      <c r="C338" s="108">
        <f t="shared" si="10"/>
        <v>0.5</v>
      </c>
      <c r="D338" s="43"/>
      <c r="E338" s="24">
        <f t="shared" si="9"/>
        <v>2089.5</v>
      </c>
    </row>
    <row r="339" spans="1:5" x14ac:dyDescent="0.25">
      <c r="A339" s="82" t="s">
        <v>228</v>
      </c>
      <c r="B339" s="24">
        <f>'Прайс для расчета'!E339</f>
        <v>3255</v>
      </c>
      <c r="C339" s="108">
        <f t="shared" si="10"/>
        <v>0.5</v>
      </c>
      <c r="D339" s="43"/>
      <c r="E339" s="24">
        <f t="shared" si="9"/>
        <v>1627.5</v>
      </c>
    </row>
    <row r="340" spans="1:5" x14ac:dyDescent="0.25">
      <c r="A340" s="82" t="s">
        <v>132</v>
      </c>
      <c r="B340" s="24">
        <f>'Прайс для расчета'!E340</f>
        <v>1176</v>
      </c>
      <c r="C340" s="108">
        <f t="shared" si="10"/>
        <v>0.5</v>
      </c>
      <c r="D340" s="43"/>
      <c r="E340" s="24">
        <f t="shared" si="9"/>
        <v>588</v>
      </c>
    </row>
    <row r="341" spans="1:5" x14ac:dyDescent="0.25">
      <c r="A341" s="82" t="s">
        <v>125</v>
      </c>
      <c r="B341" s="24">
        <f>'Прайс для расчета'!E341</f>
        <v>367.5</v>
      </c>
      <c r="C341" s="108">
        <f t="shared" si="10"/>
        <v>0.5</v>
      </c>
      <c r="D341" s="43"/>
      <c r="E341" s="24">
        <f t="shared" si="9"/>
        <v>183.75</v>
      </c>
    </row>
    <row r="342" spans="1:5" x14ac:dyDescent="0.25">
      <c r="A342" s="82" t="s">
        <v>126</v>
      </c>
      <c r="B342" s="24">
        <f>'Прайс для расчета'!E342</f>
        <v>199.5</v>
      </c>
      <c r="C342" s="108">
        <f t="shared" si="10"/>
        <v>0.5</v>
      </c>
      <c r="D342" s="43"/>
      <c r="E342" s="24">
        <f t="shared" si="9"/>
        <v>99.75</v>
      </c>
    </row>
    <row r="343" spans="1:5" x14ac:dyDescent="0.25">
      <c r="A343" s="82" t="s">
        <v>127</v>
      </c>
      <c r="B343" s="24">
        <f>'Прайс для расчета'!E343</f>
        <v>1995</v>
      </c>
      <c r="C343" s="108">
        <f t="shared" si="10"/>
        <v>0.5</v>
      </c>
      <c r="D343" s="43"/>
      <c r="E343" s="24">
        <f t="shared" si="9"/>
        <v>997.5</v>
      </c>
    </row>
    <row r="344" spans="1:5" x14ac:dyDescent="0.25">
      <c r="A344" s="82" t="s">
        <v>535</v>
      </c>
      <c r="B344" s="24">
        <f>'Прайс для расчета'!E344</f>
        <v>840</v>
      </c>
      <c r="C344" s="108">
        <f t="shared" si="10"/>
        <v>0.5</v>
      </c>
      <c r="D344" s="43"/>
      <c r="E344" s="24">
        <f t="shared" si="9"/>
        <v>420</v>
      </c>
    </row>
    <row r="345" spans="1:5" x14ac:dyDescent="0.25">
      <c r="A345" s="82" t="s">
        <v>536</v>
      </c>
      <c r="B345" s="24">
        <f>'Прайс для расчета'!E345</f>
        <v>3097.5</v>
      </c>
      <c r="C345" s="108">
        <f t="shared" si="10"/>
        <v>0.5</v>
      </c>
      <c r="D345" s="43"/>
      <c r="E345" s="24">
        <f t="shared" si="9"/>
        <v>1548.75</v>
      </c>
    </row>
    <row r="346" spans="1:5" x14ac:dyDescent="0.25">
      <c r="A346" s="82" t="s">
        <v>128</v>
      </c>
      <c r="B346" s="24">
        <f>'Прайс для расчета'!E346</f>
        <v>1029</v>
      </c>
      <c r="C346" s="108">
        <f t="shared" si="10"/>
        <v>0.5</v>
      </c>
      <c r="D346" s="43"/>
      <c r="E346" s="24">
        <f t="shared" ref="E346:E416" si="11">IF(D346=0,B346*C346,B346*D346)</f>
        <v>514.5</v>
      </c>
    </row>
    <row r="347" spans="1:5" x14ac:dyDescent="0.25">
      <c r="A347" s="82" t="s">
        <v>129</v>
      </c>
      <c r="B347" s="24">
        <f>'Прайс для расчета'!E347</f>
        <v>1627.5</v>
      </c>
      <c r="C347" s="108">
        <f t="shared" si="10"/>
        <v>0.5</v>
      </c>
      <c r="D347" s="43"/>
      <c r="E347" s="24">
        <f t="shared" si="11"/>
        <v>813.75</v>
      </c>
    </row>
    <row r="348" spans="1:5" x14ac:dyDescent="0.25">
      <c r="A348" s="82" t="s">
        <v>130</v>
      </c>
      <c r="B348" s="24">
        <f>'Прайс для расчета'!E348</f>
        <v>1627.5</v>
      </c>
      <c r="C348" s="108">
        <f t="shared" si="10"/>
        <v>0.5</v>
      </c>
      <c r="D348" s="43"/>
      <c r="E348" s="24">
        <f t="shared" si="11"/>
        <v>813.75</v>
      </c>
    </row>
    <row r="349" spans="1:5" x14ac:dyDescent="0.25">
      <c r="A349" s="82" t="s">
        <v>131</v>
      </c>
      <c r="B349" s="24">
        <f>'Прайс для расчета'!E349</f>
        <v>420</v>
      </c>
      <c r="C349" s="108">
        <f t="shared" si="10"/>
        <v>0.5</v>
      </c>
      <c r="D349" s="43"/>
      <c r="E349" s="24">
        <f t="shared" si="11"/>
        <v>210</v>
      </c>
    </row>
    <row r="350" spans="1:5" x14ac:dyDescent="0.25">
      <c r="A350" s="82" t="s">
        <v>537</v>
      </c>
      <c r="B350" s="24">
        <f>'Прайс для расчета'!E350</f>
        <v>2940</v>
      </c>
      <c r="C350" s="108">
        <f t="shared" si="10"/>
        <v>0.5</v>
      </c>
      <c r="D350" s="43"/>
      <c r="E350" s="24">
        <f t="shared" si="11"/>
        <v>1470</v>
      </c>
    </row>
    <row r="351" spans="1:5" x14ac:dyDescent="0.25">
      <c r="A351" s="82" t="s">
        <v>445</v>
      </c>
      <c r="B351" s="24">
        <f>'Прайс для расчета'!E351</f>
        <v>404.25</v>
      </c>
      <c r="C351" s="108">
        <f t="shared" si="10"/>
        <v>0.5</v>
      </c>
      <c r="D351" s="43"/>
      <c r="E351" s="24">
        <f t="shared" si="11"/>
        <v>202.125</v>
      </c>
    </row>
    <row r="352" spans="1:5" x14ac:dyDescent="0.25">
      <c r="A352" s="82" t="s">
        <v>8</v>
      </c>
      <c r="B352" s="24">
        <f>'Прайс для расчета'!E352</f>
        <v>3858.7080000000001</v>
      </c>
      <c r="C352" s="108">
        <f t="shared" si="10"/>
        <v>0.5</v>
      </c>
      <c r="D352" s="43"/>
      <c r="E352" s="24">
        <f t="shared" si="11"/>
        <v>1929.354</v>
      </c>
    </row>
    <row r="353" spans="1:5" x14ac:dyDescent="0.25">
      <c r="A353" s="82" t="s">
        <v>446</v>
      </c>
      <c r="B353" s="24">
        <f>'Прайс для расчета'!E353</f>
        <v>1044.75</v>
      </c>
      <c r="C353" s="108">
        <f t="shared" si="10"/>
        <v>0.5</v>
      </c>
      <c r="D353" s="43"/>
      <c r="E353" s="24">
        <f t="shared" si="11"/>
        <v>522.375</v>
      </c>
    </row>
    <row r="354" spans="1:5" x14ac:dyDescent="0.25">
      <c r="A354" s="82" t="s">
        <v>447</v>
      </c>
      <c r="B354" s="24">
        <f>'Прайс для расчета'!E354</f>
        <v>1522.5</v>
      </c>
      <c r="C354" s="108">
        <f t="shared" si="10"/>
        <v>0.5</v>
      </c>
      <c r="D354" s="43"/>
      <c r="E354" s="24">
        <f t="shared" si="11"/>
        <v>761.25</v>
      </c>
    </row>
    <row r="355" spans="1:5" x14ac:dyDescent="0.25">
      <c r="A355" s="82" t="s">
        <v>448</v>
      </c>
      <c r="B355" s="24">
        <f>'Прайс для расчета'!E355</f>
        <v>1522.5</v>
      </c>
      <c r="C355" s="108">
        <f t="shared" si="10"/>
        <v>0.5</v>
      </c>
      <c r="D355" s="43"/>
      <c r="E355" s="24">
        <f t="shared" si="11"/>
        <v>761.25</v>
      </c>
    </row>
    <row r="356" spans="1:5" x14ac:dyDescent="0.25">
      <c r="A356" s="82" t="s">
        <v>538</v>
      </c>
      <c r="B356" s="24">
        <f>'Прайс для расчета'!E356</f>
        <v>577.5</v>
      </c>
      <c r="C356" s="108">
        <f t="shared" si="10"/>
        <v>0.5</v>
      </c>
      <c r="D356" s="43"/>
      <c r="E356" s="24">
        <f t="shared" si="11"/>
        <v>288.75</v>
      </c>
    </row>
    <row r="357" spans="1:5" x14ac:dyDescent="0.25">
      <c r="A357" s="82" t="s">
        <v>539</v>
      </c>
      <c r="B357" s="24">
        <f>'Прайс для расчета'!E357</f>
        <v>210</v>
      </c>
      <c r="C357" s="108">
        <f t="shared" si="10"/>
        <v>0.5</v>
      </c>
      <c r="D357" s="43"/>
      <c r="E357" s="24">
        <f t="shared" si="11"/>
        <v>105</v>
      </c>
    </row>
    <row r="358" spans="1:5" x14ac:dyDescent="0.25">
      <c r="A358" s="82" t="s">
        <v>279</v>
      </c>
      <c r="B358" s="24">
        <f>'Прайс для расчета'!E358</f>
        <v>446.25</v>
      </c>
      <c r="C358" s="108">
        <f t="shared" si="10"/>
        <v>0.5</v>
      </c>
      <c r="D358" s="43"/>
      <c r="E358" s="24">
        <f t="shared" si="11"/>
        <v>223.125</v>
      </c>
    </row>
    <row r="359" spans="1:5" x14ac:dyDescent="0.25">
      <c r="A359" s="82" t="s">
        <v>280</v>
      </c>
      <c r="B359" s="24">
        <f>'Прайс для расчета'!E359</f>
        <v>614.25</v>
      </c>
      <c r="C359" s="108">
        <f t="shared" si="10"/>
        <v>0.5</v>
      </c>
      <c r="D359" s="43"/>
      <c r="E359" s="24">
        <f t="shared" si="11"/>
        <v>307.125</v>
      </c>
    </row>
    <row r="360" spans="1:5" x14ac:dyDescent="0.25">
      <c r="A360" s="82" t="s">
        <v>281</v>
      </c>
      <c r="B360" s="24">
        <f>'Прайс для расчета'!E360</f>
        <v>99.75</v>
      </c>
      <c r="C360" s="108">
        <f t="shared" si="10"/>
        <v>0.5</v>
      </c>
      <c r="D360" s="43"/>
      <c r="E360" s="24">
        <f t="shared" si="11"/>
        <v>49.875</v>
      </c>
    </row>
    <row r="361" spans="1:5" x14ac:dyDescent="0.25">
      <c r="A361" s="82" t="s">
        <v>282</v>
      </c>
      <c r="B361" s="24">
        <f>'Прайс для расчета'!E361</f>
        <v>603.75</v>
      </c>
      <c r="C361" s="108">
        <f t="shared" si="10"/>
        <v>0.5</v>
      </c>
      <c r="D361" s="43"/>
      <c r="E361" s="24">
        <f t="shared" si="11"/>
        <v>301.875</v>
      </c>
    </row>
    <row r="362" spans="1:5" x14ac:dyDescent="0.25">
      <c r="A362" s="82" t="s">
        <v>682</v>
      </c>
      <c r="B362" s="24">
        <f>'Прайс для расчета'!E362</f>
        <v>412.65000000000003</v>
      </c>
      <c r="C362" s="108">
        <f t="shared" si="10"/>
        <v>0.5</v>
      </c>
      <c r="D362" s="43"/>
      <c r="E362" s="24">
        <f t="shared" si="11"/>
        <v>206.32500000000002</v>
      </c>
    </row>
    <row r="363" spans="1:5" x14ac:dyDescent="0.25">
      <c r="A363" s="82" t="s">
        <v>283</v>
      </c>
      <c r="B363" s="24">
        <f>'Прайс для расчета'!E363</f>
        <v>509.25</v>
      </c>
      <c r="C363" s="108">
        <f t="shared" si="10"/>
        <v>0.5</v>
      </c>
      <c r="D363" s="43"/>
      <c r="E363" s="24">
        <f t="shared" si="11"/>
        <v>254.625</v>
      </c>
    </row>
    <row r="364" spans="1:5" x14ac:dyDescent="0.25">
      <c r="A364" s="82" t="s">
        <v>284</v>
      </c>
      <c r="B364" s="24">
        <f>'Прайс для расчета'!E364</f>
        <v>729.75</v>
      </c>
      <c r="C364" s="108">
        <f t="shared" si="10"/>
        <v>0.5</v>
      </c>
      <c r="D364" s="43"/>
      <c r="E364" s="24">
        <f t="shared" si="11"/>
        <v>364.875</v>
      </c>
    </row>
    <row r="365" spans="1:5" x14ac:dyDescent="0.25">
      <c r="A365" s="82" t="s">
        <v>285</v>
      </c>
      <c r="B365" s="24">
        <f>'Прайс для расчета'!E365</f>
        <v>897.75</v>
      </c>
      <c r="C365" s="108">
        <f t="shared" si="10"/>
        <v>0.5</v>
      </c>
      <c r="D365" s="43"/>
      <c r="E365" s="24">
        <f t="shared" si="11"/>
        <v>448.875</v>
      </c>
    </row>
    <row r="366" spans="1:5" x14ac:dyDescent="0.25">
      <c r="A366" s="82" t="s">
        <v>286</v>
      </c>
      <c r="B366" s="24">
        <f>'Прайс для расчета'!E366</f>
        <v>630</v>
      </c>
      <c r="C366" s="108">
        <f t="shared" si="10"/>
        <v>0.5</v>
      </c>
      <c r="D366" s="43"/>
      <c r="E366" s="24">
        <f t="shared" si="11"/>
        <v>315</v>
      </c>
    </row>
    <row r="367" spans="1:5" x14ac:dyDescent="0.25">
      <c r="A367" s="82" t="s">
        <v>287</v>
      </c>
      <c r="B367" s="24">
        <f>'Прайс для расчета'!E367</f>
        <v>945</v>
      </c>
      <c r="C367" s="108">
        <f t="shared" si="10"/>
        <v>0.5</v>
      </c>
      <c r="D367" s="43"/>
      <c r="E367" s="24">
        <f t="shared" si="11"/>
        <v>472.5</v>
      </c>
    </row>
    <row r="368" spans="1:5" x14ac:dyDescent="0.25">
      <c r="A368" s="82" t="s">
        <v>541</v>
      </c>
      <c r="B368" s="24">
        <f>'Прайс для расчета'!E368</f>
        <v>924</v>
      </c>
      <c r="C368" s="108">
        <f t="shared" si="10"/>
        <v>0.5</v>
      </c>
      <c r="D368" s="43"/>
      <c r="E368" s="24">
        <f t="shared" si="11"/>
        <v>462</v>
      </c>
    </row>
    <row r="369" spans="1:5" x14ac:dyDescent="0.25">
      <c r="A369" s="82" t="s">
        <v>133</v>
      </c>
      <c r="B369" s="24">
        <f>'Прайс для расчета'!E369</f>
        <v>1417.5</v>
      </c>
      <c r="C369" s="108">
        <f t="shared" si="10"/>
        <v>0.5</v>
      </c>
      <c r="D369" s="43"/>
      <c r="E369" s="24">
        <f t="shared" si="11"/>
        <v>708.75</v>
      </c>
    </row>
    <row r="370" spans="1:5" x14ac:dyDescent="0.25">
      <c r="A370" s="83" t="s">
        <v>887</v>
      </c>
      <c r="B370" s="24">
        <f>'Прайс для расчета'!E370</f>
        <v>924</v>
      </c>
      <c r="C370" s="108">
        <f t="shared" si="10"/>
        <v>0.5</v>
      </c>
      <c r="D370" s="43"/>
      <c r="E370" s="24">
        <f t="shared" si="11"/>
        <v>462</v>
      </c>
    </row>
    <row r="371" spans="1:5" x14ac:dyDescent="0.25">
      <c r="A371" s="82" t="s">
        <v>178</v>
      </c>
      <c r="B371" s="24">
        <f>'Прайс для расчета'!E371</f>
        <v>787.5</v>
      </c>
      <c r="C371" s="108">
        <f t="shared" si="10"/>
        <v>0.5</v>
      </c>
      <c r="D371" s="43"/>
      <c r="E371" s="24">
        <f t="shared" si="11"/>
        <v>393.75</v>
      </c>
    </row>
    <row r="372" spans="1:5" x14ac:dyDescent="0.25">
      <c r="A372" s="83" t="s">
        <v>948</v>
      </c>
      <c r="B372" s="24">
        <f>'Прайс для расчета'!E372</f>
        <v>96.915000000000006</v>
      </c>
      <c r="C372" s="108">
        <f t="shared" si="10"/>
        <v>0.5</v>
      </c>
      <c r="D372" s="43"/>
      <c r="E372" s="24">
        <f t="shared" si="11"/>
        <v>48.457500000000003</v>
      </c>
    </row>
    <row r="373" spans="1:5" x14ac:dyDescent="0.25">
      <c r="A373" s="83" t="s">
        <v>949</v>
      </c>
      <c r="B373" s="24">
        <f>'Прайс для расчета'!E373</f>
        <v>223.65</v>
      </c>
      <c r="C373" s="108">
        <f t="shared" si="10"/>
        <v>0.5</v>
      </c>
      <c r="D373" s="43"/>
      <c r="E373" s="24">
        <f t="shared" si="11"/>
        <v>111.825</v>
      </c>
    </row>
    <row r="374" spans="1:5" x14ac:dyDescent="0.25">
      <c r="A374" s="83" t="s">
        <v>950</v>
      </c>
      <c r="B374" s="24">
        <f>'Прайс для расчета'!E374</f>
        <v>111.825</v>
      </c>
      <c r="C374" s="108">
        <f t="shared" si="10"/>
        <v>0.5</v>
      </c>
      <c r="D374" s="43"/>
      <c r="E374" s="24">
        <f t="shared" si="11"/>
        <v>55.912500000000001</v>
      </c>
    </row>
    <row r="375" spans="1:5" x14ac:dyDescent="0.25">
      <c r="A375" s="83" t="s">
        <v>951</v>
      </c>
      <c r="B375" s="24">
        <f>'Прайс для расчета'!E375</f>
        <v>268.38</v>
      </c>
      <c r="C375" s="108">
        <f t="shared" si="10"/>
        <v>0.5</v>
      </c>
      <c r="D375" s="43"/>
      <c r="E375" s="24">
        <f t="shared" si="11"/>
        <v>134.19</v>
      </c>
    </row>
    <row r="376" spans="1:5" x14ac:dyDescent="0.25">
      <c r="A376" s="82" t="s">
        <v>683</v>
      </c>
      <c r="B376" s="24">
        <f>'Прайс для расчета'!E376</f>
        <v>155.06400000000002</v>
      </c>
      <c r="C376" s="108">
        <f t="shared" si="10"/>
        <v>0.5</v>
      </c>
      <c r="D376" s="43"/>
      <c r="E376" s="24">
        <f t="shared" si="11"/>
        <v>77.532000000000011</v>
      </c>
    </row>
    <row r="377" spans="1:5" x14ac:dyDescent="0.25">
      <c r="A377" s="82" t="s">
        <v>684</v>
      </c>
      <c r="B377" s="24">
        <f>'Прайс для расчета'!E377</f>
        <v>1021.3349999999999</v>
      </c>
      <c r="C377" s="108">
        <f t="shared" si="10"/>
        <v>0.5</v>
      </c>
      <c r="D377" s="43"/>
      <c r="E377" s="24">
        <f t="shared" si="11"/>
        <v>510.66749999999996</v>
      </c>
    </row>
    <row r="378" spans="1:5" x14ac:dyDescent="0.25">
      <c r="A378" s="82" t="s">
        <v>288</v>
      </c>
      <c r="B378" s="24">
        <f>'Прайс для расчета'!E378</f>
        <v>541.23299999999995</v>
      </c>
      <c r="C378" s="108">
        <f t="shared" si="10"/>
        <v>0.5</v>
      </c>
      <c r="D378" s="43"/>
      <c r="E378" s="24">
        <f t="shared" si="11"/>
        <v>270.61649999999997</v>
      </c>
    </row>
    <row r="379" spans="1:5" x14ac:dyDescent="0.25">
      <c r="A379" s="82" t="s">
        <v>142</v>
      </c>
      <c r="B379" s="24">
        <f>'Прайс для расчета'!E379</f>
        <v>849.87</v>
      </c>
      <c r="C379" s="108">
        <f t="shared" si="10"/>
        <v>0.5</v>
      </c>
      <c r="D379" s="43"/>
      <c r="E379" s="24">
        <f t="shared" si="11"/>
        <v>424.935</v>
      </c>
    </row>
    <row r="380" spans="1:5" x14ac:dyDescent="0.25">
      <c r="A380" s="82" t="s">
        <v>685</v>
      </c>
      <c r="B380" s="24">
        <f>'Прайс для расчета'!E380</f>
        <v>849.87</v>
      </c>
      <c r="C380" s="108">
        <f t="shared" si="10"/>
        <v>0.5</v>
      </c>
      <c r="D380" s="43"/>
      <c r="E380" s="24">
        <f t="shared" si="11"/>
        <v>424.935</v>
      </c>
    </row>
    <row r="381" spans="1:5" x14ac:dyDescent="0.25">
      <c r="A381" s="82" t="s">
        <v>289</v>
      </c>
      <c r="B381" s="24">
        <f>'Прайс для расчета'!E381</f>
        <v>577.5</v>
      </c>
      <c r="C381" s="108">
        <f t="shared" si="10"/>
        <v>0.5</v>
      </c>
      <c r="D381" s="43"/>
      <c r="E381" s="24">
        <f t="shared" si="11"/>
        <v>288.75</v>
      </c>
    </row>
    <row r="382" spans="1:5" x14ac:dyDescent="0.25">
      <c r="A382" s="82" t="s">
        <v>290</v>
      </c>
      <c r="B382" s="24">
        <f>'Прайс для расчета'!E382</f>
        <v>1543.1849999999999</v>
      </c>
      <c r="C382" s="108">
        <f t="shared" si="10"/>
        <v>0.5</v>
      </c>
      <c r="D382" s="43"/>
      <c r="E382" s="24">
        <f t="shared" si="11"/>
        <v>771.59249999999997</v>
      </c>
    </row>
    <row r="383" spans="1:5" x14ac:dyDescent="0.25">
      <c r="A383" s="82" t="s">
        <v>291</v>
      </c>
      <c r="B383" s="24">
        <f>'Прайс для расчета'!E383</f>
        <v>892.5</v>
      </c>
      <c r="C383" s="108">
        <f t="shared" si="10"/>
        <v>0.5</v>
      </c>
      <c r="D383" s="43"/>
      <c r="E383" s="24">
        <f t="shared" si="11"/>
        <v>446.25</v>
      </c>
    </row>
    <row r="384" spans="1:5" x14ac:dyDescent="0.25">
      <c r="A384" s="82" t="s">
        <v>292</v>
      </c>
      <c r="B384" s="24">
        <f>'Прайс для расчета'!E384</f>
        <v>997.5</v>
      </c>
      <c r="C384" s="108">
        <f t="shared" si="10"/>
        <v>0.5</v>
      </c>
      <c r="D384" s="43"/>
      <c r="E384" s="24">
        <f t="shared" si="11"/>
        <v>498.75</v>
      </c>
    </row>
    <row r="385" spans="1:5" x14ac:dyDescent="0.25">
      <c r="A385" s="82" t="s">
        <v>293</v>
      </c>
      <c r="B385" s="24">
        <f>'Прайс для расчета'!E385</f>
        <v>1102.5</v>
      </c>
      <c r="C385" s="108">
        <f t="shared" si="10"/>
        <v>0.5</v>
      </c>
      <c r="D385" s="43"/>
      <c r="E385" s="24">
        <f t="shared" si="11"/>
        <v>551.25</v>
      </c>
    </row>
    <row r="386" spans="1:5" x14ac:dyDescent="0.25">
      <c r="A386" s="82" t="s">
        <v>294</v>
      </c>
      <c r="B386" s="24">
        <f>'Прайс для расчета'!E386</f>
        <v>1543.1849999999999</v>
      </c>
      <c r="C386" s="108">
        <f t="shared" si="10"/>
        <v>0.5</v>
      </c>
      <c r="D386" s="43"/>
      <c r="E386" s="24">
        <f t="shared" si="11"/>
        <v>771.59249999999997</v>
      </c>
    </row>
    <row r="387" spans="1:5" x14ac:dyDescent="0.25">
      <c r="A387" s="82" t="s">
        <v>295</v>
      </c>
      <c r="B387" s="24">
        <f>'Прайс для расчета'!E387</f>
        <v>2315.5229999999997</v>
      </c>
      <c r="C387" s="108">
        <f t="shared" si="10"/>
        <v>0.5</v>
      </c>
      <c r="D387" s="43"/>
      <c r="E387" s="24">
        <f t="shared" si="11"/>
        <v>1157.7614999999998</v>
      </c>
    </row>
    <row r="388" spans="1:5" x14ac:dyDescent="0.25">
      <c r="A388" s="82" t="s">
        <v>268</v>
      </c>
      <c r="B388" s="24">
        <f>'Прайс для расчета'!E388</f>
        <v>2233.518</v>
      </c>
      <c r="C388" s="108">
        <f t="shared" si="10"/>
        <v>0.5</v>
      </c>
      <c r="D388" s="43"/>
      <c r="E388" s="24">
        <f t="shared" si="11"/>
        <v>1116.759</v>
      </c>
    </row>
    <row r="389" spans="1:5" x14ac:dyDescent="0.25">
      <c r="A389" s="83" t="s">
        <v>889</v>
      </c>
      <c r="B389" s="24">
        <f>'Прайс для расчета'!E389</f>
        <v>2240.973</v>
      </c>
      <c r="C389" s="108">
        <f t="shared" ref="C389:C452" si="12">$D$3</f>
        <v>0.5</v>
      </c>
      <c r="D389" s="43"/>
      <c r="E389" s="24">
        <f t="shared" si="11"/>
        <v>1120.4865</v>
      </c>
    </row>
    <row r="390" spans="1:5" x14ac:dyDescent="0.25">
      <c r="A390" s="82" t="s">
        <v>296</v>
      </c>
      <c r="B390" s="24">
        <f>'Прайс для расчета'!E390</f>
        <v>3086.37</v>
      </c>
      <c r="C390" s="108">
        <f t="shared" si="12"/>
        <v>0.5</v>
      </c>
      <c r="D390" s="43"/>
      <c r="E390" s="24">
        <f t="shared" si="11"/>
        <v>1543.1849999999999</v>
      </c>
    </row>
    <row r="391" spans="1:5" x14ac:dyDescent="0.25">
      <c r="A391" s="82" t="s">
        <v>297</v>
      </c>
      <c r="B391" s="24">
        <f>'Прайс для расчета'!E391</f>
        <v>3858.7080000000001</v>
      </c>
      <c r="C391" s="108">
        <f t="shared" si="12"/>
        <v>0.5</v>
      </c>
      <c r="D391" s="43"/>
      <c r="E391" s="24">
        <f t="shared" si="11"/>
        <v>1929.354</v>
      </c>
    </row>
    <row r="392" spans="1:5" x14ac:dyDescent="0.25">
      <c r="A392" s="82" t="s">
        <v>298</v>
      </c>
      <c r="B392" s="24">
        <f>'Прайс для расчета'!E392</f>
        <v>4629.5549999999994</v>
      </c>
      <c r="C392" s="108">
        <f t="shared" si="12"/>
        <v>0.5</v>
      </c>
      <c r="D392" s="43"/>
      <c r="E392" s="24">
        <f t="shared" si="11"/>
        <v>2314.7774999999997</v>
      </c>
    </row>
    <row r="393" spans="1:5" x14ac:dyDescent="0.25">
      <c r="A393" s="82" t="s">
        <v>299</v>
      </c>
      <c r="B393" s="24">
        <f>'Прайс для расчета'!E393</f>
        <v>5401.893</v>
      </c>
      <c r="C393" s="108">
        <f t="shared" si="12"/>
        <v>0.5</v>
      </c>
      <c r="D393" s="43"/>
      <c r="E393" s="24">
        <f t="shared" si="11"/>
        <v>2700.9465</v>
      </c>
    </row>
    <row r="394" spans="1:5" x14ac:dyDescent="0.25">
      <c r="A394" s="82" t="s">
        <v>300</v>
      </c>
      <c r="B394" s="24">
        <f>'Прайс для расчета'!E394</f>
        <v>6172.74</v>
      </c>
      <c r="C394" s="108">
        <f t="shared" si="12"/>
        <v>0.5</v>
      </c>
      <c r="D394" s="43"/>
      <c r="E394" s="24">
        <f t="shared" si="11"/>
        <v>3086.37</v>
      </c>
    </row>
    <row r="395" spans="1:5" x14ac:dyDescent="0.25">
      <c r="A395" s="82" t="s">
        <v>301</v>
      </c>
      <c r="B395" s="24">
        <f>'Прайс для расчета'!E395</f>
        <v>6945.0779999999995</v>
      </c>
      <c r="C395" s="108">
        <f t="shared" si="12"/>
        <v>0.5</v>
      </c>
      <c r="D395" s="43"/>
      <c r="E395" s="24">
        <f t="shared" si="11"/>
        <v>3472.5389999999998</v>
      </c>
    </row>
    <row r="396" spans="1:5" x14ac:dyDescent="0.25">
      <c r="A396" s="82" t="s">
        <v>302</v>
      </c>
      <c r="B396" s="24">
        <f>'Прайс для расчета'!E396</f>
        <v>541.23299999999995</v>
      </c>
      <c r="C396" s="108">
        <f t="shared" si="12"/>
        <v>0.5</v>
      </c>
      <c r="D396" s="43"/>
      <c r="E396" s="24">
        <f t="shared" si="11"/>
        <v>270.61649999999997</v>
      </c>
    </row>
    <row r="397" spans="1:5" x14ac:dyDescent="0.25">
      <c r="A397" s="82" t="s">
        <v>141</v>
      </c>
      <c r="B397" s="24">
        <f>'Прайс для расчета'!E397</f>
        <v>1575</v>
      </c>
      <c r="C397" s="108">
        <f t="shared" si="12"/>
        <v>0.5</v>
      </c>
      <c r="D397" s="43"/>
      <c r="E397" s="24">
        <f t="shared" si="11"/>
        <v>787.5</v>
      </c>
    </row>
    <row r="398" spans="1:5" x14ac:dyDescent="0.25">
      <c r="A398" s="82" t="s">
        <v>303</v>
      </c>
      <c r="B398" s="24">
        <f>'Прайс для расчета'!E398</f>
        <v>1234.548</v>
      </c>
      <c r="C398" s="108">
        <f t="shared" si="12"/>
        <v>0.5</v>
      </c>
      <c r="D398" s="43"/>
      <c r="E398" s="24">
        <f t="shared" si="11"/>
        <v>617.274</v>
      </c>
    </row>
    <row r="399" spans="1:5" x14ac:dyDescent="0.25">
      <c r="A399" s="82" t="s">
        <v>304</v>
      </c>
      <c r="B399" s="24">
        <f>'Прайс для расчета'!E399</f>
        <v>1543.1849999999999</v>
      </c>
      <c r="C399" s="108">
        <f t="shared" si="12"/>
        <v>0.5</v>
      </c>
      <c r="D399" s="43"/>
      <c r="E399" s="24">
        <f t="shared" si="11"/>
        <v>771.59249999999997</v>
      </c>
    </row>
    <row r="400" spans="1:5" x14ac:dyDescent="0.25">
      <c r="A400" s="82" t="s">
        <v>542</v>
      </c>
      <c r="B400" s="24">
        <f>'Прайс для расчета'!E400</f>
        <v>1389.6119999999999</v>
      </c>
      <c r="C400" s="108">
        <f t="shared" si="12"/>
        <v>0.5</v>
      </c>
      <c r="D400" s="43"/>
      <c r="E400" s="24">
        <f t="shared" si="11"/>
        <v>694.80599999999993</v>
      </c>
    </row>
    <row r="401" spans="1:5" x14ac:dyDescent="0.25">
      <c r="A401" s="82" t="s">
        <v>567</v>
      </c>
      <c r="B401" s="24">
        <f>'Прайс для расчета'!E401</f>
        <v>3745.3920000000003</v>
      </c>
      <c r="C401" s="108">
        <f t="shared" si="12"/>
        <v>0.5</v>
      </c>
      <c r="D401" s="43"/>
      <c r="E401" s="24">
        <f t="shared" si="11"/>
        <v>1872.6960000000001</v>
      </c>
    </row>
    <row r="402" spans="1:5" x14ac:dyDescent="0.25">
      <c r="A402" s="82" t="s">
        <v>568</v>
      </c>
      <c r="B402" s="24">
        <f>'Прайс для расчета'!E402</f>
        <v>6734.8469999999998</v>
      </c>
      <c r="C402" s="108">
        <f t="shared" si="12"/>
        <v>0.5</v>
      </c>
      <c r="D402" s="43"/>
      <c r="E402" s="24">
        <f t="shared" si="11"/>
        <v>3367.4234999999999</v>
      </c>
    </row>
    <row r="403" spans="1:5" x14ac:dyDescent="0.25">
      <c r="A403" s="82" t="s">
        <v>569</v>
      </c>
      <c r="B403" s="24">
        <f>'Прайс для расчета'!E403</f>
        <v>8926.6170000000002</v>
      </c>
      <c r="C403" s="108">
        <f t="shared" si="12"/>
        <v>0.5</v>
      </c>
      <c r="D403" s="43"/>
      <c r="E403" s="24">
        <f t="shared" si="11"/>
        <v>4463.3085000000001</v>
      </c>
    </row>
    <row r="404" spans="1:5" x14ac:dyDescent="0.25">
      <c r="A404" s="82" t="s">
        <v>114</v>
      </c>
      <c r="B404" s="24">
        <f>'Прайс для расчета'!E404</f>
        <v>1995</v>
      </c>
      <c r="C404" s="108">
        <f t="shared" si="12"/>
        <v>0.5</v>
      </c>
      <c r="D404" s="43"/>
      <c r="E404" s="24">
        <f t="shared" si="11"/>
        <v>997.5</v>
      </c>
    </row>
    <row r="405" spans="1:5" x14ac:dyDescent="0.25">
      <c r="A405" s="83" t="s">
        <v>952</v>
      </c>
      <c r="B405" s="24">
        <f>'Прайс для расчета'!E405</f>
        <v>7350</v>
      </c>
      <c r="C405" s="108">
        <f t="shared" si="12"/>
        <v>0.5</v>
      </c>
      <c r="D405" s="43"/>
      <c r="E405" s="24">
        <f t="shared" si="11"/>
        <v>3675</v>
      </c>
    </row>
    <row r="406" spans="1:5" x14ac:dyDescent="0.25">
      <c r="A406" s="83" t="s">
        <v>953</v>
      </c>
      <c r="B406" s="24">
        <f>'Прайс для расчета'!E406</f>
        <v>4725</v>
      </c>
      <c r="C406" s="108">
        <f t="shared" si="12"/>
        <v>0.5</v>
      </c>
      <c r="D406" s="43"/>
      <c r="E406" s="24">
        <f t="shared" si="11"/>
        <v>2362.5</v>
      </c>
    </row>
    <row r="407" spans="1:5" x14ac:dyDescent="0.25">
      <c r="A407" s="83" t="s">
        <v>954</v>
      </c>
      <c r="B407" s="24">
        <f>'Прайс для расчета'!E407</f>
        <v>8200.5</v>
      </c>
      <c r="C407" s="108">
        <f t="shared" si="12"/>
        <v>0.5</v>
      </c>
      <c r="D407" s="43"/>
      <c r="E407" s="24">
        <f t="shared" si="11"/>
        <v>4100.25</v>
      </c>
    </row>
    <row r="408" spans="1:5" x14ac:dyDescent="0.25">
      <c r="A408" s="83" t="s">
        <v>544</v>
      </c>
      <c r="B408" s="24">
        <f>'Прайс для расчета'!E408</f>
        <v>1200.2549999999999</v>
      </c>
      <c r="C408" s="108">
        <f t="shared" si="12"/>
        <v>0.5</v>
      </c>
      <c r="D408" s="43"/>
      <c r="E408" s="24">
        <f t="shared" si="11"/>
        <v>600.12749999999994</v>
      </c>
    </row>
    <row r="409" spans="1:5" x14ac:dyDescent="0.25">
      <c r="A409" s="82" t="s">
        <v>136</v>
      </c>
      <c r="B409" s="24">
        <f>'Прайс для расчета'!E409</f>
        <v>344.42099999999999</v>
      </c>
      <c r="C409" s="108">
        <f t="shared" si="12"/>
        <v>0.5</v>
      </c>
      <c r="D409" s="43"/>
      <c r="E409" s="24">
        <f t="shared" si="11"/>
        <v>172.2105</v>
      </c>
    </row>
    <row r="410" spans="1:5" x14ac:dyDescent="0.25">
      <c r="A410" s="82" t="s">
        <v>449</v>
      </c>
      <c r="B410" s="24">
        <f>'Прайс для расчета'!E410</f>
        <v>240.05099999999999</v>
      </c>
      <c r="C410" s="108">
        <f t="shared" si="12"/>
        <v>0.5</v>
      </c>
      <c r="D410" s="43"/>
      <c r="E410" s="24">
        <f t="shared" si="11"/>
        <v>120.02549999999999</v>
      </c>
    </row>
    <row r="411" spans="1:5" x14ac:dyDescent="0.25">
      <c r="A411" s="82" t="s">
        <v>450</v>
      </c>
      <c r="B411" s="24">
        <f>'Прайс для расчета'!E411</f>
        <v>326.529</v>
      </c>
      <c r="C411" s="108">
        <f t="shared" si="12"/>
        <v>0.5</v>
      </c>
      <c r="D411" s="43"/>
      <c r="E411" s="24">
        <f t="shared" si="11"/>
        <v>163.2645</v>
      </c>
    </row>
    <row r="412" spans="1:5" x14ac:dyDescent="0.25">
      <c r="A412" s="82" t="s">
        <v>451</v>
      </c>
      <c r="B412" s="24">
        <f>'Прайс для расчета'!E412</f>
        <v>110.25</v>
      </c>
      <c r="C412" s="108">
        <f t="shared" si="12"/>
        <v>0.5</v>
      </c>
      <c r="D412" s="43"/>
      <c r="E412" s="24">
        <f t="shared" si="11"/>
        <v>55.125</v>
      </c>
    </row>
    <row r="413" spans="1:5" x14ac:dyDescent="0.25">
      <c r="A413" s="82" t="s">
        <v>688</v>
      </c>
      <c r="B413" s="24">
        <f>'Прайс для расчета'!E413</f>
        <v>1714.65</v>
      </c>
      <c r="C413" s="108">
        <f t="shared" si="12"/>
        <v>0.5</v>
      </c>
      <c r="D413" s="43"/>
      <c r="E413" s="24">
        <f t="shared" si="11"/>
        <v>857.32500000000005</v>
      </c>
    </row>
    <row r="414" spans="1:5" x14ac:dyDescent="0.25">
      <c r="A414" s="82" t="s">
        <v>452</v>
      </c>
      <c r="B414" s="24">
        <f>'Прайс для расчета'!E414</f>
        <v>2571.9749999999999</v>
      </c>
      <c r="C414" s="108">
        <f t="shared" si="12"/>
        <v>0.5</v>
      </c>
      <c r="D414" s="43"/>
      <c r="E414" s="24">
        <f t="shared" si="11"/>
        <v>1285.9875</v>
      </c>
    </row>
    <row r="415" spans="1:5" x14ac:dyDescent="0.25">
      <c r="A415" s="82" t="s">
        <v>453</v>
      </c>
      <c r="B415" s="24">
        <f>'Прайс для расчета'!E415</f>
        <v>857.32500000000005</v>
      </c>
      <c r="C415" s="108">
        <f t="shared" si="12"/>
        <v>0.5</v>
      </c>
      <c r="D415" s="43"/>
      <c r="E415" s="24">
        <f t="shared" si="11"/>
        <v>428.66250000000002</v>
      </c>
    </row>
    <row r="416" spans="1:5" x14ac:dyDescent="0.25">
      <c r="A416" s="82" t="s">
        <v>454</v>
      </c>
      <c r="B416" s="24">
        <f>'Прайс для расчета'!E416</f>
        <v>1470</v>
      </c>
      <c r="C416" s="108">
        <f t="shared" si="12"/>
        <v>0.5</v>
      </c>
      <c r="D416" s="43"/>
      <c r="E416" s="24">
        <f t="shared" si="11"/>
        <v>735</v>
      </c>
    </row>
    <row r="417" spans="1:5" x14ac:dyDescent="0.25">
      <c r="A417" s="82" t="s">
        <v>455</v>
      </c>
      <c r="B417" s="24">
        <f>'Прайс для расчета'!E417</f>
        <v>315</v>
      </c>
      <c r="C417" s="108">
        <f t="shared" si="12"/>
        <v>0.5</v>
      </c>
      <c r="D417" s="43"/>
      <c r="E417" s="24">
        <f t="shared" ref="E417:E482" si="13">IF(D417=0,B417*C417,B417*D417)</f>
        <v>157.5</v>
      </c>
    </row>
    <row r="418" spans="1:5" x14ac:dyDescent="0.25">
      <c r="A418" s="82" t="s">
        <v>456</v>
      </c>
      <c r="B418" s="24">
        <f>'Прайс для расчета'!E418</f>
        <v>1575</v>
      </c>
      <c r="C418" s="108">
        <f t="shared" si="12"/>
        <v>0.5</v>
      </c>
      <c r="D418" s="43"/>
      <c r="E418" s="24">
        <f t="shared" si="13"/>
        <v>787.5</v>
      </c>
    </row>
    <row r="419" spans="1:5" x14ac:dyDescent="0.25">
      <c r="A419" s="82" t="s">
        <v>689</v>
      </c>
      <c r="B419" s="24">
        <f>'Прайс для расчета'!E419</f>
        <v>315</v>
      </c>
      <c r="C419" s="108">
        <f t="shared" si="12"/>
        <v>0.5</v>
      </c>
      <c r="D419" s="43"/>
      <c r="E419" s="24">
        <f t="shared" si="13"/>
        <v>157.5</v>
      </c>
    </row>
    <row r="420" spans="1:5" x14ac:dyDescent="0.25">
      <c r="A420" s="82" t="s">
        <v>457</v>
      </c>
      <c r="B420" s="24">
        <f>'Прайс для расчета'!E420</f>
        <v>1260</v>
      </c>
      <c r="C420" s="108">
        <f t="shared" si="12"/>
        <v>0.5</v>
      </c>
      <c r="D420" s="43"/>
      <c r="E420" s="24">
        <f t="shared" si="13"/>
        <v>630</v>
      </c>
    </row>
    <row r="421" spans="1:5" x14ac:dyDescent="0.25">
      <c r="A421" s="82" t="s">
        <v>570</v>
      </c>
      <c r="B421" s="24">
        <f>'Прайс для расчета'!E421</f>
        <v>4725</v>
      </c>
      <c r="C421" s="108">
        <f t="shared" si="12"/>
        <v>0.5</v>
      </c>
      <c r="D421" s="43"/>
      <c r="E421" s="24">
        <f t="shared" si="13"/>
        <v>2362.5</v>
      </c>
    </row>
    <row r="422" spans="1:5" x14ac:dyDescent="0.25">
      <c r="A422" s="82" t="s">
        <v>547</v>
      </c>
      <c r="B422" s="24">
        <f>'Прайс для расчета'!E422</f>
        <v>5775</v>
      </c>
      <c r="C422" s="108">
        <f t="shared" si="12"/>
        <v>0.5</v>
      </c>
      <c r="D422" s="43"/>
      <c r="E422" s="24">
        <f t="shared" si="13"/>
        <v>2887.5</v>
      </c>
    </row>
    <row r="423" spans="1:5" x14ac:dyDescent="0.25">
      <c r="A423" s="82" t="s">
        <v>571</v>
      </c>
      <c r="B423" s="24">
        <f>'Прайс для расчета'!E423</f>
        <v>6825</v>
      </c>
      <c r="C423" s="108">
        <f t="shared" si="12"/>
        <v>0.5</v>
      </c>
      <c r="D423" s="43"/>
      <c r="E423" s="24">
        <f t="shared" si="13"/>
        <v>3412.5</v>
      </c>
    </row>
    <row r="424" spans="1:5" x14ac:dyDescent="0.25">
      <c r="A424" s="82" t="s">
        <v>548</v>
      </c>
      <c r="B424" s="24">
        <f>'Прайс для расчета'!E424</f>
        <v>7875</v>
      </c>
      <c r="C424" s="108">
        <f t="shared" si="12"/>
        <v>0.5</v>
      </c>
      <c r="D424" s="43"/>
      <c r="E424" s="24">
        <f t="shared" si="13"/>
        <v>3937.5</v>
      </c>
    </row>
    <row r="425" spans="1:5" x14ac:dyDescent="0.25">
      <c r="A425" s="82" t="s">
        <v>229</v>
      </c>
      <c r="B425" s="24">
        <f>'Прайс для расчета'!E425</f>
        <v>3412.5</v>
      </c>
      <c r="C425" s="108">
        <f t="shared" si="12"/>
        <v>0.5</v>
      </c>
      <c r="D425" s="43"/>
      <c r="E425" s="24">
        <f t="shared" si="13"/>
        <v>1706.25</v>
      </c>
    </row>
    <row r="426" spans="1:5" x14ac:dyDescent="0.25">
      <c r="A426" s="82" t="s">
        <v>458</v>
      </c>
      <c r="B426" s="24">
        <f>'Прайс для расчета'!E426</f>
        <v>8400</v>
      </c>
      <c r="C426" s="108">
        <f t="shared" si="12"/>
        <v>0.5</v>
      </c>
      <c r="D426" s="43"/>
      <c r="E426" s="24">
        <f t="shared" si="13"/>
        <v>4200</v>
      </c>
    </row>
    <row r="427" spans="1:5" x14ac:dyDescent="0.25">
      <c r="A427" s="82" t="s">
        <v>459</v>
      </c>
      <c r="B427" s="24">
        <f>'Прайс для расчета'!E427</f>
        <v>3144.75</v>
      </c>
      <c r="C427" s="108">
        <f t="shared" si="12"/>
        <v>0.5</v>
      </c>
      <c r="D427" s="43"/>
      <c r="E427" s="24">
        <f t="shared" si="13"/>
        <v>1572.375</v>
      </c>
    </row>
    <row r="428" spans="1:5" x14ac:dyDescent="0.25">
      <c r="A428" s="82" t="s">
        <v>460</v>
      </c>
      <c r="B428" s="24">
        <f>'Прайс для расчета'!E428</f>
        <v>4887.4980000000005</v>
      </c>
      <c r="C428" s="108">
        <f t="shared" si="12"/>
        <v>0.5</v>
      </c>
      <c r="D428" s="43"/>
      <c r="E428" s="24">
        <f t="shared" si="13"/>
        <v>2443.7490000000003</v>
      </c>
    </row>
    <row r="429" spans="1:5" x14ac:dyDescent="0.25">
      <c r="A429" s="84" t="s">
        <v>572</v>
      </c>
      <c r="B429" s="24">
        <f>'Прайс для расчета'!E429</f>
        <v>8531.25</v>
      </c>
      <c r="C429" s="108">
        <f t="shared" si="12"/>
        <v>0.5</v>
      </c>
      <c r="D429" s="43"/>
      <c r="E429" s="24">
        <f t="shared" si="13"/>
        <v>4265.625</v>
      </c>
    </row>
    <row r="430" spans="1:5" x14ac:dyDescent="0.25">
      <c r="A430" s="82" t="s">
        <v>461</v>
      </c>
      <c r="B430" s="24">
        <f>'Прайс для расчета'!E430</f>
        <v>1890</v>
      </c>
      <c r="C430" s="108">
        <f t="shared" si="12"/>
        <v>0.5</v>
      </c>
      <c r="D430" s="43"/>
      <c r="E430" s="24">
        <f t="shared" si="13"/>
        <v>945</v>
      </c>
    </row>
    <row r="431" spans="1:5" x14ac:dyDescent="0.25">
      <c r="A431" s="82" t="s">
        <v>269</v>
      </c>
      <c r="B431" s="24">
        <f>'Прайс для расчета'!E431</f>
        <v>1995</v>
      </c>
      <c r="C431" s="108">
        <f t="shared" si="12"/>
        <v>0.5</v>
      </c>
      <c r="D431" s="43"/>
      <c r="E431" s="24">
        <f t="shared" si="13"/>
        <v>997.5</v>
      </c>
    </row>
    <row r="432" spans="1:5" x14ac:dyDescent="0.25">
      <c r="A432" s="82" t="s">
        <v>694</v>
      </c>
      <c r="B432" s="24">
        <f>'Прайс для расчета'!E432</f>
        <v>2940</v>
      </c>
      <c r="C432" s="108">
        <f t="shared" si="12"/>
        <v>0.5</v>
      </c>
      <c r="D432" s="43"/>
      <c r="E432" s="24">
        <f t="shared" si="13"/>
        <v>1470</v>
      </c>
    </row>
    <row r="433" spans="1:5" x14ac:dyDescent="0.25">
      <c r="A433" s="82" t="s">
        <v>695</v>
      </c>
      <c r="B433" s="24">
        <f>'Прайс для расчета'!E433</f>
        <v>2310</v>
      </c>
      <c r="C433" s="108">
        <f t="shared" si="12"/>
        <v>0.5</v>
      </c>
      <c r="D433" s="43"/>
      <c r="E433" s="24">
        <f t="shared" si="13"/>
        <v>1155</v>
      </c>
    </row>
    <row r="434" spans="1:5" x14ac:dyDescent="0.25">
      <c r="A434" s="82" t="s">
        <v>462</v>
      </c>
      <c r="B434" s="24">
        <f>'Прайс для расчета'!E434</f>
        <v>3255</v>
      </c>
      <c r="C434" s="108">
        <f t="shared" si="12"/>
        <v>0.5</v>
      </c>
      <c r="D434" s="43"/>
      <c r="E434" s="24">
        <f t="shared" si="13"/>
        <v>1627.5</v>
      </c>
    </row>
    <row r="435" spans="1:5" x14ac:dyDescent="0.25">
      <c r="A435" s="82" t="s">
        <v>696</v>
      </c>
      <c r="B435" s="24">
        <f>'Прайс для расчета'!E435</f>
        <v>9450</v>
      </c>
      <c r="C435" s="108">
        <f t="shared" si="12"/>
        <v>0.5</v>
      </c>
      <c r="D435" s="43"/>
      <c r="E435" s="24">
        <f t="shared" si="13"/>
        <v>4725</v>
      </c>
    </row>
    <row r="436" spans="1:5" x14ac:dyDescent="0.25">
      <c r="A436" s="82" t="s">
        <v>697</v>
      </c>
      <c r="B436" s="24">
        <f>'Прайс для расчета'!E436</f>
        <v>1000</v>
      </c>
      <c r="C436" s="108">
        <f t="shared" si="12"/>
        <v>0.5</v>
      </c>
      <c r="D436" s="43"/>
      <c r="E436" s="24">
        <v>1400</v>
      </c>
    </row>
    <row r="437" spans="1:5" x14ac:dyDescent="0.25">
      <c r="A437" s="83" t="s">
        <v>905</v>
      </c>
      <c r="B437" s="24">
        <f>'Прайс для расчета'!E437</f>
        <v>4042.5</v>
      </c>
      <c r="C437" s="108">
        <f t="shared" si="12"/>
        <v>0.5</v>
      </c>
      <c r="D437" s="43"/>
      <c r="E437" s="24">
        <f t="shared" si="13"/>
        <v>2021.25</v>
      </c>
    </row>
    <row r="438" spans="1:5" x14ac:dyDescent="0.25">
      <c r="A438" s="82" t="s">
        <v>139</v>
      </c>
      <c r="B438" s="24">
        <f>'Прайс для расчета'!E438</f>
        <v>2047.5</v>
      </c>
      <c r="C438" s="108">
        <f t="shared" si="12"/>
        <v>0.5</v>
      </c>
      <c r="D438" s="43"/>
      <c r="E438" s="24">
        <f t="shared" si="13"/>
        <v>1023.75</v>
      </c>
    </row>
    <row r="439" spans="1:5" x14ac:dyDescent="0.25">
      <c r="A439" s="82" t="s">
        <v>463</v>
      </c>
      <c r="B439" s="24">
        <f>'Прайс для расчета'!E439</f>
        <v>787.5</v>
      </c>
      <c r="C439" s="108">
        <f t="shared" si="12"/>
        <v>0.5</v>
      </c>
      <c r="D439" s="43"/>
      <c r="E439" s="24">
        <f t="shared" si="13"/>
        <v>393.75</v>
      </c>
    </row>
    <row r="440" spans="1:5" x14ac:dyDescent="0.25">
      <c r="A440" s="83" t="s">
        <v>464</v>
      </c>
      <c r="B440" s="24">
        <f>'Прайс для расчета'!E440</f>
        <v>1050</v>
      </c>
      <c r="C440" s="108">
        <f t="shared" si="12"/>
        <v>0.5</v>
      </c>
      <c r="D440" s="43"/>
      <c r="E440" s="24">
        <f t="shared" si="13"/>
        <v>525</v>
      </c>
    </row>
    <row r="441" spans="1:5" x14ac:dyDescent="0.25">
      <c r="A441" s="83" t="s">
        <v>906</v>
      </c>
      <c r="B441" s="24">
        <f>'Прайс для расчета'!E441</f>
        <v>2887.5</v>
      </c>
      <c r="C441" s="108">
        <f t="shared" si="12"/>
        <v>0.5</v>
      </c>
      <c r="D441" s="43"/>
      <c r="E441" s="24">
        <f t="shared" si="13"/>
        <v>1443.75</v>
      </c>
    </row>
    <row r="442" spans="1:5" x14ac:dyDescent="0.25">
      <c r="A442" s="82" t="s">
        <v>465</v>
      </c>
      <c r="B442" s="24">
        <f>'Прайс для расчета'!E442</f>
        <v>367.5</v>
      </c>
      <c r="C442" s="108">
        <f t="shared" si="12"/>
        <v>0.5</v>
      </c>
      <c r="D442" s="43"/>
      <c r="E442" s="24">
        <f t="shared" si="13"/>
        <v>183.75</v>
      </c>
    </row>
    <row r="443" spans="1:5" x14ac:dyDescent="0.25">
      <c r="A443" s="82" t="s">
        <v>466</v>
      </c>
      <c r="B443" s="24">
        <f>'Прайс для расчета'!E443</f>
        <v>624.75</v>
      </c>
      <c r="C443" s="108">
        <f t="shared" si="12"/>
        <v>0.5</v>
      </c>
      <c r="D443" s="43"/>
      <c r="E443" s="24">
        <f t="shared" si="13"/>
        <v>312.375</v>
      </c>
    </row>
    <row r="444" spans="1:5" x14ac:dyDescent="0.25">
      <c r="A444" s="82" t="s">
        <v>467</v>
      </c>
      <c r="B444" s="24">
        <f>'Прайс для расчета'!E444</f>
        <v>729.75</v>
      </c>
      <c r="C444" s="108">
        <f t="shared" si="12"/>
        <v>0.5</v>
      </c>
      <c r="D444" s="43"/>
      <c r="E444" s="24">
        <f t="shared" si="13"/>
        <v>364.875</v>
      </c>
    </row>
    <row r="445" spans="1:5" x14ac:dyDescent="0.25">
      <c r="A445" s="82" t="s">
        <v>176</v>
      </c>
      <c r="B445" s="24">
        <f>'Прайс для расчета'!E445</f>
        <v>94.5</v>
      </c>
      <c r="C445" s="108">
        <f t="shared" si="12"/>
        <v>0.5</v>
      </c>
      <c r="D445" s="43"/>
      <c r="E445" s="24">
        <f t="shared" si="13"/>
        <v>47.25</v>
      </c>
    </row>
    <row r="446" spans="1:5" x14ac:dyDescent="0.25">
      <c r="A446" s="82" t="s">
        <v>698</v>
      </c>
      <c r="B446" s="24">
        <f>'Прайс для расчета'!E446</f>
        <v>2236.5</v>
      </c>
      <c r="C446" s="108">
        <f t="shared" si="12"/>
        <v>0.5</v>
      </c>
      <c r="D446" s="43"/>
      <c r="E446" s="24">
        <f t="shared" si="13"/>
        <v>1118.25</v>
      </c>
    </row>
    <row r="447" spans="1:5" x14ac:dyDescent="0.25">
      <c r="A447" s="82" t="s">
        <v>468</v>
      </c>
      <c r="B447" s="24">
        <f>'Прайс для расчета'!E447</f>
        <v>1207.5</v>
      </c>
      <c r="C447" s="108">
        <f t="shared" si="12"/>
        <v>0.5</v>
      </c>
      <c r="D447" s="43"/>
      <c r="E447" s="24">
        <f t="shared" si="13"/>
        <v>603.75</v>
      </c>
    </row>
    <row r="448" spans="1:5" x14ac:dyDescent="0.25">
      <c r="A448" s="82" t="s">
        <v>469</v>
      </c>
      <c r="B448" s="24">
        <f>'Прайс для расчета'!E448</f>
        <v>1207.5</v>
      </c>
      <c r="C448" s="108">
        <f t="shared" si="12"/>
        <v>0.5</v>
      </c>
      <c r="D448" s="43"/>
      <c r="E448" s="24">
        <f t="shared" si="13"/>
        <v>603.75</v>
      </c>
    </row>
    <row r="449" spans="1:5" x14ac:dyDescent="0.25">
      <c r="A449" s="82" t="s">
        <v>699</v>
      </c>
      <c r="B449" s="24">
        <f>'Прайс для расчета'!E449</f>
        <v>3885</v>
      </c>
      <c r="C449" s="108">
        <f t="shared" si="12"/>
        <v>0.5</v>
      </c>
      <c r="D449" s="43"/>
      <c r="E449" s="24">
        <f t="shared" si="13"/>
        <v>1942.5</v>
      </c>
    </row>
    <row r="450" spans="1:5" x14ac:dyDescent="0.25">
      <c r="A450" s="82" t="s">
        <v>700</v>
      </c>
      <c r="B450" s="24">
        <f>'Прайс для расчета'!E450</f>
        <v>1837.5</v>
      </c>
      <c r="C450" s="108">
        <f t="shared" si="12"/>
        <v>0.5</v>
      </c>
      <c r="D450" s="43"/>
      <c r="E450" s="24">
        <f t="shared" si="13"/>
        <v>918.75</v>
      </c>
    </row>
    <row r="451" spans="1:5" x14ac:dyDescent="0.25">
      <c r="A451" s="82" t="s">
        <v>470</v>
      </c>
      <c r="B451" s="24">
        <f>'Прайс для расчета'!E451</f>
        <v>1207.5</v>
      </c>
      <c r="C451" s="108">
        <f t="shared" si="12"/>
        <v>0.5</v>
      </c>
      <c r="D451" s="43"/>
      <c r="E451" s="24">
        <f t="shared" si="13"/>
        <v>603.75</v>
      </c>
    </row>
    <row r="452" spans="1:5" x14ac:dyDescent="0.25">
      <c r="A452" s="82" t="s">
        <v>140</v>
      </c>
      <c r="B452" s="24">
        <f>'Прайс для расчета'!E452</f>
        <v>1890</v>
      </c>
      <c r="C452" s="108">
        <f t="shared" si="12"/>
        <v>0.5</v>
      </c>
      <c r="D452" s="43"/>
      <c r="E452" s="24">
        <f t="shared" si="13"/>
        <v>945</v>
      </c>
    </row>
    <row r="453" spans="1:5" x14ac:dyDescent="0.25">
      <c r="A453" s="82" t="s">
        <v>471</v>
      </c>
      <c r="B453" s="24">
        <f>'Прайс для расчета'!E453</f>
        <v>1260</v>
      </c>
      <c r="C453" s="108">
        <f t="shared" ref="C453:C516" si="14">$D$3</f>
        <v>0.5</v>
      </c>
      <c r="D453" s="43"/>
      <c r="E453" s="24">
        <f t="shared" si="13"/>
        <v>630</v>
      </c>
    </row>
    <row r="454" spans="1:5" x14ac:dyDescent="0.25">
      <c r="A454" s="82" t="s">
        <v>549</v>
      </c>
      <c r="B454" s="24">
        <f>'Прайс для расчета'!E454</f>
        <v>3097.5</v>
      </c>
      <c r="C454" s="108">
        <f t="shared" si="14"/>
        <v>0.5</v>
      </c>
      <c r="D454" s="43"/>
      <c r="E454" s="24">
        <f t="shared" si="13"/>
        <v>1548.75</v>
      </c>
    </row>
    <row r="455" spans="1:5" x14ac:dyDescent="0.25">
      <c r="A455" s="82" t="s">
        <v>472</v>
      </c>
      <c r="B455" s="24">
        <f>'Прайс для расчета'!E455</f>
        <v>1890</v>
      </c>
      <c r="C455" s="108">
        <f t="shared" si="14"/>
        <v>0.5</v>
      </c>
      <c r="D455" s="43"/>
      <c r="E455" s="24">
        <f t="shared" si="13"/>
        <v>945</v>
      </c>
    </row>
    <row r="456" spans="1:5" x14ac:dyDescent="0.25">
      <c r="A456" s="82" t="s">
        <v>134</v>
      </c>
      <c r="B456" s="24">
        <f>'Прайс для расчета'!E456</f>
        <v>2079</v>
      </c>
      <c r="C456" s="108">
        <f t="shared" si="14"/>
        <v>0.5</v>
      </c>
      <c r="D456" s="43"/>
      <c r="E456" s="24">
        <f t="shared" si="13"/>
        <v>1039.5</v>
      </c>
    </row>
    <row r="457" spans="1:5" x14ac:dyDescent="0.25">
      <c r="A457" s="82" t="s">
        <v>550</v>
      </c>
      <c r="B457" s="24">
        <f>'Прайс для расчета'!E457</f>
        <v>1312.5</v>
      </c>
      <c r="C457" s="108">
        <f t="shared" si="14"/>
        <v>0.5</v>
      </c>
      <c r="D457" s="43"/>
      <c r="E457" s="24">
        <f t="shared" si="13"/>
        <v>656.25</v>
      </c>
    </row>
    <row r="458" spans="1:5" x14ac:dyDescent="0.25">
      <c r="A458" s="82" t="s">
        <v>551</v>
      </c>
      <c r="B458" s="24">
        <f>'Прайс для расчета'!E458</f>
        <v>2362.5</v>
      </c>
      <c r="C458" s="108">
        <f t="shared" si="14"/>
        <v>0.5</v>
      </c>
      <c r="D458" s="43"/>
      <c r="E458" s="24">
        <f t="shared" si="13"/>
        <v>1181.25</v>
      </c>
    </row>
    <row r="459" spans="1:5" x14ac:dyDescent="0.25">
      <c r="A459" s="82" t="s">
        <v>135</v>
      </c>
      <c r="B459" s="24">
        <f>'Прайс для расчета'!E459</f>
        <v>2467.5</v>
      </c>
      <c r="C459" s="108">
        <f t="shared" si="14"/>
        <v>0.5</v>
      </c>
      <c r="D459" s="43"/>
      <c r="E459" s="24">
        <f t="shared" si="13"/>
        <v>1233.75</v>
      </c>
    </row>
    <row r="460" spans="1:5" x14ac:dyDescent="0.25">
      <c r="A460" s="82" t="s">
        <v>552</v>
      </c>
      <c r="B460" s="24">
        <f>'Прайс для расчета'!E460</f>
        <v>1470</v>
      </c>
      <c r="C460" s="108">
        <f t="shared" si="14"/>
        <v>0.5</v>
      </c>
      <c r="D460" s="43"/>
      <c r="E460" s="24">
        <f t="shared" si="13"/>
        <v>735</v>
      </c>
    </row>
    <row r="461" spans="1:5" x14ac:dyDescent="0.25">
      <c r="A461" s="82" t="s">
        <v>553</v>
      </c>
      <c r="B461" s="24">
        <f>'Прайс для расчета'!E461</f>
        <v>2934.75</v>
      </c>
      <c r="C461" s="108">
        <f t="shared" si="14"/>
        <v>0.5</v>
      </c>
      <c r="D461" s="43"/>
      <c r="E461" s="24">
        <f t="shared" si="13"/>
        <v>1467.375</v>
      </c>
    </row>
    <row r="462" spans="1:5" x14ac:dyDescent="0.25">
      <c r="A462" s="82" t="s">
        <v>554</v>
      </c>
      <c r="B462" s="24">
        <f>'Прайс для расчета'!E462</f>
        <v>7140</v>
      </c>
      <c r="C462" s="108">
        <f t="shared" si="14"/>
        <v>0.5</v>
      </c>
      <c r="D462" s="43"/>
      <c r="E462" s="24">
        <f t="shared" si="13"/>
        <v>3570</v>
      </c>
    </row>
    <row r="463" spans="1:5" x14ac:dyDescent="0.25">
      <c r="A463" s="82" t="s">
        <v>167</v>
      </c>
      <c r="B463" s="24">
        <f>'Прайс для расчета'!E463</f>
        <v>3255</v>
      </c>
      <c r="C463" s="108">
        <f t="shared" si="14"/>
        <v>0.5</v>
      </c>
      <c r="D463" s="43"/>
      <c r="E463" s="24">
        <f t="shared" si="13"/>
        <v>1627.5</v>
      </c>
    </row>
    <row r="464" spans="1:5" x14ac:dyDescent="0.25">
      <c r="A464" s="82" t="s">
        <v>473</v>
      </c>
      <c r="B464" s="24">
        <f>'Прайс для расчета'!E464</f>
        <v>472.5</v>
      </c>
      <c r="C464" s="108">
        <f t="shared" si="14"/>
        <v>0.5</v>
      </c>
      <c r="D464" s="43"/>
      <c r="E464" s="24">
        <f t="shared" si="13"/>
        <v>236.25</v>
      </c>
    </row>
    <row r="465" spans="1:5" x14ac:dyDescent="0.25">
      <c r="A465" s="82" t="s">
        <v>555</v>
      </c>
      <c r="B465" s="24">
        <f>'Прайс для расчета'!E465</f>
        <v>162.75</v>
      </c>
      <c r="C465" s="108">
        <f t="shared" si="14"/>
        <v>0.5</v>
      </c>
      <c r="D465" s="43"/>
      <c r="E465" s="24">
        <f t="shared" si="13"/>
        <v>81.375</v>
      </c>
    </row>
    <row r="466" spans="1:5" x14ac:dyDescent="0.25">
      <c r="A466" s="82" t="s">
        <v>556</v>
      </c>
      <c r="B466" s="24">
        <f>'Прайс для расчета'!E466</f>
        <v>162.75</v>
      </c>
      <c r="C466" s="108">
        <f t="shared" si="14"/>
        <v>0.5</v>
      </c>
      <c r="D466" s="43"/>
      <c r="E466" s="24">
        <f t="shared" si="13"/>
        <v>81.375</v>
      </c>
    </row>
    <row r="467" spans="1:5" x14ac:dyDescent="0.25">
      <c r="A467" s="82" t="s">
        <v>557</v>
      </c>
      <c r="B467" s="24">
        <f>'Прайс для расчета'!E467</f>
        <v>162.75</v>
      </c>
      <c r="C467" s="108">
        <f t="shared" si="14"/>
        <v>0.5</v>
      </c>
      <c r="D467" s="43"/>
      <c r="E467" s="24">
        <f t="shared" si="13"/>
        <v>81.375</v>
      </c>
    </row>
    <row r="468" spans="1:5" x14ac:dyDescent="0.25">
      <c r="A468" s="82" t="s">
        <v>701</v>
      </c>
      <c r="B468" s="24">
        <f>'Прайс для расчета'!E468</f>
        <v>162.75</v>
      </c>
      <c r="C468" s="108">
        <f t="shared" si="14"/>
        <v>0.5</v>
      </c>
      <c r="D468" s="43"/>
      <c r="E468" s="24">
        <f t="shared" si="13"/>
        <v>81.375</v>
      </c>
    </row>
    <row r="469" spans="1:5" x14ac:dyDescent="0.25">
      <c r="A469" s="82" t="s">
        <v>558</v>
      </c>
      <c r="B469" s="24">
        <f>'Прайс для расчета'!E469</f>
        <v>162.75</v>
      </c>
      <c r="C469" s="108">
        <f t="shared" si="14"/>
        <v>0.5</v>
      </c>
      <c r="D469" s="43"/>
      <c r="E469" s="24">
        <f t="shared" si="13"/>
        <v>81.375</v>
      </c>
    </row>
    <row r="470" spans="1:5" x14ac:dyDescent="0.25">
      <c r="A470" s="82" t="s">
        <v>559</v>
      </c>
      <c r="B470" s="24">
        <f>'Прайс для расчета'!E470</f>
        <v>2262.75</v>
      </c>
      <c r="C470" s="108">
        <f t="shared" si="14"/>
        <v>0.5</v>
      </c>
      <c r="D470" s="43"/>
      <c r="E470" s="24">
        <f t="shared" si="13"/>
        <v>1131.375</v>
      </c>
    </row>
    <row r="471" spans="1:5" x14ac:dyDescent="0.25">
      <c r="A471" s="82" t="s">
        <v>560</v>
      </c>
      <c r="B471" s="24">
        <f>'Прайс для расчета'!E471</f>
        <v>1527.75</v>
      </c>
      <c r="C471" s="108">
        <f t="shared" si="14"/>
        <v>0.5</v>
      </c>
      <c r="D471" s="43"/>
      <c r="E471" s="24">
        <f t="shared" si="13"/>
        <v>763.875</v>
      </c>
    </row>
    <row r="472" spans="1:5" x14ac:dyDescent="0.25">
      <c r="A472" s="82" t="s">
        <v>561</v>
      </c>
      <c r="B472" s="24">
        <f>'Прайс для расчета'!E472</f>
        <v>897.75</v>
      </c>
      <c r="C472" s="108">
        <f t="shared" si="14"/>
        <v>0.5</v>
      </c>
      <c r="D472" s="43"/>
      <c r="E472" s="24">
        <f t="shared" si="13"/>
        <v>448.875</v>
      </c>
    </row>
    <row r="473" spans="1:5" x14ac:dyDescent="0.25">
      <c r="A473" s="82" t="s">
        <v>474</v>
      </c>
      <c r="B473" s="24">
        <f>'Прайс для расчета'!E473</f>
        <v>687.75</v>
      </c>
      <c r="C473" s="108">
        <f t="shared" si="14"/>
        <v>0.5</v>
      </c>
      <c r="D473" s="43"/>
      <c r="E473" s="24">
        <f t="shared" si="13"/>
        <v>343.875</v>
      </c>
    </row>
    <row r="474" spans="1:5" x14ac:dyDescent="0.25">
      <c r="A474" s="82" t="s">
        <v>562</v>
      </c>
      <c r="B474" s="24">
        <f>'Прайс для расчета'!E474</f>
        <v>3045</v>
      </c>
      <c r="C474" s="108">
        <f t="shared" si="14"/>
        <v>0.5</v>
      </c>
      <c r="D474" s="43"/>
      <c r="E474" s="24">
        <f t="shared" si="13"/>
        <v>1522.5</v>
      </c>
    </row>
    <row r="475" spans="1:5" x14ac:dyDescent="0.25">
      <c r="A475" s="82" t="s">
        <v>563</v>
      </c>
      <c r="B475" s="24">
        <f>'Прайс для расчета'!E475</f>
        <v>1417.5</v>
      </c>
      <c r="C475" s="108">
        <f t="shared" si="14"/>
        <v>0.5</v>
      </c>
      <c r="D475" s="43"/>
      <c r="E475" s="24">
        <f t="shared" si="13"/>
        <v>708.75</v>
      </c>
    </row>
    <row r="476" spans="1:5" x14ac:dyDescent="0.25">
      <c r="A476" s="82" t="s">
        <v>702</v>
      </c>
      <c r="B476" s="24">
        <f>'Прайс для расчета'!E476</f>
        <v>2982</v>
      </c>
      <c r="C476" s="108">
        <f t="shared" si="14"/>
        <v>0.5</v>
      </c>
      <c r="D476" s="43"/>
      <c r="E476" s="24">
        <f t="shared" si="13"/>
        <v>1491</v>
      </c>
    </row>
    <row r="477" spans="1:5" x14ac:dyDescent="0.25">
      <c r="A477" s="82" t="s">
        <v>703</v>
      </c>
      <c r="B477" s="24">
        <f>'Прайс для расчета'!E477</f>
        <v>745.5</v>
      </c>
      <c r="C477" s="108">
        <f t="shared" si="14"/>
        <v>0.5</v>
      </c>
      <c r="D477" s="43"/>
      <c r="E477" s="24">
        <f t="shared" si="13"/>
        <v>372.75</v>
      </c>
    </row>
    <row r="478" spans="1:5" x14ac:dyDescent="0.25">
      <c r="A478" s="50" t="s">
        <v>573</v>
      </c>
      <c r="B478" s="24">
        <f>'Прайс для расчета'!E478</f>
        <v>6709.5</v>
      </c>
      <c r="C478" s="108">
        <f t="shared" si="14"/>
        <v>0.5</v>
      </c>
      <c r="D478" s="43"/>
      <c r="E478" s="24">
        <f t="shared" si="13"/>
        <v>3354.75</v>
      </c>
    </row>
    <row r="479" spans="1:5" x14ac:dyDescent="0.25">
      <c r="A479" s="50" t="s">
        <v>574</v>
      </c>
      <c r="B479" s="24">
        <f>'Прайс для расчета'!E479</f>
        <v>8200.5</v>
      </c>
      <c r="C479" s="108">
        <f t="shared" si="14"/>
        <v>0.5</v>
      </c>
      <c r="D479" s="43"/>
      <c r="E479" s="24">
        <f t="shared" si="13"/>
        <v>4100.25</v>
      </c>
    </row>
    <row r="480" spans="1:5" x14ac:dyDescent="0.25">
      <c r="A480" s="50" t="s">
        <v>718</v>
      </c>
      <c r="B480" s="24">
        <f>'Прайс для расчета'!E480</f>
        <v>8946</v>
      </c>
      <c r="C480" s="108">
        <f t="shared" si="14"/>
        <v>0.5</v>
      </c>
      <c r="D480" s="43"/>
      <c r="E480" s="24">
        <f t="shared" si="13"/>
        <v>4473</v>
      </c>
    </row>
    <row r="481" spans="1:5" x14ac:dyDescent="0.25">
      <c r="A481" s="50" t="s">
        <v>719</v>
      </c>
      <c r="B481" s="24">
        <f>'Прайс для расчета'!E481</f>
        <v>6709.5</v>
      </c>
      <c r="C481" s="108">
        <f t="shared" si="14"/>
        <v>0.5</v>
      </c>
      <c r="D481" s="43"/>
      <c r="E481" s="24">
        <f t="shared" si="13"/>
        <v>3354.75</v>
      </c>
    </row>
    <row r="482" spans="1:5" x14ac:dyDescent="0.25">
      <c r="A482" s="50" t="s">
        <v>720</v>
      </c>
      <c r="B482" s="24">
        <f>'Прайс для расчета'!E482</f>
        <v>8200.5</v>
      </c>
      <c r="C482" s="108">
        <f t="shared" si="14"/>
        <v>0.5</v>
      </c>
      <c r="D482" s="43"/>
      <c r="E482" s="24">
        <f t="shared" si="13"/>
        <v>4100.25</v>
      </c>
    </row>
    <row r="483" spans="1:5" x14ac:dyDescent="0.25">
      <c r="A483" s="50" t="s">
        <v>58</v>
      </c>
      <c r="B483" s="24">
        <f>'Прайс для расчета'!E483</f>
        <v>6709.5</v>
      </c>
      <c r="C483" s="108">
        <f t="shared" si="14"/>
        <v>0.5</v>
      </c>
      <c r="D483" s="43"/>
      <c r="E483" s="24">
        <f t="shared" ref="E483:E532" si="15">IF(D483=0,B483*C483,B483*D483)</f>
        <v>3354.75</v>
      </c>
    </row>
    <row r="484" spans="1:5" x14ac:dyDescent="0.25">
      <c r="A484" s="50" t="s">
        <v>10</v>
      </c>
      <c r="B484" s="24">
        <f>'Прайс для расчета'!E484</f>
        <v>10437</v>
      </c>
      <c r="C484" s="108">
        <f t="shared" si="14"/>
        <v>0.5</v>
      </c>
      <c r="D484" s="43"/>
      <c r="E484" s="24">
        <f t="shared" si="15"/>
        <v>5218.5</v>
      </c>
    </row>
    <row r="485" spans="1:5" x14ac:dyDescent="0.25">
      <c r="A485" s="50" t="s">
        <v>11</v>
      </c>
      <c r="B485" s="24">
        <f>'Прайс для расчета'!E485</f>
        <v>11928</v>
      </c>
      <c r="C485" s="108">
        <f t="shared" si="14"/>
        <v>0.5</v>
      </c>
      <c r="D485" s="43"/>
      <c r="E485" s="24">
        <f t="shared" si="15"/>
        <v>5964</v>
      </c>
    </row>
    <row r="486" spans="1:5" x14ac:dyDescent="0.25">
      <c r="A486" s="50" t="s">
        <v>163</v>
      </c>
      <c r="B486" s="24">
        <f>'Прайс для расчета'!E486</f>
        <v>298.2</v>
      </c>
      <c r="C486" s="108">
        <f t="shared" si="14"/>
        <v>0.5</v>
      </c>
      <c r="D486" s="43"/>
      <c r="E486" s="24">
        <f t="shared" si="15"/>
        <v>149.1</v>
      </c>
    </row>
    <row r="487" spans="1:5" x14ac:dyDescent="0.25">
      <c r="A487" s="50" t="s">
        <v>575</v>
      </c>
      <c r="B487" s="24">
        <f>'Прайс для расчета'!E487</f>
        <v>372.75</v>
      </c>
      <c r="C487" s="108">
        <f t="shared" si="14"/>
        <v>0.5</v>
      </c>
      <c r="D487" s="43"/>
      <c r="E487" s="24">
        <f t="shared" si="15"/>
        <v>186.375</v>
      </c>
    </row>
    <row r="488" spans="1:5" x14ac:dyDescent="0.25">
      <c r="A488" s="50" t="s">
        <v>13</v>
      </c>
      <c r="B488" s="24">
        <f>'Прайс для расчета'!E488</f>
        <v>969.15000000000009</v>
      </c>
      <c r="C488" s="108">
        <f t="shared" si="14"/>
        <v>0.5</v>
      </c>
      <c r="D488" s="43"/>
      <c r="E488" s="24">
        <f t="shared" si="15"/>
        <v>484.57500000000005</v>
      </c>
    </row>
    <row r="489" spans="1:5" x14ac:dyDescent="0.25">
      <c r="A489" s="50" t="s">
        <v>55</v>
      </c>
      <c r="B489" s="24">
        <f>'Прайс для расчета'!E489</f>
        <v>149.1</v>
      </c>
      <c r="C489" s="108">
        <f t="shared" si="14"/>
        <v>0.5</v>
      </c>
      <c r="D489" s="43"/>
      <c r="E489" s="24">
        <f t="shared" si="15"/>
        <v>74.55</v>
      </c>
    </row>
    <row r="490" spans="1:5" x14ac:dyDescent="0.25">
      <c r="A490" s="50" t="s">
        <v>14</v>
      </c>
      <c r="B490" s="24">
        <f>'Прайс для расчета'!E490</f>
        <v>298.2</v>
      </c>
      <c r="C490" s="108">
        <f t="shared" si="14"/>
        <v>0.5</v>
      </c>
      <c r="D490" s="43"/>
      <c r="E490" s="24">
        <f t="shared" si="15"/>
        <v>149.1</v>
      </c>
    </row>
    <row r="491" spans="1:5" x14ac:dyDescent="0.25">
      <c r="A491" s="50" t="s">
        <v>15</v>
      </c>
      <c r="B491" s="24">
        <f>'Прайс для расчета'!E491</f>
        <v>372.75</v>
      </c>
      <c r="C491" s="108">
        <f t="shared" si="14"/>
        <v>0.5</v>
      </c>
      <c r="D491" s="43"/>
      <c r="E491" s="24">
        <f t="shared" si="15"/>
        <v>186.375</v>
      </c>
    </row>
    <row r="492" spans="1:5" x14ac:dyDescent="0.25">
      <c r="A492" s="50" t="s">
        <v>576</v>
      </c>
      <c r="B492" s="24">
        <f>'Прайс для расчета'!E492</f>
        <v>3280.2000000000003</v>
      </c>
      <c r="C492" s="108">
        <f t="shared" si="14"/>
        <v>0.5</v>
      </c>
      <c r="D492" s="43"/>
      <c r="E492" s="24">
        <f t="shared" si="15"/>
        <v>1640.1000000000001</v>
      </c>
    </row>
    <row r="493" spans="1:5" x14ac:dyDescent="0.25">
      <c r="A493" s="50" t="s">
        <v>577</v>
      </c>
      <c r="B493" s="24">
        <f>'Прайс для расчета'!E493</f>
        <v>3876.6000000000004</v>
      </c>
      <c r="C493" s="108">
        <f t="shared" si="14"/>
        <v>0.5</v>
      </c>
      <c r="D493" s="43"/>
      <c r="E493" s="24">
        <f t="shared" si="15"/>
        <v>1938.3000000000002</v>
      </c>
    </row>
    <row r="494" spans="1:5" x14ac:dyDescent="0.25">
      <c r="A494" s="50" t="s">
        <v>578</v>
      </c>
      <c r="B494" s="24">
        <f>'Прайс для расчета'!E494</f>
        <v>2832.9</v>
      </c>
      <c r="C494" s="108">
        <f t="shared" si="14"/>
        <v>0.5</v>
      </c>
      <c r="D494" s="43"/>
      <c r="E494" s="24">
        <f t="shared" si="15"/>
        <v>1416.45</v>
      </c>
    </row>
    <row r="495" spans="1:5" x14ac:dyDescent="0.25">
      <c r="A495" s="50" t="s">
        <v>579</v>
      </c>
      <c r="B495" s="24">
        <f>'Прайс для расчета'!E495</f>
        <v>3429.3</v>
      </c>
      <c r="C495" s="108">
        <f t="shared" si="14"/>
        <v>0.5</v>
      </c>
      <c r="D495" s="43"/>
      <c r="E495" s="24">
        <f t="shared" si="15"/>
        <v>1714.65</v>
      </c>
    </row>
    <row r="496" spans="1:5" x14ac:dyDescent="0.25">
      <c r="A496" s="50" t="s">
        <v>20</v>
      </c>
      <c r="B496" s="24">
        <f>'Прайс для расчета'!E496</f>
        <v>1192.8</v>
      </c>
      <c r="C496" s="108">
        <f t="shared" si="14"/>
        <v>0.5</v>
      </c>
      <c r="D496" s="43"/>
      <c r="E496" s="24">
        <f t="shared" si="15"/>
        <v>596.4</v>
      </c>
    </row>
    <row r="497" spans="1:5" x14ac:dyDescent="0.25">
      <c r="A497" s="50" t="s">
        <v>21</v>
      </c>
      <c r="B497" s="24">
        <f>'Прайс для расчета'!E497</f>
        <v>1192.8</v>
      </c>
      <c r="C497" s="108">
        <f t="shared" si="14"/>
        <v>0.5</v>
      </c>
      <c r="D497" s="43"/>
      <c r="E497" s="24">
        <f t="shared" si="15"/>
        <v>596.4</v>
      </c>
    </row>
    <row r="498" spans="1:5" x14ac:dyDescent="0.25">
      <c r="A498" s="50" t="s">
        <v>22</v>
      </c>
      <c r="B498" s="24">
        <f>'Прайс для расчета'!E498</f>
        <v>149.1</v>
      </c>
      <c r="C498" s="108">
        <f t="shared" si="14"/>
        <v>0.5</v>
      </c>
      <c r="D498" s="43"/>
      <c r="E498" s="24">
        <f t="shared" si="15"/>
        <v>74.55</v>
      </c>
    </row>
    <row r="499" spans="1:5" x14ac:dyDescent="0.25">
      <c r="A499" s="50" t="s">
        <v>23</v>
      </c>
      <c r="B499" s="24">
        <f>'Прайс для расчета'!E499</f>
        <v>521.85</v>
      </c>
      <c r="C499" s="108">
        <f t="shared" si="14"/>
        <v>0.5</v>
      </c>
      <c r="D499" s="43"/>
      <c r="E499" s="24">
        <f t="shared" si="15"/>
        <v>260.92500000000001</v>
      </c>
    </row>
    <row r="500" spans="1:5" x14ac:dyDescent="0.25">
      <c r="A500" s="50" t="s">
        <v>721</v>
      </c>
      <c r="B500" s="24">
        <f>'Прайс для расчета'!E500</f>
        <v>894.6</v>
      </c>
      <c r="C500" s="108">
        <f t="shared" si="14"/>
        <v>0.5</v>
      </c>
      <c r="D500" s="43"/>
      <c r="E500" s="24">
        <f t="shared" si="15"/>
        <v>447.3</v>
      </c>
    </row>
    <row r="501" spans="1:5" x14ac:dyDescent="0.25">
      <c r="A501" s="50" t="s">
        <v>24</v>
      </c>
      <c r="B501" s="24">
        <f>'Прайс для расчета'!E501</f>
        <v>1073.52</v>
      </c>
      <c r="C501" s="108">
        <f t="shared" si="14"/>
        <v>0.5</v>
      </c>
      <c r="D501" s="43"/>
      <c r="E501" s="24">
        <f t="shared" si="15"/>
        <v>536.76</v>
      </c>
    </row>
    <row r="502" spans="1:5" x14ac:dyDescent="0.25">
      <c r="A502" s="50" t="s">
        <v>25</v>
      </c>
      <c r="B502" s="24">
        <f>'Прайс для расчета'!E502</f>
        <v>223.65</v>
      </c>
      <c r="C502" s="108">
        <f t="shared" si="14"/>
        <v>0.5</v>
      </c>
      <c r="D502" s="43"/>
      <c r="E502" s="24">
        <f t="shared" si="15"/>
        <v>111.825</v>
      </c>
    </row>
    <row r="503" spans="1:5" x14ac:dyDescent="0.25">
      <c r="A503" s="50" t="s">
        <v>26</v>
      </c>
      <c r="B503" s="24">
        <f>'Прайс для расчета'!E503</f>
        <v>521.85</v>
      </c>
      <c r="C503" s="108">
        <f t="shared" si="14"/>
        <v>0.5</v>
      </c>
      <c r="D503" s="43"/>
      <c r="E503" s="24">
        <f t="shared" si="15"/>
        <v>260.92500000000001</v>
      </c>
    </row>
    <row r="504" spans="1:5" x14ac:dyDescent="0.25">
      <c r="A504" s="50" t="s">
        <v>42</v>
      </c>
      <c r="B504" s="24">
        <f>'Прайс для расчета'!E504</f>
        <v>223.65</v>
      </c>
      <c r="C504" s="108">
        <f t="shared" si="14"/>
        <v>0.5</v>
      </c>
      <c r="D504" s="43"/>
      <c r="E504" s="24">
        <f t="shared" si="15"/>
        <v>111.825</v>
      </c>
    </row>
    <row r="505" spans="1:5" x14ac:dyDescent="0.25">
      <c r="A505" s="50" t="s">
        <v>27</v>
      </c>
      <c r="B505" s="24">
        <f>'Прайс для расчета'!E505</f>
        <v>372.75</v>
      </c>
      <c r="C505" s="108">
        <f t="shared" si="14"/>
        <v>0.5</v>
      </c>
      <c r="D505" s="43"/>
      <c r="E505" s="24">
        <f t="shared" si="15"/>
        <v>186.375</v>
      </c>
    </row>
    <row r="506" spans="1:5" x14ac:dyDescent="0.25">
      <c r="A506" s="50" t="s">
        <v>28</v>
      </c>
      <c r="B506" s="24">
        <f>'Прайс для расчета'!E506</f>
        <v>1491</v>
      </c>
      <c r="C506" s="108">
        <f t="shared" si="14"/>
        <v>0.5</v>
      </c>
      <c r="D506" s="43"/>
      <c r="E506" s="24">
        <f t="shared" si="15"/>
        <v>745.5</v>
      </c>
    </row>
    <row r="507" spans="1:5" x14ac:dyDescent="0.25">
      <c r="A507" s="50" t="s">
        <v>722</v>
      </c>
      <c r="B507" s="24">
        <f>'Прайс для расчета'!E507</f>
        <v>2087.4</v>
      </c>
      <c r="C507" s="108">
        <f t="shared" si="14"/>
        <v>0.5</v>
      </c>
      <c r="D507" s="43"/>
      <c r="E507" s="24">
        <f t="shared" si="15"/>
        <v>1043.7</v>
      </c>
    </row>
    <row r="508" spans="1:5" x14ac:dyDescent="0.25">
      <c r="A508" s="50" t="s">
        <v>29</v>
      </c>
      <c r="B508" s="24">
        <f>'Прайс для расчета'!E508</f>
        <v>447.3</v>
      </c>
      <c r="C508" s="108">
        <f t="shared" si="14"/>
        <v>0.5</v>
      </c>
      <c r="D508" s="43"/>
      <c r="E508" s="24">
        <f t="shared" si="15"/>
        <v>223.65</v>
      </c>
    </row>
    <row r="509" spans="1:5" x14ac:dyDescent="0.25">
      <c r="A509" s="50" t="s">
        <v>30</v>
      </c>
      <c r="B509" s="24">
        <f>'Прайс для расчета'!E509</f>
        <v>1192.8</v>
      </c>
      <c r="C509" s="108">
        <f t="shared" si="14"/>
        <v>0.5</v>
      </c>
      <c r="D509" s="43"/>
      <c r="E509" s="24">
        <f t="shared" si="15"/>
        <v>596.4</v>
      </c>
    </row>
    <row r="510" spans="1:5" x14ac:dyDescent="0.25">
      <c r="A510" s="50" t="s">
        <v>31</v>
      </c>
      <c r="B510" s="24">
        <f>'Прайс для расчета'!E510</f>
        <v>2087.4</v>
      </c>
      <c r="C510" s="108">
        <f t="shared" si="14"/>
        <v>0.5</v>
      </c>
      <c r="D510" s="43"/>
      <c r="E510" s="24">
        <f t="shared" si="15"/>
        <v>1043.7</v>
      </c>
    </row>
    <row r="511" spans="1:5" x14ac:dyDescent="0.25">
      <c r="A511" s="50" t="s">
        <v>32</v>
      </c>
      <c r="B511" s="24">
        <f>'Прайс для расчета'!E511</f>
        <v>5218.5</v>
      </c>
      <c r="C511" s="108">
        <f t="shared" si="14"/>
        <v>0.5</v>
      </c>
      <c r="D511" s="43"/>
      <c r="E511" s="24">
        <f t="shared" si="15"/>
        <v>2609.25</v>
      </c>
    </row>
    <row r="512" spans="1:5" x14ac:dyDescent="0.25">
      <c r="A512" s="50" t="s">
        <v>33</v>
      </c>
      <c r="B512" s="24">
        <f>'Прайс для расчета'!E512</f>
        <v>8200.5</v>
      </c>
      <c r="C512" s="108">
        <f t="shared" si="14"/>
        <v>0.5</v>
      </c>
      <c r="D512" s="43"/>
      <c r="E512" s="24">
        <f t="shared" si="15"/>
        <v>4100.25</v>
      </c>
    </row>
    <row r="513" spans="1:5" x14ac:dyDescent="0.25">
      <c r="A513" s="50" t="s">
        <v>34</v>
      </c>
      <c r="B513" s="24">
        <f>'Прайс для расчета'!E513</f>
        <v>11182.5</v>
      </c>
      <c r="C513" s="108">
        <f t="shared" si="14"/>
        <v>0.5</v>
      </c>
      <c r="D513" s="43"/>
      <c r="E513" s="24">
        <f t="shared" si="15"/>
        <v>5591.25</v>
      </c>
    </row>
    <row r="514" spans="1:5" x14ac:dyDescent="0.25">
      <c r="A514" s="50" t="s">
        <v>35</v>
      </c>
      <c r="B514" s="24">
        <f>'Прайс для расчета'!E514</f>
        <v>1491</v>
      </c>
      <c r="C514" s="108">
        <f t="shared" si="14"/>
        <v>0.5</v>
      </c>
      <c r="D514" s="43"/>
      <c r="E514" s="24">
        <f t="shared" si="15"/>
        <v>745.5</v>
      </c>
    </row>
    <row r="515" spans="1:5" x14ac:dyDescent="0.25">
      <c r="A515" s="50" t="s">
        <v>36</v>
      </c>
      <c r="B515" s="24">
        <f>'Прайс для расчета'!E515</f>
        <v>2236.5</v>
      </c>
      <c r="C515" s="108">
        <f t="shared" si="14"/>
        <v>0.5</v>
      </c>
      <c r="D515" s="43"/>
      <c r="E515" s="24">
        <f t="shared" si="15"/>
        <v>1118.25</v>
      </c>
    </row>
    <row r="516" spans="1:5" x14ac:dyDescent="0.25">
      <c r="A516" s="50" t="s">
        <v>37</v>
      </c>
      <c r="B516" s="24">
        <f>'Прайс для расчета'!E516</f>
        <v>447.3</v>
      </c>
      <c r="C516" s="108">
        <f t="shared" si="14"/>
        <v>0.5</v>
      </c>
      <c r="D516" s="43"/>
      <c r="E516" s="24">
        <f t="shared" si="15"/>
        <v>223.65</v>
      </c>
    </row>
    <row r="517" spans="1:5" x14ac:dyDescent="0.25">
      <c r="A517" s="50" t="s">
        <v>38</v>
      </c>
      <c r="B517" s="24">
        <f>'Прайс для расчета'!E517</f>
        <v>745.5</v>
      </c>
      <c r="C517" s="108">
        <f t="shared" ref="C517:C580" si="16">$D$3</f>
        <v>0.5</v>
      </c>
      <c r="D517" s="43"/>
      <c r="E517" s="24">
        <f t="shared" si="15"/>
        <v>372.75</v>
      </c>
    </row>
    <row r="518" spans="1:5" x14ac:dyDescent="0.25">
      <c r="A518" s="50" t="s">
        <v>39</v>
      </c>
      <c r="B518" s="24">
        <f>'Прайс для расчета'!E518</f>
        <v>2907.4500000000003</v>
      </c>
      <c r="C518" s="108">
        <f t="shared" si="16"/>
        <v>0.5</v>
      </c>
      <c r="D518" s="43"/>
      <c r="E518" s="24">
        <f t="shared" si="15"/>
        <v>1453.7250000000001</v>
      </c>
    </row>
    <row r="519" spans="1:5" x14ac:dyDescent="0.25">
      <c r="A519" s="50" t="s">
        <v>40</v>
      </c>
      <c r="B519" s="24">
        <f>'Прайс для расчета'!E519</f>
        <v>1789.2</v>
      </c>
      <c r="C519" s="108">
        <f t="shared" si="16"/>
        <v>0.5</v>
      </c>
      <c r="D519" s="43"/>
      <c r="E519" s="24">
        <f t="shared" si="15"/>
        <v>894.6</v>
      </c>
    </row>
    <row r="520" spans="1:5" x14ac:dyDescent="0.25">
      <c r="A520" s="50" t="s">
        <v>580</v>
      </c>
      <c r="B520" s="24">
        <f>'Прайс для расчета'!E520</f>
        <v>715.68</v>
      </c>
      <c r="C520" s="108">
        <f t="shared" si="16"/>
        <v>0.5</v>
      </c>
      <c r="D520" s="43"/>
      <c r="E520" s="24">
        <f t="shared" si="15"/>
        <v>357.84</v>
      </c>
    </row>
    <row r="521" spans="1:5" x14ac:dyDescent="0.25">
      <c r="A521" s="50" t="s">
        <v>581</v>
      </c>
      <c r="B521" s="24">
        <f>'Прайс для расчета'!E521</f>
        <v>559.125</v>
      </c>
      <c r="C521" s="108">
        <f t="shared" si="16"/>
        <v>0.5</v>
      </c>
      <c r="D521" s="43"/>
      <c r="E521" s="24">
        <f t="shared" si="15"/>
        <v>279.5625</v>
      </c>
    </row>
    <row r="522" spans="1:5" x14ac:dyDescent="0.25">
      <c r="A522" s="50" t="s">
        <v>582</v>
      </c>
      <c r="B522" s="24">
        <f>'Прайс для расчета'!E522</f>
        <v>894.6</v>
      </c>
      <c r="C522" s="108">
        <f t="shared" si="16"/>
        <v>0.5</v>
      </c>
      <c r="D522" s="43"/>
      <c r="E522" s="24">
        <f t="shared" si="15"/>
        <v>447.3</v>
      </c>
    </row>
    <row r="523" spans="1:5" x14ac:dyDescent="0.25">
      <c r="A523" s="50" t="s">
        <v>583</v>
      </c>
      <c r="B523" s="24">
        <f>'Прайс для расчета'!E523</f>
        <v>1341.9</v>
      </c>
      <c r="C523" s="108">
        <f t="shared" si="16"/>
        <v>0.5</v>
      </c>
      <c r="D523" s="43"/>
      <c r="E523" s="24">
        <f t="shared" si="15"/>
        <v>670.95</v>
      </c>
    </row>
    <row r="524" spans="1:5" x14ac:dyDescent="0.25">
      <c r="A524" s="50" t="s">
        <v>584</v>
      </c>
      <c r="B524" s="24">
        <f>'Прайс для расчета'!E524</f>
        <v>1640.1000000000001</v>
      </c>
      <c r="C524" s="108">
        <f t="shared" si="16"/>
        <v>0.5</v>
      </c>
      <c r="D524" s="43"/>
      <c r="E524" s="24">
        <f t="shared" si="15"/>
        <v>820.05000000000007</v>
      </c>
    </row>
    <row r="525" spans="1:5" x14ac:dyDescent="0.25">
      <c r="A525" s="50" t="s">
        <v>585</v>
      </c>
      <c r="B525" s="24">
        <f>'Прайс для расчета'!E525</f>
        <v>2236.5</v>
      </c>
      <c r="C525" s="108">
        <f t="shared" si="16"/>
        <v>0.5</v>
      </c>
      <c r="D525" s="43"/>
      <c r="E525" s="24">
        <f t="shared" si="15"/>
        <v>1118.25</v>
      </c>
    </row>
    <row r="526" spans="1:5" x14ac:dyDescent="0.25">
      <c r="A526" s="50" t="s">
        <v>586</v>
      </c>
      <c r="B526" s="24">
        <f>'Прайс для расчета'!E526</f>
        <v>2982</v>
      </c>
      <c r="C526" s="108">
        <f t="shared" si="16"/>
        <v>0.5</v>
      </c>
      <c r="D526" s="46"/>
      <c r="E526" s="46">
        <f t="shared" si="15"/>
        <v>1491</v>
      </c>
    </row>
    <row r="527" spans="1:5" x14ac:dyDescent="0.25">
      <c r="A527" s="45" t="s">
        <v>762</v>
      </c>
      <c r="B527" s="24">
        <f>'Прайс для расчета'!E527</f>
        <v>3727.5</v>
      </c>
      <c r="C527" s="108">
        <f t="shared" si="16"/>
        <v>0.5</v>
      </c>
      <c r="D527" s="43"/>
      <c r="E527" s="24">
        <f>IF(D527=0,B527*C527,B527*D527)</f>
        <v>1863.75</v>
      </c>
    </row>
    <row r="528" spans="1:5" x14ac:dyDescent="0.25">
      <c r="A528" s="50" t="s">
        <v>926</v>
      </c>
      <c r="B528" s="24">
        <f>'Прайс для расчета'!E528</f>
        <v>484.57500000000005</v>
      </c>
      <c r="C528" s="108">
        <f t="shared" si="16"/>
        <v>0.5</v>
      </c>
      <c r="D528" s="43"/>
      <c r="E528" s="24">
        <f t="shared" si="15"/>
        <v>242.28750000000002</v>
      </c>
    </row>
    <row r="529" spans="1:5" x14ac:dyDescent="0.25">
      <c r="A529" s="50" t="s">
        <v>587</v>
      </c>
      <c r="B529" s="24">
        <f>'Прайс для расчета'!E529</f>
        <v>670.95</v>
      </c>
      <c r="C529" s="108">
        <f t="shared" si="16"/>
        <v>0.5</v>
      </c>
      <c r="D529" s="43"/>
      <c r="E529" s="24">
        <f t="shared" si="15"/>
        <v>335.47500000000002</v>
      </c>
    </row>
    <row r="530" spans="1:5" x14ac:dyDescent="0.25">
      <c r="A530" s="50" t="s">
        <v>588</v>
      </c>
      <c r="B530" s="24">
        <f>'Прайс для расчета'!E530</f>
        <v>74.55</v>
      </c>
      <c r="C530" s="108">
        <f t="shared" si="16"/>
        <v>0.5</v>
      </c>
      <c r="D530" s="43"/>
      <c r="E530" s="24">
        <f t="shared" si="15"/>
        <v>37.274999999999999</v>
      </c>
    </row>
    <row r="531" spans="1:5" x14ac:dyDescent="0.25">
      <c r="A531" s="50" t="s">
        <v>723</v>
      </c>
      <c r="B531" s="24">
        <f>'Прайс для расчета'!E531</f>
        <v>298.2</v>
      </c>
      <c r="C531" s="108">
        <f t="shared" si="16"/>
        <v>0.5</v>
      </c>
      <c r="D531" s="46"/>
      <c r="E531" s="46">
        <f t="shared" si="15"/>
        <v>149.1</v>
      </c>
    </row>
    <row r="532" spans="1:5" x14ac:dyDescent="0.25">
      <c r="A532" s="45" t="s">
        <v>763</v>
      </c>
      <c r="B532" s="24">
        <f>'Прайс для расчета'!E532</f>
        <v>805.14</v>
      </c>
      <c r="C532" s="108">
        <f t="shared" si="16"/>
        <v>0.5</v>
      </c>
      <c r="D532" s="43"/>
      <c r="E532" s="24">
        <f t="shared" si="15"/>
        <v>402.57</v>
      </c>
    </row>
    <row r="533" spans="1:5" x14ac:dyDescent="0.25">
      <c r="A533" s="50" t="s">
        <v>589</v>
      </c>
      <c r="B533" s="24">
        <f>'Прайс для расчета'!E533</f>
        <v>372.75</v>
      </c>
      <c r="C533" s="108">
        <f t="shared" si="16"/>
        <v>0.5</v>
      </c>
      <c r="D533" s="43"/>
      <c r="E533" s="24">
        <f>IF(D533=0,B533*C533,B533*D533)</f>
        <v>186.375</v>
      </c>
    </row>
    <row r="534" spans="1:5" x14ac:dyDescent="0.25">
      <c r="A534" s="50" t="s">
        <v>174</v>
      </c>
      <c r="B534" s="24">
        <f>'Прайс для расчета'!E534</f>
        <v>149.1</v>
      </c>
      <c r="C534" s="108">
        <f t="shared" si="16"/>
        <v>0.5</v>
      </c>
      <c r="D534" s="43"/>
      <c r="E534" s="24">
        <f>IF(D534=0,B534*C534,B534*D534)</f>
        <v>74.55</v>
      </c>
    </row>
    <row r="535" spans="1:5" x14ac:dyDescent="0.25">
      <c r="A535" s="50" t="s">
        <v>175</v>
      </c>
      <c r="B535" s="24">
        <f>'Прайс для расчета'!E535</f>
        <v>149.1</v>
      </c>
      <c r="C535" s="108">
        <f t="shared" si="16"/>
        <v>0.5</v>
      </c>
      <c r="D535" s="46"/>
      <c r="E535" s="46">
        <f t="shared" ref="E535" si="17">IF(D535=0,B535*C535,B535*D535)</f>
        <v>74.55</v>
      </c>
    </row>
    <row r="536" spans="1:5" x14ac:dyDescent="0.25">
      <c r="A536" s="45" t="s">
        <v>767</v>
      </c>
      <c r="B536" s="24">
        <f>'Прайс для расчета'!E536</f>
        <v>745.5</v>
      </c>
      <c r="C536" s="108">
        <f t="shared" si="16"/>
        <v>0.5</v>
      </c>
      <c r="D536" s="46"/>
      <c r="E536" s="46">
        <f>IF(D536=0,B536*C536,B536*D536)</f>
        <v>372.75</v>
      </c>
    </row>
    <row r="537" spans="1:5" x14ac:dyDescent="0.25">
      <c r="A537" s="45" t="s">
        <v>768</v>
      </c>
      <c r="B537" s="24">
        <f>'Прайс для расчета'!E537</f>
        <v>670.95</v>
      </c>
      <c r="C537" s="108">
        <f t="shared" si="16"/>
        <v>0.5</v>
      </c>
      <c r="D537" s="46"/>
      <c r="E537" s="46">
        <f>IF(D537=0,B537*C537,B537*D537)</f>
        <v>335.47500000000002</v>
      </c>
    </row>
    <row r="538" spans="1:5" x14ac:dyDescent="0.25">
      <c r="A538" s="45" t="s">
        <v>769</v>
      </c>
      <c r="B538" s="24">
        <f>'Прайс для расчета'!E538</f>
        <v>372.75</v>
      </c>
      <c r="C538" s="108">
        <f t="shared" si="16"/>
        <v>0.5</v>
      </c>
      <c r="D538" s="46"/>
      <c r="E538" s="46">
        <f>IF(D538=0,B538*C538,B538*D538)</f>
        <v>186.375</v>
      </c>
    </row>
    <row r="539" spans="1:5" x14ac:dyDescent="0.25">
      <c r="A539" s="45" t="s">
        <v>770</v>
      </c>
      <c r="B539" s="24">
        <f>'Прайс для расчета'!E539</f>
        <v>805.14</v>
      </c>
      <c r="C539" s="108">
        <f t="shared" si="16"/>
        <v>0.5</v>
      </c>
      <c r="D539" s="54"/>
      <c r="E539" s="54">
        <f>IF(D539=0,B539*C539,B539*D539)</f>
        <v>402.57</v>
      </c>
    </row>
    <row r="540" spans="1:5" x14ac:dyDescent="0.25">
      <c r="A540" s="52" t="s">
        <v>771</v>
      </c>
      <c r="B540" s="24">
        <f>'Прайс для расчета'!E540</f>
        <v>1252.44</v>
      </c>
      <c r="C540" s="108">
        <f t="shared" si="16"/>
        <v>0.5</v>
      </c>
      <c r="D540" s="46"/>
      <c r="E540" s="46">
        <f>IF(D540=0,B540*C540,B540*D540)</f>
        <v>626.22</v>
      </c>
    </row>
    <row r="541" spans="1:5" x14ac:dyDescent="0.25">
      <c r="A541" s="53" t="s">
        <v>772</v>
      </c>
      <c r="B541" s="24">
        <f>'Прайс для расчета'!E541</f>
        <v>805.14</v>
      </c>
      <c r="C541" s="108">
        <f t="shared" si="16"/>
        <v>0.5</v>
      </c>
      <c r="D541" s="46"/>
      <c r="E541" s="46">
        <f t="shared" ref="E541:E602" si="18">IF(D541=0,B541*C541,B541*D541)</f>
        <v>402.57</v>
      </c>
    </row>
    <row r="542" spans="1:5" x14ac:dyDescent="0.25">
      <c r="A542" s="45" t="s">
        <v>773</v>
      </c>
      <c r="B542" s="24">
        <f>'Прайс для расчета'!E542</f>
        <v>1073.52</v>
      </c>
      <c r="C542" s="108">
        <f t="shared" si="16"/>
        <v>0.5</v>
      </c>
      <c r="D542" s="46"/>
      <c r="E542" s="46">
        <f t="shared" si="18"/>
        <v>536.76</v>
      </c>
    </row>
    <row r="543" spans="1:5" x14ac:dyDescent="0.25">
      <c r="A543" s="45" t="s">
        <v>774</v>
      </c>
      <c r="B543" s="24">
        <f>'Прайс для расчета'!E543</f>
        <v>246.01499999999999</v>
      </c>
      <c r="C543" s="108">
        <f t="shared" si="16"/>
        <v>0.5</v>
      </c>
      <c r="D543" s="46"/>
      <c r="E543" s="46">
        <f t="shared" si="18"/>
        <v>123.00749999999999</v>
      </c>
    </row>
    <row r="544" spans="1:5" x14ac:dyDescent="0.25">
      <c r="A544" s="45" t="s">
        <v>775</v>
      </c>
      <c r="B544" s="24">
        <f>'Прайс для расчета'!E544</f>
        <v>805.14</v>
      </c>
      <c r="C544" s="108">
        <f t="shared" si="16"/>
        <v>0.5</v>
      </c>
      <c r="D544" s="46"/>
      <c r="E544" s="46">
        <f t="shared" si="18"/>
        <v>402.57</v>
      </c>
    </row>
    <row r="545" spans="1:5" x14ac:dyDescent="0.25">
      <c r="A545" s="45" t="s">
        <v>776</v>
      </c>
      <c r="B545" s="24">
        <f>'Прайс для расчета'!E545</f>
        <v>2683.8</v>
      </c>
      <c r="C545" s="108">
        <f t="shared" si="16"/>
        <v>0.5</v>
      </c>
      <c r="D545" s="46"/>
      <c r="E545" s="46">
        <f t="shared" si="18"/>
        <v>1341.9</v>
      </c>
    </row>
    <row r="546" spans="1:5" x14ac:dyDescent="0.25">
      <c r="A546" s="45" t="s">
        <v>777</v>
      </c>
      <c r="B546" s="24">
        <f>'Прайс для расчета'!E546</f>
        <v>596.4</v>
      </c>
      <c r="C546" s="108">
        <f t="shared" si="16"/>
        <v>0.5</v>
      </c>
      <c r="D546" s="46"/>
      <c r="E546" s="46">
        <f t="shared" si="18"/>
        <v>298.2</v>
      </c>
    </row>
    <row r="547" spans="1:5" x14ac:dyDescent="0.25">
      <c r="A547" s="45" t="s">
        <v>778</v>
      </c>
      <c r="B547" s="24">
        <f>'Прайс для расчета'!E547</f>
        <v>670.95</v>
      </c>
      <c r="C547" s="108">
        <f t="shared" si="16"/>
        <v>0.5</v>
      </c>
      <c r="D547" s="46"/>
      <c r="E547" s="46">
        <f t="shared" si="18"/>
        <v>335.47500000000002</v>
      </c>
    </row>
    <row r="548" spans="1:5" x14ac:dyDescent="0.25">
      <c r="A548" s="45" t="s">
        <v>779</v>
      </c>
      <c r="B548" s="24">
        <f>'Прайс для расчета'!E548</f>
        <v>298.2</v>
      </c>
      <c r="C548" s="108">
        <f t="shared" si="16"/>
        <v>0.5</v>
      </c>
      <c r="D548" s="46"/>
      <c r="E548" s="46">
        <f t="shared" si="18"/>
        <v>149.1</v>
      </c>
    </row>
    <row r="549" spans="1:5" x14ac:dyDescent="0.25">
      <c r="A549" s="45" t="s">
        <v>780</v>
      </c>
      <c r="B549" s="24">
        <f>'Прайс для расчета'!E549</f>
        <v>149.1</v>
      </c>
      <c r="C549" s="108">
        <f t="shared" si="16"/>
        <v>0.5</v>
      </c>
      <c r="D549" s="46"/>
      <c r="E549" s="46">
        <f t="shared" si="18"/>
        <v>74.55</v>
      </c>
    </row>
    <row r="550" spans="1:5" x14ac:dyDescent="0.25">
      <c r="A550" s="45" t="s">
        <v>781</v>
      </c>
      <c r="B550" s="24">
        <f>'Прайс для расчета'!E550</f>
        <v>745.5</v>
      </c>
      <c r="C550" s="108">
        <f t="shared" si="16"/>
        <v>0.5</v>
      </c>
      <c r="D550" s="46"/>
      <c r="E550" s="46">
        <f t="shared" si="18"/>
        <v>372.75</v>
      </c>
    </row>
    <row r="551" spans="1:5" x14ac:dyDescent="0.25">
      <c r="A551" s="45" t="s">
        <v>782</v>
      </c>
      <c r="B551" s="24">
        <f>'Прайс для расчета'!E551</f>
        <v>805.14</v>
      </c>
      <c r="C551" s="108">
        <f t="shared" si="16"/>
        <v>0.5</v>
      </c>
      <c r="D551" s="46"/>
      <c r="E551" s="46">
        <f t="shared" si="18"/>
        <v>402.57</v>
      </c>
    </row>
    <row r="552" spans="1:5" x14ac:dyDescent="0.25">
      <c r="A552" s="45" t="s">
        <v>783</v>
      </c>
      <c r="B552" s="24">
        <f>'Прайс для расчета'!E552</f>
        <v>268.38</v>
      </c>
      <c r="C552" s="108">
        <f t="shared" si="16"/>
        <v>0.5</v>
      </c>
      <c r="D552" s="46"/>
      <c r="E552" s="46">
        <f t="shared" si="18"/>
        <v>134.19</v>
      </c>
    </row>
    <row r="553" spans="1:5" x14ac:dyDescent="0.25">
      <c r="A553" s="45" t="s">
        <v>784</v>
      </c>
      <c r="B553" s="24">
        <f>'Прайс для расчета'!E553</f>
        <v>1341.9</v>
      </c>
      <c r="C553" s="108">
        <f t="shared" si="16"/>
        <v>0.5</v>
      </c>
      <c r="D553" s="46"/>
      <c r="E553" s="46">
        <f t="shared" si="18"/>
        <v>670.95</v>
      </c>
    </row>
    <row r="554" spans="1:5" x14ac:dyDescent="0.25">
      <c r="A554" s="45" t="s">
        <v>785</v>
      </c>
      <c r="B554" s="24">
        <f>'Прайс для расчета'!E554</f>
        <v>2982</v>
      </c>
      <c r="C554" s="108">
        <f t="shared" si="16"/>
        <v>0.5</v>
      </c>
      <c r="D554" s="46"/>
      <c r="E554" s="46">
        <f t="shared" si="18"/>
        <v>1491</v>
      </c>
    </row>
    <row r="555" spans="1:5" x14ac:dyDescent="0.25">
      <c r="A555" s="45" t="s">
        <v>786</v>
      </c>
      <c r="B555" s="24">
        <f>'Прайс для расчета'!E555</f>
        <v>4473</v>
      </c>
      <c r="C555" s="108">
        <f t="shared" si="16"/>
        <v>0.5</v>
      </c>
      <c r="D555" s="46"/>
      <c r="E555" s="46">
        <f t="shared" si="18"/>
        <v>2236.5</v>
      </c>
    </row>
    <row r="556" spans="1:5" x14ac:dyDescent="0.25">
      <c r="A556" s="45" t="s">
        <v>787</v>
      </c>
      <c r="B556" s="24">
        <f>'Прайс для расчета'!E556</f>
        <v>8051.4000000000005</v>
      </c>
      <c r="C556" s="108">
        <f t="shared" si="16"/>
        <v>0.5</v>
      </c>
      <c r="D556" s="46"/>
      <c r="E556" s="46">
        <f t="shared" si="18"/>
        <v>4025.7000000000003</v>
      </c>
    </row>
    <row r="557" spans="1:5" x14ac:dyDescent="0.25">
      <c r="A557" s="45" t="s">
        <v>788</v>
      </c>
      <c r="B557" s="24">
        <f>'Прайс для расчета'!E557</f>
        <v>2982</v>
      </c>
      <c r="C557" s="108">
        <f t="shared" si="16"/>
        <v>0.5</v>
      </c>
      <c r="D557" s="46"/>
      <c r="E557" s="46">
        <f t="shared" si="18"/>
        <v>1491</v>
      </c>
    </row>
    <row r="558" spans="1:5" x14ac:dyDescent="0.25">
      <c r="A558" s="45" t="s">
        <v>789</v>
      </c>
      <c r="B558" s="24">
        <f>'Прайс для расчета'!E558</f>
        <v>8051.4000000000005</v>
      </c>
      <c r="C558" s="108">
        <f t="shared" si="16"/>
        <v>0.5</v>
      </c>
      <c r="D558" s="46"/>
      <c r="E558" s="46">
        <f t="shared" si="18"/>
        <v>4025.7000000000003</v>
      </c>
    </row>
    <row r="559" spans="1:5" x14ac:dyDescent="0.25">
      <c r="A559" s="45" t="s">
        <v>790</v>
      </c>
      <c r="B559" s="24">
        <f>'Прайс для расчета'!E559</f>
        <v>5069.4000000000005</v>
      </c>
      <c r="C559" s="108">
        <f t="shared" si="16"/>
        <v>0.5</v>
      </c>
      <c r="D559" s="46"/>
      <c r="E559" s="46">
        <f t="shared" si="18"/>
        <v>2534.7000000000003</v>
      </c>
    </row>
    <row r="560" spans="1:5" x14ac:dyDescent="0.25">
      <c r="A560" s="45" t="s">
        <v>791</v>
      </c>
      <c r="B560" s="24">
        <f>'Прайс для расчета'!E560</f>
        <v>6262.2</v>
      </c>
      <c r="C560" s="108">
        <f t="shared" si="16"/>
        <v>0.5</v>
      </c>
      <c r="D560" s="46"/>
      <c r="E560" s="46">
        <f t="shared" si="18"/>
        <v>3131.1</v>
      </c>
    </row>
    <row r="561" spans="1:5" x14ac:dyDescent="0.25">
      <c r="A561" s="45" t="s">
        <v>792</v>
      </c>
      <c r="B561" s="24">
        <f>'Прайс для расчета'!E561</f>
        <v>6262.2</v>
      </c>
      <c r="C561" s="108">
        <f t="shared" si="16"/>
        <v>0.5</v>
      </c>
      <c r="D561" s="46"/>
      <c r="E561" s="46">
        <f t="shared" si="18"/>
        <v>3131.1</v>
      </c>
    </row>
    <row r="562" spans="1:5" x14ac:dyDescent="0.25">
      <c r="A562" s="45" t="s">
        <v>793</v>
      </c>
      <c r="B562" s="24">
        <f>'Прайс для расчета'!E562</f>
        <v>8051.4000000000005</v>
      </c>
      <c r="C562" s="108">
        <f t="shared" si="16"/>
        <v>0.5</v>
      </c>
      <c r="D562" s="46"/>
      <c r="E562" s="46">
        <f t="shared" si="18"/>
        <v>4025.7000000000003</v>
      </c>
    </row>
    <row r="563" spans="1:5" x14ac:dyDescent="0.25">
      <c r="A563" s="45" t="s">
        <v>794</v>
      </c>
      <c r="B563" s="24">
        <f>'Прайс для расчета'!E563</f>
        <v>2982</v>
      </c>
      <c r="C563" s="108">
        <f t="shared" si="16"/>
        <v>0.5</v>
      </c>
      <c r="D563" s="46"/>
      <c r="E563" s="46">
        <f t="shared" si="18"/>
        <v>1491</v>
      </c>
    </row>
    <row r="564" spans="1:5" x14ac:dyDescent="0.25">
      <c r="A564" s="45" t="s">
        <v>795</v>
      </c>
      <c r="B564" s="24">
        <f>'Прайс для расчета'!E564</f>
        <v>4473</v>
      </c>
      <c r="C564" s="108">
        <f t="shared" si="16"/>
        <v>0.5</v>
      </c>
      <c r="D564" s="46"/>
      <c r="E564" s="46">
        <f t="shared" si="18"/>
        <v>2236.5</v>
      </c>
    </row>
    <row r="565" spans="1:5" x14ac:dyDescent="0.25">
      <c r="A565" s="45" t="s">
        <v>796</v>
      </c>
      <c r="B565" s="24">
        <f>'Прайс для расчета'!E565</f>
        <v>2982</v>
      </c>
      <c r="C565" s="108">
        <f t="shared" si="16"/>
        <v>0.5</v>
      </c>
      <c r="D565" s="46"/>
      <c r="E565" s="46">
        <f t="shared" si="18"/>
        <v>1491</v>
      </c>
    </row>
    <row r="566" spans="1:5" x14ac:dyDescent="0.25">
      <c r="A566" s="45" t="s">
        <v>797</v>
      </c>
      <c r="B566" s="24">
        <f>'Прайс для расчета'!E566</f>
        <v>4473</v>
      </c>
      <c r="C566" s="108">
        <f t="shared" si="16"/>
        <v>0.5</v>
      </c>
      <c r="D566" s="46"/>
      <c r="E566" s="46">
        <f t="shared" si="18"/>
        <v>2236.5</v>
      </c>
    </row>
    <row r="567" spans="1:5" x14ac:dyDescent="0.25">
      <c r="A567" s="45" t="s">
        <v>798</v>
      </c>
      <c r="B567" s="24">
        <f>'Прайс для расчета'!E567</f>
        <v>8051.4000000000005</v>
      </c>
      <c r="C567" s="108">
        <f t="shared" si="16"/>
        <v>0.5</v>
      </c>
      <c r="D567" s="46"/>
      <c r="E567" s="46">
        <f t="shared" si="18"/>
        <v>4025.7000000000003</v>
      </c>
    </row>
    <row r="568" spans="1:5" x14ac:dyDescent="0.25">
      <c r="A568" s="45" t="s">
        <v>799</v>
      </c>
      <c r="B568" s="24">
        <f>'Прайс для расчета'!E568</f>
        <v>8051.4000000000005</v>
      </c>
      <c r="C568" s="108">
        <f t="shared" si="16"/>
        <v>0.5</v>
      </c>
      <c r="D568" s="46"/>
      <c r="E568" s="46">
        <f t="shared" si="18"/>
        <v>4025.7000000000003</v>
      </c>
    </row>
    <row r="569" spans="1:5" x14ac:dyDescent="0.25">
      <c r="A569" s="45" t="s">
        <v>800</v>
      </c>
      <c r="B569" s="24">
        <f>'Прайс для расчета'!E569</f>
        <v>2683.8</v>
      </c>
      <c r="C569" s="108">
        <f t="shared" si="16"/>
        <v>0.5</v>
      </c>
      <c r="D569" s="46"/>
      <c r="E569" s="46">
        <f t="shared" si="18"/>
        <v>1341.9</v>
      </c>
    </row>
    <row r="570" spans="1:5" x14ac:dyDescent="0.25">
      <c r="A570" s="45" t="s">
        <v>801</v>
      </c>
      <c r="B570" s="24">
        <f>'Прайс для расчета'!E570</f>
        <v>8051.4000000000005</v>
      </c>
      <c r="C570" s="108">
        <f t="shared" si="16"/>
        <v>0.5</v>
      </c>
      <c r="D570" s="46"/>
      <c r="E570" s="46">
        <f t="shared" si="18"/>
        <v>4025.7000000000003</v>
      </c>
    </row>
    <row r="571" spans="1:5" x14ac:dyDescent="0.25">
      <c r="A571" s="45" t="s">
        <v>802</v>
      </c>
      <c r="B571" s="24">
        <f>'Прайс для расчета'!E571</f>
        <v>2683.8</v>
      </c>
      <c r="C571" s="108">
        <f t="shared" si="16"/>
        <v>0.5</v>
      </c>
      <c r="D571" s="46"/>
      <c r="E571" s="46">
        <f t="shared" si="18"/>
        <v>1341.9</v>
      </c>
    </row>
    <row r="572" spans="1:5" x14ac:dyDescent="0.25">
      <c r="A572" s="45" t="s">
        <v>803</v>
      </c>
      <c r="B572" s="24">
        <f>'Прайс для расчета'!E572</f>
        <v>111.825</v>
      </c>
      <c r="C572" s="108">
        <f t="shared" si="16"/>
        <v>0.5</v>
      </c>
      <c r="D572" s="46"/>
      <c r="E572" s="46">
        <f t="shared" si="18"/>
        <v>55.912500000000001</v>
      </c>
    </row>
    <row r="573" spans="1:5" x14ac:dyDescent="0.25">
      <c r="A573" s="45" t="s">
        <v>804</v>
      </c>
      <c r="B573" s="24">
        <f>'Прайс для расчета'!E573</f>
        <v>89.46</v>
      </c>
      <c r="C573" s="108">
        <f t="shared" si="16"/>
        <v>0.5</v>
      </c>
      <c r="D573" s="46"/>
      <c r="E573" s="46">
        <f t="shared" si="18"/>
        <v>44.73</v>
      </c>
    </row>
    <row r="574" spans="1:5" x14ac:dyDescent="0.25">
      <c r="A574" s="45" t="s">
        <v>805</v>
      </c>
      <c r="B574" s="24">
        <f>'Прайс для расчета'!E574</f>
        <v>44.73</v>
      </c>
      <c r="C574" s="108">
        <f t="shared" si="16"/>
        <v>0.5</v>
      </c>
      <c r="D574" s="46"/>
      <c r="E574" s="46">
        <f t="shared" si="18"/>
        <v>22.364999999999998</v>
      </c>
    </row>
    <row r="575" spans="1:5" x14ac:dyDescent="0.25">
      <c r="A575" s="45" t="s">
        <v>168</v>
      </c>
      <c r="B575" s="24">
        <f>'Прайс для расчета'!E575</f>
        <v>223.65</v>
      </c>
      <c r="C575" s="108">
        <f t="shared" si="16"/>
        <v>0.5</v>
      </c>
      <c r="D575" s="46"/>
      <c r="E575" s="46">
        <f t="shared" si="18"/>
        <v>111.825</v>
      </c>
    </row>
    <row r="576" spans="1:5" x14ac:dyDescent="0.25">
      <c r="A576" s="45" t="s">
        <v>807</v>
      </c>
      <c r="B576" s="24">
        <f>'Прайс для расчета'!E576</f>
        <v>2683.8</v>
      </c>
      <c r="C576" s="108">
        <f t="shared" si="16"/>
        <v>0.5</v>
      </c>
      <c r="D576" s="43"/>
      <c r="E576" s="24">
        <f t="shared" si="18"/>
        <v>1341.9</v>
      </c>
    </row>
    <row r="577" spans="1:5" x14ac:dyDescent="0.25">
      <c r="A577" s="50" t="s">
        <v>929</v>
      </c>
      <c r="B577" s="24">
        <f>'Прайс для расчета'!E577</f>
        <v>1491</v>
      </c>
      <c r="C577" s="108">
        <f t="shared" si="16"/>
        <v>0.5</v>
      </c>
      <c r="D577" s="43"/>
      <c r="E577" s="24">
        <f t="shared" si="18"/>
        <v>745.5</v>
      </c>
    </row>
    <row r="578" spans="1:5" x14ac:dyDescent="0.25">
      <c r="A578" s="50" t="s">
        <v>927</v>
      </c>
      <c r="B578" s="24">
        <f>'Прайс для расчета'!E578</f>
        <v>46593.75</v>
      </c>
      <c r="C578" s="108">
        <f t="shared" si="16"/>
        <v>0.5</v>
      </c>
      <c r="D578" s="43"/>
      <c r="E578" s="24">
        <f t="shared" si="18"/>
        <v>23296.875</v>
      </c>
    </row>
    <row r="579" spans="1:5" x14ac:dyDescent="0.25">
      <c r="A579" s="50" t="s">
        <v>592</v>
      </c>
      <c r="B579" s="24">
        <f>'Прайс для расчета'!E579</f>
        <v>178.92</v>
      </c>
      <c r="C579" s="108">
        <f t="shared" si="16"/>
        <v>0.5</v>
      </c>
      <c r="D579" s="43"/>
      <c r="E579" s="24">
        <f t="shared" si="18"/>
        <v>89.46</v>
      </c>
    </row>
    <row r="580" spans="1:5" x14ac:dyDescent="0.25">
      <c r="A580" s="50" t="s">
        <v>246</v>
      </c>
      <c r="B580" s="24">
        <f>'Прайс для расчета'!E580</f>
        <v>447.3</v>
      </c>
      <c r="C580" s="108">
        <f t="shared" si="16"/>
        <v>0.5</v>
      </c>
      <c r="D580" s="43"/>
      <c r="E580" s="24">
        <f t="shared" si="18"/>
        <v>223.65</v>
      </c>
    </row>
    <row r="581" spans="1:5" x14ac:dyDescent="0.25">
      <c r="A581" s="50" t="s">
        <v>209</v>
      </c>
      <c r="B581" s="24">
        <f>'Прайс для расчета'!E581</f>
        <v>11182.5</v>
      </c>
      <c r="C581" s="108">
        <f t="shared" ref="C581:C644" si="19">$D$3</f>
        <v>0.5</v>
      </c>
      <c r="D581" s="43"/>
      <c r="E581" s="24">
        <f t="shared" si="18"/>
        <v>5591.25</v>
      </c>
    </row>
    <row r="582" spans="1:5" x14ac:dyDescent="0.25">
      <c r="A582" s="50" t="s">
        <v>265</v>
      </c>
      <c r="B582" s="24">
        <f>'Прайс для расчета'!E582</f>
        <v>18637.5</v>
      </c>
      <c r="C582" s="108">
        <f t="shared" si="19"/>
        <v>0.5</v>
      </c>
      <c r="D582" s="43"/>
      <c r="E582" s="24">
        <f t="shared" si="18"/>
        <v>9318.75</v>
      </c>
    </row>
    <row r="583" spans="1:5" x14ac:dyDescent="0.25">
      <c r="A583" s="50" t="s">
        <v>907</v>
      </c>
      <c r="B583" s="24">
        <f>'Прайс для расчета'!E583</f>
        <v>19383</v>
      </c>
      <c r="C583" s="108">
        <f t="shared" si="19"/>
        <v>0.5</v>
      </c>
      <c r="D583" s="43"/>
      <c r="E583" s="24">
        <f t="shared" si="18"/>
        <v>9691.5</v>
      </c>
    </row>
    <row r="584" spans="1:5" x14ac:dyDescent="0.25">
      <c r="A584" s="50" t="s">
        <v>908</v>
      </c>
      <c r="B584" s="24">
        <f>'Прайс для расчета'!E584</f>
        <v>20128.5</v>
      </c>
      <c r="C584" s="108">
        <f t="shared" si="19"/>
        <v>0.5</v>
      </c>
      <c r="D584" s="43"/>
      <c r="E584" s="24">
        <f t="shared" si="18"/>
        <v>10064.25</v>
      </c>
    </row>
    <row r="585" spans="1:5" x14ac:dyDescent="0.25">
      <c r="A585" s="50" t="s">
        <v>909</v>
      </c>
      <c r="B585" s="24">
        <f>'Прайс для расчета'!E585</f>
        <v>20874</v>
      </c>
      <c r="C585" s="108">
        <f t="shared" si="19"/>
        <v>0.5</v>
      </c>
      <c r="D585" s="43"/>
      <c r="E585" s="24">
        <f t="shared" si="18"/>
        <v>10437</v>
      </c>
    </row>
    <row r="586" spans="1:5" x14ac:dyDescent="0.25">
      <c r="A586" s="50" t="s">
        <v>910</v>
      </c>
      <c r="B586" s="24">
        <f>'Прайс для расчета'!E586</f>
        <v>20128.5</v>
      </c>
      <c r="C586" s="108">
        <f t="shared" si="19"/>
        <v>0.5</v>
      </c>
      <c r="D586" s="43"/>
      <c r="E586" s="24">
        <f t="shared" si="18"/>
        <v>10064.25</v>
      </c>
    </row>
    <row r="587" spans="1:5" x14ac:dyDescent="0.25">
      <c r="A587" s="50" t="s">
        <v>594</v>
      </c>
      <c r="B587" s="24">
        <f>'Прайс для расчета'!E587</f>
        <v>14910</v>
      </c>
      <c r="C587" s="108">
        <f t="shared" si="19"/>
        <v>0.5</v>
      </c>
      <c r="D587" s="43"/>
      <c r="E587" s="24">
        <f t="shared" si="18"/>
        <v>7455</v>
      </c>
    </row>
    <row r="588" spans="1:5" x14ac:dyDescent="0.25">
      <c r="A588" s="50" t="s">
        <v>911</v>
      </c>
      <c r="B588" s="24">
        <f>'Прайс для расчета'!E588</f>
        <v>10437</v>
      </c>
      <c r="C588" s="108">
        <f t="shared" si="19"/>
        <v>0.5</v>
      </c>
      <c r="D588" s="43"/>
      <c r="E588" s="24">
        <f t="shared" si="18"/>
        <v>5218.5</v>
      </c>
    </row>
    <row r="589" spans="1:5" x14ac:dyDescent="0.25">
      <c r="A589" s="50" t="s">
        <v>6</v>
      </c>
      <c r="B589" s="24">
        <f>'Прайс для расчета'!E589</f>
        <v>2236.5</v>
      </c>
      <c r="C589" s="108">
        <f t="shared" si="19"/>
        <v>0.5</v>
      </c>
      <c r="D589" s="43"/>
      <c r="E589" s="24">
        <f t="shared" si="18"/>
        <v>1118.25</v>
      </c>
    </row>
    <row r="590" spans="1:5" x14ac:dyDescent="0.25">
      <c r="A590" s="50" t="s">
        <v>7</v>
      </c>
      <c r="B590" s="24">
        <f>'Прайс для расчета'!E590</f>
        <v>1043.7</v>
      </c>
      <c r="C590" s="108">
        <f t="shared" si="19"/>
        <v>0.5</v>
      </c>
      <c r="D590" s="43"/>
      <c r="E590" s="24">
        <f t="shared" si="18"/>
        <v>521.85</v>
      </c>
    </row>
    <row r="591" spans="1:5" x14ac:dyDescent="0.25">
      <c r="A591" s="50" t="s">
        <v>912</v>
      </c>
      <c r="B591" s="24">
        <f>'Прайс для расчета'!E591</f>
        <v>1043.7</v>
      </c>
      <c r="C591" s="108">
        <f t="shared" si="19"/>
        <v>0.5</v>
      </c>
      <c r="D591" s="43"/>
      <c r="E591" s="24">
        <f t="shared" si="18"/>
        <v>521.85</v>
      </c>
    </row>
    <row r="592" spans="1:5" x14ac:dyDescent="0.25">
      <c r="A592" s="50" t="s">
        <v>913</v>
      </c>
      <c r="B592" s="24">
        <f>'Прайс для расчета'!E592</f>
        <v>2907.4500000000003</v>
      </c>
      <c r="C592" s="108">
        <f t="shared" si="19"/>
        <v>0.5</v>
      </c>
      <c r="D592" s="43"/>
      <c r="E592" s="24">
        <f t="shared" si="18"/>
        <v>1453.7250000000001</v>
      </c>
    </row>
    <row r="593" spans="1:5" x14ac:dyDescent="0.25">
      <c r="A593" s="50" t="s">
        <v>9</v>
      </c>
      <c r="B593" s="24">
        <f>'Прайс для расчета'!E593</f>
        <v>1491</v>
      </c>
      <c r="C593" s="108">
        <f t="shared" si="19"/>
        <v>0.5</v>
      </c>
      <c r="D593" s="43"/>
      <c r="E593" s="24">
        <f t="shared" si="18"/>
        <v>745.5</v>
      </c>
    </row>
    <row r="594" spans="1:5" x14ac:dyDescent="0.25">
      <c r="A594" s="50" t="s">
        <v>106</v>
      </c>
      <c r="B594" s="24">
        <f>'Прайс для расчета'!E594</f>
        <v>11928</v>
      </c>
      <c r="C594" s="108">
        <f t="shared" si="19"/>
        <v>0.5</v>
      </c>
      <c r="D594" s="43"/>
      <c r="E594" s="24">
        <f t="shared" si="18"/>
        <v>5964</v>
      </c>
    </row>
    <row r="595" spans="1:5" x14ac:dyDescent="0.25">
      <c r="A595" s="50" t="s">
        <v>595</v>
      </c>
      <c r="B595" s="24">
        <f>'Прайс для расчета'!E595</f>
        <v>2236.5</v>
      </c>
      <c r="C595" s="108">
        <f t="shared" si="19"/>
        <v>0.5</v>
      </c>
      <c r="D595" s="43"/>
      <c r="E595" s="24">
        <f t="shared" si="18"/>
        <v>1118.25</v>
      </c>
    </row>
    <row r="596" spans="1:5" x14ac:dyDescent="0.25">
      <c r="A596" s="50" t="s">
        <v>596</v>
      </c>
      <c r="B596" s="24">
        <f>'Прайс для расчета'!E596</f>
        <v>894.6</v>
      </c>
      <c r="C596" s="108">
        <f t="shared" si="19"/>
        <v>0.5</v>
      </c>
      <c r="D596" s="43"/>
      <c r="E596" s="24">
        <f t="shared" si="18"/>
        <v>447.3</v>
      </c>
    </row>
    <row r="597" spans="1:5" x14ac:dyDescent="0.25">
      <c r="A597" s="50" t="s">
        <v>108</v>
      </c>
      <c r="B597" s="24">
        <f>'Прайс для расчета'!E597</f>
        <v>22365</v>
      </c>
      <c r="C597" s="108">
        <f t="shared" si="19"/>
        <v>0.5</v>
      </c>
      <c r="D597" s="43"/>
      <c r="E597" s="24">
        <f t="shared" si="18"/>
        <v>11182.5</v>
      </c>
    </row>
    <row r="598" spans="1:5" x14ac:dyDescent="0.25">
      <c r="A598" s="50" t="s">
        <v>597</v>
      </c>
      <c r="B598" s="24">
        <f>'Прайс для расчета'!E598</f>
        <v>2236.5</v>
      </c>
      <c r="C598" s="108">
        <f t="shared" si="19"/>
        <v>0.5</v>
      </c>
      <c r="D598" s="43"/>
      <c r="E598" s="24">
        <f t="shared" si="18"/>
        <v>1118.25</v>
      </c>
    </row>
    <row r="599" spans="1:5" x14ac:dyDescent="0.25">
      <c r="A599" s="50" t="s">
        <v>598</v>
      </c>
      <c r="B599" s="24">
        <f>'Прайс для расчета'!E599</f>
        <v>894.6</v>
      </c>
      <c r="C599" s="108">
        <f t="shared" si="19"/>
        <v>0.5</v>
      </c>
      <c r="D599" s="43"/>
      <c r="E599" s="24">
        <f t="shared" si="18"/>
        <v>447.3</v>
      </c>
    </row>
    <row r="600" spans="1:5" x14ac:dyDescent="0.25">
      <c r="A600" s="50" t="s">
        <v>599</v>
      </c>
      <c r="B600" s="24">
        <f>'Прайс для расчета'!E600</f>
        <v>1118.25</v>
      </c>
      <c r="C600" s="108">
        <f t="shared" si="19"/>
        <v>0.5</v>
      </c>
      <c r="D600" s="43"/>
      <c r="E600" s="24">
        <f t="shared" si="18"/>
        <v>559.125</v>
      </c>
    </row>
    <row r="601" spans="1:5" x14ac:dyDescent="0.25">
      <c r="A601" s="50" t="s">
        <v>600</v>
      </c>
      <c r="B601" s="24">
        <f>'Прайс для расчета'!E601</f>
        <v>9691.5</v>
      </c>
      <c r="C601" s="108">
        <f t="shared" si="19"/>
        <v>0.5</v>
      </c>
      <c r="D601" s="43"/>
      <c r="E601" s="24">
        <f t="shared" si="18"/>
        <v>4845.75</v>
      </c>
    </row>
    <row r="602" spans="1:5" x14ac:dyDescent="0.25">
      <c r="A602" s="50" t="s">
        <v>601</v>
      </c>
      <c r="B602" s="24">
        <f>'Прайс для расчета'!E602</f>
        <v>8200.5</v>
      </c>
      <c r="C602" s="108">
        <f t="shared" si="19"/>
        <v>0.5</v>
      </c>
      <c r="D602" s="43"/>
      <c r="E602" s="24">
        <f t="shared" si="18"/>
        <v>4100.25</v>
      </c>
    </row>
    <row r="603" spans="1:5" x14ac:dyDescent="0.25">
      <c r="A603" s="50" t="s">
        <v>914</v>
      </c>
      <c r="B603" s="24">
        <f>'Прайс для расчета'!E603</f>
        <v>10437</v>
      </c>
      <c r="C603" s="108">
        <f t="shared" si="19"/>
        <v>0.5</v>
      </c>
      <c r="D603" s="43"/>
      <c r="E603" s="24">
        <f>IF(D603=0,B603*C603,B603*D603)</f>
        <v>5218.5</v>
      </c>
    </row>
    <row r="604" spans="1:5" x14ac:dyDescent="0.25">
      <c r="A604" s="50" t="s">
        <v>915</v>
      </c>
      <c r="B604" s="24">
        <f>'Прайс для расчета'!E604</f>
        <v>8946</v>
      </c>
      <c r="C604" s="108">
        <f t="shared" si="19"/>
        <v>0.5</v>
      </c>
      <c r="D604" s="43"/>
      <c r="E604" s="24">
        <f t="shared" ref="E604:E667" si="20">IF(D604=0,B604*C604,B604*D604)</f>
        <v>4473</v>
      </c>
    </row>
    <row r="605" spans="1:5" x14ac:dyDescent="0.25">
      <c r="A605" s="50" t="s">
        <v>916</v>
      </c>
      <c r="B605" s="24">
        <f>'Прайс для расчета'!E605</f>
        <v>6709.5</v>
      </c>
      <c r="C605" s="108">
        <f t="shared" si="19"/>
        <v>0.5</v>
      </c>
      <c r="D605" s="43"/>
      <c r="E605" s="24">
        <f t="shared" si="20"/>
        <v>3354.75</v>
      </c>
    </row>
    <row r="606" spans="1:5" x14ac:dyDescent="0.25">
      <c r="A606" s="50" t="s">
        <v>917</v>
      </c>
      <c r="B606" s="24">
        <f>'Прайс для расчета'!E606</f>
        <v>6709.5</v>
      </c>
      <c r="C606" s="108">
        <f t="shared" si="19"/>
        <v>0.5</v>
      </c>
      <c r="D606" s="43"/>
      <c r="E606" s="24">
        <f t="shared" si="20"/>
        <v>3354.75</v>
      </c>
    </row>
    <row r="607" spans="1:5" x14ac:dyDescent="0.25">
      <c r="A607" s="50" t="s">
        <v>918</v>
      </c>
      <c r="B607" s="24">
        <f>'Прайс для расчета'!E607</f>
        <v>2236.5</v>
      </c>
      <c r="C607" s="108">
        <f t="shared" si="19"/>
        <v>0.5</v>
      </c>
      <c r="D607" s="43"/>
      <c r="E607" s="24">
        <f t="shared" si="20"/>
        <v>1118.25</v>
      </c>
    </row>
    <row r="608" spans="1:5" x14ac:dyDescent="0.25">
      <c r="A608" s="50" t="s">
        <v>278</v>
      </c>
      <c r="B608" s="24">
        <f>'Прайс для расчета'!E608</f>
        <v>1341.9</v>
      </c>
      <c r="C608" s="108">
        <f t="shared" si="19"/>
        <v>0.5</v>
      </c>
      <c r="D608" s="43"/>
      <c r="E608" s="24">
        <f t="shared" si="20"/>
        <v>670.95</v>
      </c>
    </row>
    <row r="609" spans="1:5" x14ac:dyDescent="0.25">
      <c r="A609" s="50" t="s">
        <v>602</v>
      </c>
      <c r="B609" s="24">
        <f>'Прайс для расчета'!E609</f>
        <v>1118.25</v>
      </c>
      <c r="C609" s="108">
        <f t="shared" si="19"/>
        <v>0.5</v>
      </c>
      <c r="D609" s="43"/>
      <c r="E609" s="24">
        <f t="shared" si="20"/>
        <v>559.125</v>
      </c>
    </row>
    <row r="610" spans="1:5" x14ac:dyDescent="0.25">
      <c r="A610" s="50" t="s">
        <v>243</v>
      </c>
      <c r="B610" s="24">
        <f>'Прайс для расчета'!E610</f>
        <v>1968.12</v>
      </c>
      <c r="C610" s="108">
        <f t="shared" si="19"/>
        <v>0.5</v>
      </c>
      <c r="D610" s="43"/>
      <c r="E610" s="24">
        <f t="shared" si="20"/>
        <v>984.06</v>
      </c>
    </row>
    <row r="611" spans="1:5" x14ac:dyDescent="0.25">
      <c r="A611" s="50" t="s">
        <v>244</v>
      </c>
      <c r="B611" s="24">
        <f>'Прайс для расчета'!E611</f>
        <v>1431.36</v>
      </c>
      <c r="C611" s="108">
        <f t="shared" si="19"/>
        <v>0.5</v>
      </c>
      <c r="D611" s="43"/>
      <c r="E611" s="24">
        <f t="shared" si="20"/>
        <v>715.68</v>
      </c>
    </row>
    <row r="612" spans="1:5" x14ac:dyDescent="0.25">
      <c r="A612" s="50" t="s">
        <v>725</v>
      </c>
      <c r="B612" s="24">
        <f>'Прайс для расчета'!E612</f>
        <v>894.6</v>
      </c>
      <c r="C612" s="108">
        <f t="shared" si="19"/>
        <v>0.5</v>
      </c>
      <c r="D612" s="43"/>
      <c r="E612" s="24">
        <f t="shared" si="20"/>
        <v>447.3</v>
      </c>
    </row>
    <row r="613" spans="1:5" x14ac:dyDescent="0.25">
      <c r="A613" s="50" t="s">
        <v>66</v>
      </c>
      <c r="B613" s="24">
        <f>'Прайс для расчета'!E613</f>
        <v>3578.4</v>
      </c>
      <c r="C613" s="108">
        <f t="shared" si="19"/>
        <v>0.5</v>
      </c>
      <c r="D613" s="43"/>
      <c r="E613" s="24">
        <f t="shared" si="20"/>
        <v>1789.2</v>
      </c>
    </row>
    <row r="614" spans="1:5" x14ac:dyDescent="0.25">
      <c r="A614" s="50" t="s">
        <v>67</v>
      </c>
      <c r="B614" s="24">
        <f>'Прайс для расчета'!E614</f>
        <v>1789.2</v>
      </c>
      <c r="C614" s="108">
        <f t="shared" si="19"/>
        <v>0.5</v>
      </c>
      <c r="D614" s="43"/>
      <c r="E614" s="24">
        <f t="shared" si="20"/>
        <v>894.6</v>
      </c>
    </row>
    <row r="615" spans="1:5" x14ac:dyDescent="0.25">
      <c r="A615" s="50" t="s">
        <v>603</v>
      </c>
      <c r="B615" s="24">
        <f>'Прайс для расчета'!E615</f>
        <v>1043.7</v>
      </c>
      <c r="C615" s="108">
        <f t="shared" si="19"/>
        <v>0.5</v>
      </c>
      <c r="D615" s="43"/>
      <c r="E615" s="24">
        <f t="shared" si="20"/>
        <v>521.85</v>
      </c>
    </row>
    <row r="616" spans="1:5" x14ac:dyDescent="0.25">
      <c r="A616" s="50" t="s">
        <v>273</v>
      </c>
      <c r="B616" s="24">
        <f>'Прайс для расчета'!E616</f>
        <v>2982</v>
      </c>
      <c r="C616" s="108">
        <f t="shared" si="19"/>
        <v>0.5</v>
      </c>
      <c r="D616" s="43"/>
      <c r="E616" s="24">
        <f t="shared" si="20"/>
        <v>1491</v>
      </c>
    </row>
    <row r="617" spans="1:5" x14ac:dyDescent="0.25">
      <c r="A617" s="50" t="s">
        <v>211</v>
      </c>
      <c r="B617" s="24">
        <f>'Прайс для расчета'!E617</f>
        <v>1491</v>
      </c>
      <c r="C617" s="108">
        <f t="shared" si="19"/>
        <v>0.5</v>
      </c>
      <c r="D617" s="43"/>
      <c r="E617" s="24">
        <f t="shared" si="20"/>
        <v>745.5</v>
      </c>
    </row>
    <row r="618" spans="1:5" x14ac:dyDescent="0.25">
      <c r="A618" s="50" t="s">
        <v>604</v>
      </c>
      <c r="B618" s="24">
        <f>'Прайс для расчета'!E618</f>
        <v>596.4</v>
      </c>
      <c r="C618" s="108">
        <f t="shared" si="19"/>
        <v>0.5</v>
      </c>
      <c r="D618" s="43"/>
      <c r="E618" s="24">
        <f t="shared" si="20"/>
        <v>298.2</v>
      </c>
    </row>
    <row r="619" spans="1:5" x14ac:dyDescent="0.25">
      <c r="A619" s="50" t="s">
        <v>605</v>
      </c>
      <c r="B619" s="24">
        <f>'Прайс для расчета'!E619</f>
        <v>1118.25</v>
      </c>
      <c r="C619" s="108">
        <f t="shared" si="19"/>
        <v>0.5</v>
      </c>
      <c r="D619" s="43"/>
      <c r="E619" s="24">
        <f t="shared" si="20"/>
        <v>559.125</v>
      </c>
    </row>
    <row r="620" spans="1:5" x14ac:dyDescent="0.25">
      <c r="A620" s="50" t="s">
        <v>606</v>
      </c>
      <c r="B620" s="24">
        <f>'Прайс для расчета'!E620</f>
        <v>447.3</v>
      </c>
      <c r="C620" s="108">
        <f t="shared" si="19"/>
        <v>0.5</v>
      </c>
      <c r="D620" s="43"/>
      <c r="E620" s="24">
        <f t="shared" si="20"/>
        <v>223.65</v>
      </c>
    </row>
    <row r="621" spans="1:5" x14ac:dyDescent="0.25">
      <c r="A621" s="50" t="s">
        <v>607</v>
      </c>
      <c r="B621" s="24">
        <f>'Прайс для расчета'!E621</f>
        <v>596.4</v>
      </c>
      <c r="C621" s="108">
        <f t="shared" si="19"/>
        <v>0.5</v>
      </c>
      <c r="D621" s="43"/>
      <c r="E621" s="24">
        <f t="shared" si="20"/>
        <v>298.2</v>
      </c>
    </row>
    <row r="622" spans="1:5" x14ac:dyDescent="0.25">
      <c r="A622" s="50" t="s">
        <v>608</v>
      </c>
      <c r="B622" s="24">
        <f>'Прайс для расчета'!E622</f>
        <v>1192.8</v>
      </c>
      <c r="C622" s="108">
        <f t="shared" si="19"/>
        <v>0.5</v>
      </c>
      <c r="D622" s="43"/>
      <c r="E622" s="24">
        <f t="shared" si="20"/>
        <v>596.4</v>
      </c>
    </row>
    <row r="623" spans="1:5" x14ac:dyDescent="0.25">
      <c r="A623" s="50" t="s">
        <v>68</v>
      </c>
      <c r="B623" s="24">
        <f>'Прайс для расчета'!E623</f>
        <v>447.3</v>
      </c>
      <c r="C623" s="108">
        <f t="shared" si="19"/>
        <v>0.5</v>
      </c>
      <c r="D623" s="43"/>
      <c r="E623" s="24">
        <f t="shared" si="20"/>
        <v>223.65</v>
      </c>
    </row>
    <row r="624" spans="1:5" x14ac:dyDescent="0.25">
      <c r="A624" s="50" t="s">
        <v>69</v>
      </c>
      <c r="B624" s="24">
        <f>'Прайс для расчета'!E624</f>
        <v>357.84</v>
      </c>
      <c r="C624" s="108">
        <f t="shared" si="19"/>
        <v>0.5</v>
      </c>
      <c r="D624" s="43"/>
      <c r="E624" s="24">
        <f t="shared" si="20"/>
        <v>178.92</v>
      </c>
    </row>
    <row r="625" spans="1:5" x14ac:dyDescent="0.25">
      <c r="A625" s="50" t="s">
        <v>70</v>
      </c>
      <c r="B625" s="24">
        <f>'Прайс для расчета'!E625</f>
        <v>208.73999999999998</v>
      </c>
      <c r="C625" s="108">
        <f t="shared" si="19"/>
        <v>0.5</v>
      </c>
      <c r="D625" s="43"/>
      <c r="E625" s="24">
        <f t="shared" si="20"/>
        <v>104.36999999999999</v>
      </c>
    </row>
    <row r="626" spans="1:5" x14ac:dyDescent="0.25">
      <c r="A626" s="50" t="s">
        <v>609</v>
      </c>
      <c r="B626" s="24">
        <f>'Прайс для расчета'!E626</f>
        <v>6709.5</v>
      </c>
      <c r="C626" s="108">
        <f t="shared" si="19"/>
        <v>0.5</v>
      </c>
      <c r="D626" s="43"/>
      <c r="E626" s="24">
        <f t="shared" si="20"/>
        <v>3354.75</v>
      </c>
    </row>
    <row r="627" spans="1:5" x14ac:dyDescent="0.25">
      <c r="A627" s="50" t="s">
        <v>610</v>
      </c>
      <c r="B627" s="24">
        <f>'Прайс для расчета'!E627</f>
        <v>7455</v>
      </c>
      <c r="C627" s="108">
        <f t="shared" si="19"/>
        <v>0.5</v>
      </c>
      <c r="D627" s="43"/>
      <c r="E627" s="24">
        <f t="shared" si="20"/>
        <v>3727.5</v>
      </c>
    </row>
    <row r="628" spans="1:5" x14ac:dyDescent="0.25">
      <c r="A628" s="50" t="s">
        <v>611</v>
      </c>
      <c r="B628" s="24">
        <f>'Прайс для расчета'!E628</f>
        <v>8200.5</v>
      </c>
      <c r="C628" s="108">
        <f t="shared" si="19"/>
        <v>0.5</v>
      </c>
      <c r="D628" s="43"/>
      <c r="E628" s="24">
        <f t="shared" si="20"/>
        <v>4100.25</v>
      </c>
    </row>
    <row r="629" spans="1:5" x14ac:dyDescent="0.25">
      <c r="A629" s="50" t="s">
        <v>612</v>
      </c>
      <c r="B629" s="24">
        <f>'Прайс для расчета'!E629</f>
        <v>8946</v>
      </c>
      <c r="C629" s="108">
        <f t="shared" si="19"/>
        <v>0.5</v>
      </c>
      <c r="D629" s="43"/>
      <c r="E629" s="24">
        <f t="shared" si="20"/>
        <v>4473</v>
      </c>
    </row>
    <row r="630" spans="1:5" x14ac:dyDescent="0.25">
      <c r="A630" s="50" t="s">
        <v>613</v>
      </c>
      <c r="B630" s="24">
        <f>'Прайс для расчета'!E630</f>
        <v>8946</v>
      </c>
      <c r="C630" s="108">
        <f t="shared" si="19"/>
        <v>0.5</v>
      </c>
      <c r="D630" s="43"/>
      <c r="E630" s="24">
        <f t="shared" si="20"/>
        <v>4473</v>
      </c>
    </row>
    <row r="631" spans="1:5" x14ac:dyDescent="0.25">
      <c r="A631" s="50" t="s">
        <v>614</v>
      </c>
      <c r="B631" s="24">
        <f>'Прайс для расчета'!E631</f>
        <v>8946</v>
      </c>
      <c r="C631" s="108">
        <f t="shared" si="19"/>
        <v>0.5</v>
      </c>
      <c r="D631" s="43"/>
      <c r="E631" s="24">
        <f t="shared" si="20"/>
        <v>4473</v>
      </c>
    </row>
    <row r="632" spans="1:5" x14ac:dyDescent="0.25">
      <c r="A632" s="50" t="s">
        <v>615</v>
      </c>
      <c r="B632" s="24">
        <f>'Прайс для расчета'!E632</f>
        <v>10735.2</v>
      </c>
      <c r="C632" s="108">
        <f t="shared" si="19"/>
        <v>0.5</v>
      </c>
      <c r="D632" s="43"/>
      <c r="E632" s="24">
        <f t="shared" si="20"/>
        <v>5367.6</v>
      </c>
    </row>
    <row r="633" spans="1:5" x14ac:dyDescent="0.25">
      <c r="A633" s="50" t="s">
        <v>253</v>
      </c>
      <c r="B633" s="24">
        <f>'Прайс для расчета'!E633</f>
        <v>5218.5</v>
      </c>
      <c r="C633" s="108">
        <f t="shared" si="19"/>
        <v>0.5</v>
      </c>
      <c r="D633" s="43"/>
      <c r="E633" s="24">
        <f t="shared" si="20"/>
        <v>2609.25</v>
      </c>
    </row>
    <row r="634" spans="1:5" x14ac:dyDescent="0.25">
      <c r="A634" s="50" t="s">
        <v>78</v>
      </c>
      <c r="B634" s="24">
        <f>'Прайс для расчета'!E634</f>
        <v>5218.5</v>
      </c>
      <c r="C634" s="108">
        <f t="shared" si="19"/>
        <v>0.5</v>
      </c>
      <c r="D634" s="43"/>
      <c r="E634" s="24">
        <f t="shared" si="20"/>
        <v>2609.25</v>
      </c>
    </row>
    <row r="635" spans="1:5" x14ac:dyDescent="0.25">
      <c r="A635" s="50" t="s">
        <v>616</v>
      </c>
      <c r="B635" s="24">
        <f>'Прайс для расчета'!E635</f>
        <v>1997.94</v>
      </c>
      <c r="C635" s="108">
        <f t="shared" si="19"/>
        <v>0.5</v>
      </c>
      <c r="D635" s="43"/>
      <c r="E635" s="24">
        <f t="shared" si="20"/>
        <v>998.97</v>
      </c>
    </row>
    <row r="636" spans="1:5" x14ac:dyDescent="0.25">
      <c r="A636" s="50" t="s">
        <v>617</v>
      </c>
      <c r="B636" s="24">
        <f>'Прайс для расчета'!E636</f>
        <v>2534.7000000000003</v>
      </c>
      <c r="C636" s="108">
        <f t="shared" si="19"/>
        <v>0.5</v>
      </c>
      <c r="D636" s="43"/>
      <c r="E636" s="24">
        <f t="shared" si="20"/>
        <v>1267.3500000000001</v>
      </c>
    </row>
    <row r="637" spans="1:5" x14ac:dyDescent="0.25">
      <c r="A637" s="50" t="s">
        <v>618</v>
      </c>
      <c r="B637" s="24">
        <f>'Прайс для расчета'!E637</f>
        <v>15655.5</v>
      </c>
      <c r="C637" s="108">
        <f t="shared" si="19"/>
        <v>0.5</v>
      </c>
      <c r="D637" s="43"/>
      <c r="E637" s="24">
        <f t="shared" si="20"/>
        <v>7827.75</v>
      </c>
    </row>
    <row r="638" spans="1:5" x14ac:dyDescent="0.25">
      <c r="A638" s="50" t="s">
        <v>619</v>
      </c>
      <c r="B638" s="24">
        <f>'Прайс для расчета'!E638</f>
        <v>17742.900000000001</v>
      </c>
      <c r="C638" s="108">
        <f t="shared" si="19"/>
        <v>0.5</v>
      </c>
      <c r="D638" s="43"/>
      <c r="E638" s="24">
        <f t="shared" si="20"/>
        <v>8871.4500000000007</v>
      </c>
    </row>
    <row r="639" spans="1:5" x14ac:dyDescent="0.25">
      <c r="A639" s="50" t="s">
        <v>620</v>
      </c>
      <c r="B639" s="24">
        <f>'Прайс для расчета'!E639</f>
        <v>19681.2</v>
      </c>
      <c r="C639" s="108">
        <f t="shared" si="19"/>
        <v>0.5</v>
      </c>
      <c r="D639" s="43"/>
      <c r="E639" s="24">
        <f t="shared" si="20"/>
        <v>9840.6</v>
      </c>
    </row>
    <row r="640" spans="1:5" x14ac:dyDescent="0.25">
      <c r="A640" s="50" t="s">
        <v>621</v>
      </c>
      <c r="B640" s="24">
        <f>'Прайс для расчета'!E640</f>
        <v>21470.400000000001</v>
      </c>
      <c r="C640" s="108">
        <f t="shared" si="19"/>
        <v>0.5</v>
      </c>
      <c r="D640" s="43"/>
      <c r="E640" s="24">
        <f t="shared" si="20"/>
        <v>10735.2</v>
      </c>
    </row>
    <row r="641" spans="1:5" x14ac:dyDescent="0.25">
      <c r="A641" s="50" t="s">
        <v>622</v>
      </c>
      <c r="B641" s="24">
        <f>'Прайс для расчета'!E641</f>
        <v>26838</v>
      </c>
      <c r="C641" s="108">
        <f t="shared" si="19"/>
        <v>0.5</v>
      </c>
      <c r="D641" s="43"/>
      <c r="E641" s="24">
        <f t="shared" si="20"/>
        <v>13419</v>
      </c>
    </row>
    <row r="642" spans="1:5" x14ac:dyDescent="0.25">
      <c r="A642" s="50" t="s">
        <v>623</v>
      </c>
      <c r="B642" s="24">
        <f>'Прайс для расчета'!E642</f>
        <v>30416.400000000001</v>
      </c>
      <c r="C642" s="108">
        <f t="shared" si="19"/>
        <v>0.5</v>
      </c>
      <c r="D642" s="43"/>
      <c r="E642" s="24">
        <f t="shared" si="20"/>
        <v>15208.2</v>
      </c>
    </row>
    <row r="643" spans="1:5" x14ac:dyDescent="0.25">
      <c r="A643" s="50" t="s">
        <v>624</v>
      </c>
      <c r="B643" s="24">
        <f>'Прайс для расчета'!E643</f>
        <v>35784</v>
      </c>
      <c r="C643" s="108">
        <f t="shared" si="19"/>
        <v>0.5</v>
      </c>
      <c r="D643" s="43"/>
      <c r="E643" s="24">
        <f t="shared" si="20"/>
        <v>17892</v>
      </c>
    </row>
    <row r="644" spans="1:5" x14ac:dyDescent="0.25">
      <c r="A644" s="50" t="s">
        <v>625</v>
      </c>
      <c r="B644" s="24">
        <f>'Прайс для расчета'!E644</f>
        <v>5218.5</v>
      </c>
      <c r="C644" s="108">
        <f t="shared" si="19"/>
        <v>0.5</v>
      </c>
      <c r="D644" s="43"/>
      <c r="E644" s="24">
        <f t="shared" si="20"/>
        <v>2609.25</v>
      </c>
    </row>
    <row r="645" spans="1:5" x14ac:dyDescent="0.25">
      <c r="A645" s="50" t="s">
        <v>274</v>
      </c>
      <c r="B645" s="24">
        <f>'Прайс для расчета'!E645</f>
        <v>4473</v>
      </c>
      <c r="C645" s="108">
        <f t="shared" ref="C645:C679" si="21">$D$3</f>
        <v>0.5</v>
      </c>
      <c r="D645" s="43"/>
      <c r="E645" s="24">
        <f t="shared" si="20"/>
        <v>2236.5</v>
      </c>
    </row>
    <row r="646" spans="1:5" x14ac:dyDescent="0.25">
      <c r="A646" s="50" t="s">
        <v>86</v>
      </c>
      <c r="B646" s="24">
        <f>'Прайс для расчета'!E646</f>
        <v>10437</v>
      </c>
      <c r="C646" s="108">
        <f t="shared" si="21"/>
        <v>0.5</v>
      </c>
      <c r="D646" s="43"/>
      <c r="E646" s="24">
        <f t="shared" si="20"/>
        <v>5218.5</v>
      </c>
    </row>
    <row r="647" spans="1:5" x14ac:dyDescent="0.25">
      <c r="A647" s="50" t="s">
        <v>626</v>
      </c>
      <c r="B647" s="24">
        <f>'Прайс для расчета'!E647</f>
        <v>1789.2</v>
      </c>
      <c r="C647" s="108">
        <f t="shared" si="21"/>
        <v>0.5</v>
      </c>
      <c r="D647" s="43"/>
      <c r="E647" s="24">
        <f t="shared" si="20"/>
        <v>894.6</v>
      </c>
    </row>
    <row r="648" spans="1:5" x14ac:dyDescent="0.25">
      <c r="A648" s="50" t="s">
        <v>256</v>
      </c>
      <c r="B648" s="24">
        <f>'Прайс для расчета'!E648</f>
        <v>268.38</v>
      </c>
      <c r="C648" s="108">
        <f t="shared" si="21"/>
        <v>0.5</v>
      </c>
      <c r="D648" s="43"/>
      <c r="E648" s="24">
        <f t="shared" si="20"/>
        <v>134.19</v>
      </c>
    </row>
    <row r="649" spans="1:5" x14ac:dyDescent="0.25">
      <c r="A649" s="50" t="s">
        <v>919</v>
      </c>
      <c r="B649" s="24">
        <f>'Прайс для расчета'!E649</f>
        <v>2832.9</v>
      </c>
      <c r="C649" s="108">
        <f t="shared" si="21"/>
        <v>0.5</v>
      </c>
      <c r="D649" s="43"/>
      <c r="E649" s="24">
        <f t="shared" si="20"/>
        <v>1416.45</v>
      </c>
    </row>
    <row r="650" spans="1:5" x14ac:dyDescent="0.25">
      <c r="A650" s="50" t="s">
        <v>627</v>
      </c>
      <c r="B650" s="24">
        <f>'Прайс для расчета'!E650</f>
        <v>2147.04</v>
      </c>
      <c r="C650" s="108">
        <f t="shared" si="21"/>
        <v>0.5</v>
      </c>
      <c r="D650" s="43"/>
      <c r="E650" s="24">
        <f t="shared" si="20"/>
        <v>1073.52</v>
      </c>
    </row>
    <row r="651" spans="1:5" x14ac:dyDescent="0.25">
      <c r="A651" s="50" t="s">
        <v>213</v>
      </c>
      <c r="B651" s="24">
        <f>'Прайс для расчета'!E651</f>
        <v>5218.5</v>
      </c>
      <c r="C651" s="108">
        <f t="shared" si="21"/>
        <v>0.5</v>
      </c>
      <c r="D651" s="43"/>
      <c r="E651" s="24">
        <f t="shared" si="20"/>
        <v>2609.25</v>
      </c>
    </row>
    <row r="652" spans="1:5" x14ac:dyDescent="0.25">
      <c r="A652" s="50" t="s">
        <v>214</v>
      </c>
      <c r="B652" s="24">
        <f>'Прайс для расчета'!E652</f>
        <v>2982</v>
      </c>
      <c r="C652" s="108">
        <f t="shared" si="21"/>
        <v>0.5</v>
      </c>
      <c r="D652" s="43"/>
      <c r="E652" s="24">
        <f t="shared" si="20"/>
        <v>1491</v>
      </c>
    </row>
    <row r="653" spans="1:5" x14ac:dyDescent="0.25">
      <c r="A653" s="50" t="s">
        <v>628</v>
      </c>
      <c r="B653" s="24">
        <f>'Прайс для расчета'!E653</f>
        <v>6709.5</v>
      </c>
      <c r="C653" s="108">
        <f t="shared" si="21"/>
        <v>0.5</v>
      </c>
      <c r="D653" s="43"/>
      <c r="E653" s="24">
        <f t="shared" si="20"/>
        <v>3354.75</v>
      </c>
    </row>
    <row r="654" spans="1:5" x14ac:dyDescent="0.25">
      <c r="A654" s="50" t="s">
        <v>88</v>
      </c>
      <c r="B654" s="24">
        <f>'Прайс для расчета'!E654</f>
        <v>5964</v>
      </c>
      <c r="C654" s="108">
        <f t="shared" si="21"/>
        <v>0.5</v>
      </c>
      <c r="D654" s="43"/>
      <c r="E654" s="24">
        <f t="shared" si="20"/>
        <v>2982</v>
      </c>
    </row>
    <row r="655" spans="1:5" x14ac:dyDescent="0.25">
      <c r="A655" s="50" t="s">
        <v>89</v>
      </c>
      <c r="B655" s="24">
        <f>'Прайс для расчета'!E655</f>
        <v>5964</v>
      </c>
      <c r="C655" s="108">
        <f t="shared" si="21"/>
        <v>0.5</v>
      </c>
      <c r="D655" s="43"/>
      <c r="E655" s="24">
        <f t="shared" si="20"/>
        <v>2982</v>
      </c>
    </row>
    <row r="656" spans="1:5" x14ac:dyDescent="0.25">
      <c r="A656" s="50" t="s">
        <v>633</v>
      </c>
      <c r="B656" s="24">
        <f>'Прайс для расчета'!E656</f>
        <v>805.14</v>
      </c>
      <c r="C656" s="108">
        <f t="shared" si="21"/>
        <v>0.5</v>
      </c>
      <c r="D656" s="43"/>
      <c r="E656" s="24">
        <f t="shared" si="20"/>
        <v>402.57</v>
      </c>
    </row>
    <row r="657" spans="1:5" x14ac:dyDescent="0.25">
      <c r="A657" s="50" t="s">
        <v>634</v>
      </c>
      <c r="B657" s="24">
        <f>'Прайс для расчета'!E657</f>
        <v>894.6</v>
      </c>
      <c r="C657" s="108">
        <f t="shared" si="21"/>
        <v>0.5</v>
      </c>
      <c r="D657" s="43"/>
      <c r="E657" s="24">
        <f t="shared" si="20"/>
        <v>447.3</v>
      </c>
    </row>
    <row r="658" spans="1:5" x14ac:dyDescent="0.25">
      <c r="A658" s="50" t="s">
        <v>635</v>
      </c>
      <c r="B658" s="24">
        <f>'Прайс для расчета'!E658</f>
        <v>298.2</v>
      </c>
      <c r="C658" s="108">
        <f t="shared" si="21"/>
        <v>0.5</v>
      </c>
      <c r="D658" s="43"/>
      <c r="E658" s="24">
        <f t="shared" si="20"/>
        <v>149.1</v>
      </c>
    </row>
    <row r="659" spans="1:5" x14ac:dyDescent="0.25">
      <c r="A659" s="50" t="s">
        <v>93</v>
      </c>
      <c r="B659" s="24">
        <f>'Прайс для расчета'!E659</f>
        <v>208.73999999999998</v>
      </c>
      <c r="C659" s="108">
        <f t="shared" si="21"/>
        <v>0.5</v>
      </c>
      <c r="D659" s="43"/>
      <c r="E659" s="24">
        <f t="shared" si="20"/>
        <v>104.36999999999999</v>
      </c>
    </row>
    <row r="660" spans="1:5" x14ac:dyDescent="0.25">
      <c r="A660" s="50" t="s">
        <v>257</v>
      </c>
      <c r="B660" s="24">
        <f>'Прайс для расчета'!E660</f>
        <v>2534.7000000000003</v>
      </c>
      <c r="C660" s="108">
        <f t="shared" si="21"/>
        <v>0.5</v>
      </c>
      <c r="D660" s="43"/>
      <c r="E660" s="24">
        <f t="shared" si="20"/>
        <v>1267.3500000000001</v>
      </c>
    </row>
    <row r="661" spans="1:5" x14ac:dyDescent="0.25">
      <c r="A661" s="50" t="s">
        <v>258</v>
      </c>
      <c r="B661" s="24">
        <f>'Прайс для расчета'!E661</f>
        <v>5218.5</v>
      </c>
      <c r="C661" s="108">
        <f t="shared" si="21"/>
        <v>0.5</v>
      </c>
      <c r="D661" s="43"/>
      <c r="E661" s="24">
        <f t="shared" si="20"/>
        <v>2609.25</v>
      </c>
    </row>
    <row r="662" spans="1:5" x14ac:dyDescent="0.25">
      <c r="A662" s="50" t="s">
        <v>636</v>
      </c>
      <c r="B662" s="24">
        <f>'Прайс для расчета'!E662</f>
        <v>4622.1000000000004</v>
      </c>
      <c r="C662" s="108">
        <f t="shared" si="21"/>
        <v>0.5</v>
      </c>
      <c r="D662" s="43"/>
      <c r="E662" s="24">
        <f t="shared" si="20"/>
        <v>2311.0500000000002</v>
      </c>
    </row>
    <row r="663" spans="1:5" x14ac:dyDescent="0.25">
      <c r="A663" s="50" t="s">
        <v>637</v>
      </c>
      <c r="B663" s="24">
        <f>'Прайс для расчета'!E663</f>
        <v>1789.2</v>
      </c>
      <c r="C663" s="108">
        <f t="shared" si="21"/>
        <v>0.5</v>
      </c>
      <c r="D663" s="43"/>
      <c r="E663" s="24">
        <f t="shared" si="20"/>
        <v>894.6</v>
      </c>
    </row>
    <row r="664" spans="1:5" x14ac:dyDescent="0.25">
      <c r="A664" s="50" t="s">
        <v>638</v>
      </c>
      <c r="B664" s="24">
        <f>'Прайс для расчета'!E664</f>
        <v>2206.6799999999998</v>
      </c>
      <c r="C664" s="108">
        <f t="shared" si="21"/>
        <v>0.5</v>
      </c>
      <c r="D664" s="43"/>
      <c r="E664" s="24">
        <f t="shared" si="20"/>
        <v>1103.3399999999999</v>
      </c>
    </row>
    <row r="665" spans="1:5" x14ac:dyDescent="0.25">
      <c r="A665" s="50" t="s">
        <v>639</v>
      </c>
      <c r="B665" s="24">
        <f>'Прайс для расчета'!E665</f>
        <v>2504.88</v>
      </c>
      <c r="C665" s="108">
        <f t="shared" si="21"/>
        <v>0.5</v>
      </c>
      <c r="D665" s="43"/>
      <c r="E665" s="24">
        <f t="shared" si="20"/>
        <v>1252.44</v>
      </c>
    </row>
    <row r="666" spans="1:5" x14ac:dyDescent="0.25">
      <c r="A666" s="50" t="s">
        <v>640</v>
      </c>
      <c r="B666" s="24">
        <f>'Прайс для расчета'!E666</f>
        <v>2325.96</v>
      </c>
      <c r="C666" s="108">
        <f t="shared" si="21"/>
        <v>0.5</v>
      </c>
      <c r="D666" s="43"/>
      <c r="E666" s="24">
        <f t="shared" si="20"/>
        <v>1162.98</v>
      </c>
    </row>
    <row r="667" spans="1:5" x14ac:dyDescent="0.25">
      <c r="A667" s="50" t="s">
        <v>98</v>
      </c>
      <c r="B667" s="24">
        <f>'Прайс для расчета'!E667</f>
        <v>4920.3</v>
      </c>
      <c r="C667" s="108">
        <f t="shared" si="21"/>
        <v>0.5</v>
      </c>
      <c r="D667" s="43"/>
      <c r="E667" s="24">
        <f t="shared" si="20"/>
        <v>2460.15</v>
      </c>
    </row>
    <row r="668" spans="1:5" x14ac:dyDescent="0.25">
      <c r="A668" s="50" t="s">
        <v>99</v>
      </c>
      <c r="B668" s="24">
        <f>'Прайс для расчета'!E668</f>
        <v>5367.6</v>
      </c>
      <c r="C668" s="108">
        <f t="shared" si="21"/>
        <v>0.5</v>
      </c>
      <c r="D668" s="43"/>
      <c r="E668" s="24">
        <f t="shared" ref="E668:E676" si="22">IF(D668=0,B668*C668,B668*D668)</f>
        <v>2683.8</v>
      </c>
    </row>
    <row r="669" spans="1:5" x14ac:dyDescent="0.25">
      <c r="A669" s="50" t="s">
        <v>100</v>
      </c>
      <c r="B669" s="24">
        <f>'Прайс для расчета'!E669</f>
        <v>2236.5</v>
      </c>
      <c r="C669" s="108">
        <f t="shared" si="21"/>
        <v>0.5</v>
      </c>
      <c r="D669" s="43"/>
      <c r="E669" s="24">
        <f t="shared" si="22"/>
        <v>1118.25</v>
      </c>
    </row>
    <row r="670" spans="1:5" x14ac:dyDescent="0.25">
      <c r="A670" s="50" t="s">
        <v>641</v>
      </c>
      <c r="B670" s="24">
        <f>'Прайс для расчета'!E670</f>
        <v>3578.4</v>
      </c>
      <c r="C670" s="108">
        <f t="shared" si="21"/>
        <v>0.5</v>
      </c>
      <c r="D670" s="43"/>
      <c r="E670" s="24">
        <f t="shared" si="22"/>
        <v>1789.2</v>
      </c>
    </row>
    <row r="671" spans="1:5" x14ac:dyDescent="0.25">
      <c r="A671" s="50" t="s">
        <v>920</v>
      </c>
      <c r="B671" s="24">
        <f>'Прайс для расчета'!E671</f>
        <v>2236.5</v>
      </c>
      <c r="C671" s="108">
        <f t="shared" si="21"/>
        <v>0.5</v>
      </c>
      <c r="D671" s="43"/>
      <c r="E671" s="24">
        <f t="shared" si="22"/>
        <v>1118.25</v>
      </c>
    </row>
    <row r="672" spans="1:5" x14ac:dyDescent="0.25">
      <c r="A672" s="50" t="s">
        <v>642</v>
      </c>
      <c r="B672" s="24">
        <f>'Прайс для расчета'!E672</f>
        <v>3392.0250000000001</v>
      </c>
      <c r="C672" s="108">
        <f t="shared" si="21"/>
        <v>0.5</v>
      </c>
      <c r="D672" s="43"/>
      <c r="E672" s="24">
        <f t="shared" si="22"/>
        <v>1696.0125</v>
      </c>
    </row>
    <row r="673" spans="1:5" x14ac:dyDescent="0.25">
      <c r="A673" s="50" t="s">
        <v>643</v>
      </c>
      <c r="B673" s="24">
        <f>'Прайс для расчета'!E673</f>
        <v>2012.8500000000001</v>
      </c>
      <c r="C673" s="108">
        <f t="shared" si="21"/>
        <v>0.5</v>
      </c>
      <c r="D673" s="43"/>
      <c r="E673" s="24">
        <f t="shared" si="22"/>
        <v>1006.4250000000001</v>
      </c>
    </row>
    <row r="674" spans="1:5" x14ac:dyDescent="0.25">
      <c r="A674" s="50" t="s">
        <v>262</v>
      </c>
      <c r="B674" s="24">
        <f>'Прайс для расчета'!E674</f>
        <v>1118.25</v>
      </c>
      <c r="C674" s="108">
        <f t="shared" si="21"/>
        <v>0.5</v>
      </c>
      <c r="D674" s="43"/>
      <c r="E674" s="24">
        <f t="shared" si="22"/>
        <v>559.125</v>
      </c>
    </row>
    <row r="675" spans="1:5" x14ac:dyDescent="0.25">
      <c r="A675" s="50" t="s">
        <v>263</v>
      </c>
      <c r="B675" s="24">
        <f>'Прайс для расчета'!E675</f>
        <v>2534.7000000000003</v>
      </c>
      <c r="C675" s="108">
        <f t="shared" si="21"/>
        <v>0.5</v>
      </c>
      <c r="D675" s="43"/>
      <c r="E675" s="24">
        <f t="shared" si="22"/>
        <v>1267.3500000000001</v>
      </c>
    </row>
    <row r="676" spans="1:5" x14ac:dyDescent="0.25">
      <c r="A676" s="50" t="s">
        <v>264</v>
      </c>
      <c r="B676" s="24">
        <f>'Прайс для расчета'!E676</f>
        <v>1162.98</v>
      </c>
      <c r="C676" s="108">
        <f t="shared" si="21"/>
        <v>0.5</v>
      </c>
      <c r="D676" s="43"/>
      <c r="E676" s="24">
        <f t="shared" si="22"/>
        <v>581.49</v>
      </c>
    </row>
    <row r="677" spans="1:5" x14ac:dyDescent="0.25">
      <c r="A677" s="50" t="s">
        <v>102</v>
      </c>
      <c r="B677" s="24">
        <f>'Прайс для расчета'!E677</f>
        <v>1162.98</v>
      </c>
      <c r="C677" s="108">
        <f t="shared" si="21"/>
        <v>0.5</v>
      </c>
      <c r="D677" s="43"/>
      <c r="E677" s="24">
        <f>IF(D677=0,B677*C677,B677*D677)</f>
        <v>581.49</v>
      </c>
    </row>
    <row r="678" spans="1:5" x14ac:dyDescent="0.25">
      <c r="A678" s="50" t="s">
        <v>644</v>
      </c>
      <c r="B678" s="24">
        <f>'Прайс для расчета'!E678</f>
        <v>596.4</v>
      </c>
      <c r="C678" s="108">
        <f t="shared" si="21"/>
        <v>0.5</v>
      </c>
      <c r="D678" s="43"/>
      <c r="E678" s="24">
        <f>IF(D678=0,B678*C678,B678*D678)</f>
        <v>298.2</v>
      </c>
    </row>
    <row r="679" spans="1:5" x14ac:dyDescent="0.25">
      <c r="A679" s="50" t="s">
        <v>928</v>
      </c>
      <c r="B679" s="24">
        <f>'Прайс для расчета'!E679</f>
        <v>2236.5</v>
      </c>
      <c r="C679" s="108">
        <f t="shared" si="21"/>
        <v>0.5</v>
      </c>
      <c r="D679" s="43"/>
      <c r="E679" s="24">
        <f>IF(D679=0,B679*C679,B679*D679)</f>
        <v>1118.25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D3" name="Диапазон1"/>
    <protectedRange sqref="D3 D532:D534 D527:D530 D576:D679 D5:D525" name="Диапазон2"/>
  </protectedRanges>
  <mergeCells count="1">
    <mergeCell ref="A3:C3"/>
  </mergeCells>
  <conditionalFormatting sqref="D532:D534 D527:D530 D247:D279 D282 D376:D405 D408:D525 D301:D373 D576:D677 D5:D245 D284:D298">
    <cfRule type="expression" dxfId="69" priority="24">
      <formula>$D5&lt;&gt;0</formula>
    </cfRule>
  </conditionalFormatting>
  <conditionalFormatting sqref="C5:C679">
    <cfRule type="expression" dxfId="68" priority="25">
      <formula>$D5=0</formula>
    </cfRule>
  </conditionalFormatting>
  <conditionalFormatting sqref="D678">
    <cfRule type="expression" dxfId="67" priority="19">
      <formula>$D678&lt;&gt;0</formula>
    </cfRule>
  </conditionalFormatting>
  <conditionalFormatting sqref="D679">
    <cfRule type="expression" dxfId="66" priority="17">
      <formula>$D679&lt;&gt;0</formula>
    </cfRule>
  </conditionalFormatting>
  <conditionalFormatting sqref="D246">
    <cfRule type="expression" dxfId="65" priority="15">
      <formula>$D246&lt;&gt;0</formula>
    </cfRule>
  </conditionalFormatting>
  <conditionalFormatting sqref="D280">
    <cfRule type="expression" dxfId="64" priority="13">
      <formula>$D280&lt;&gt;0</formula>
    </cfRule>
  </conditionalFormatting>
  <conditionalFormatting sqref="D281">
    <cfRule type="expression" dxfId="63" priority="11">
      <formula>$D281&lt;&gt;0</formula>
    </cfRule>
  </conditionalFormatting>
  <conditionalFormatting sqref="D283">
    <cfRule type="expression" dxfId="62" priority="9">
      <formula>$D283&lt;&gt;0</formula>
    </cfRule>
  </conditionalFormatting>
  <conditionalFormatting sqref="D299">
    <cfRule type="expression" dxfId="61" priority="7">
      <formula>$D299&lt;&gt;0</formula>
    </cfRule>
  </conditionalFormatting>
  <conditionalFormatting sqref="D300">
    <cfRule type="expression" dxfId="60" priority="5">
      <formula>$D300&lt;&gt;0</formula>
    </cfRule>
  </conditionalFormatting>
  <conditionalFormatting sqref="D374:D375">
    <cfRule type="expression" dxfId="59" priority="3">
      <formula>$D374&lt;&gt;0</formula>
    </cfRule>
  </conditionalFormatting>
  <conditionalFormatting sqref="D406:D407">
    <cfRule type="expression" dxfId="58" priority="1">
      <formula>$D406&lt;&gt;0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11111111">
    <tabColor rgb="FF00B050"/>
  </sheetPr>
  <dimension ref="A1:N700"/>
  <sheetViews>
    <sheetView zoomScale="110" zoomScaleNormal="110" workbookViewId="0">
      <selection activeCell="B10" sqref="B10:C10"/>
    </sheetView>
  </sheetViews>
  <sheetFormatPr defaultColWidth="8.77734375" defaultRowHeight="13.2" x14ac:dyDescent="0.25"/>
  <cols>
    <col min="1" max="1" width="64.109375" style="6" customWidth="1"/>
    <col min="2" max="2" width="9.44140625" style="6" customWidth="1"/>
    <col min="3" max="3" width="9.6640625" customWidth="1"/>
  </cols>
  <sheetData>
    <row r="1" spans="1:3" ht="27.6" x14ac:dyDescent="0.25">
      <c r="A1" s="296" t="s">
        <v>1014</v>
      </c>
      <c r="B1" s="296"/>
      <c r="C1" s="296"/>
    </row>
    <row r="2" spans="1:3" ht="16.2" x14ac:dyDescent="0.25">
      <c r="A2" s="292" t="s">
        <v>995</v>
      </c>
      <c r="B2" s="292"/>
      <c r="C2" s="292"/>
    </row>
    <row r="3" spans="1:3" ht="16.2" x14ac:dyDescent="0.25">
      <c r="A3" s="291" t="s">
        <v>992</v>
      </c>
      <c r="B3" s="291"/>
      <c r="C3" s="291"/>
    </row>
    <row r="4" spans="1:3" ht="16.2" x14ac:dyDescent="0.25">
      <c r="A4" s="288" t="s">
        <v>144</v>
      </c>
      <c r="B4" s="289"/>
      <c r="C4" s="290"/>
    </row>
    <row r="5" spans="1:3" ht="45" customHeight="1" x14ac:dyDescent="0.25">
      <c r="A5" s="231" t="s">
        <v>1088</v>
      </c>
      <c r="B5" s="294" t="s">
        <v>1086</v>
      </c>
      <c r="C5" s="295"/>
    </row>
    <row r="6" spans="1:3" ht="35.1" customHeight="1" x14ac:dyDescent="0.25">
      <c r="A6" s="87" t="s">
        <v>1089</v>
      </c>
      <c r="B6" s="294" t="s">
        <v>1087</v>
      </c>
      <c r="C6" s="295"/>
    </row>
    <row r="7" spans="1:3" ht="16.2" x14ac:dyDescent="0.25">
      <c r="A7" s="288" t="s">
        <v>987</v>
      </c>
      <c r="B7" s="289"/>
      <c r="C7" s="290"/>
    </row>
    <row r="8" spans="1:3" ht="48" customHeight="1" x14ac:dyDescent="0.25">
      <c r="A8" s="171" t="s">
        <v>1090</v>
      </c>
      <c r="B8" s="294" t="s">
        <v>1091</v>
      </c>
      <c r="C8" s="295"/>
    </row>
    <row r="9" spans="1:3" ht="33.6" hidden="1" customHeight="1" x14ac:dyDescent="0.25">
      <c r="A9" s="171" t="s">
        <v>986</v>
      </c>
      <c r="B9" s="227"/>
      <c r="C9" s="227"/>
    </row>
    <row r="10" spans="1:3" ht="43.5" customHeight="1" x14ac:dyDescent="0.25">
      <c r="A10" s="171" t="s">
        <v>1092</v>
      </c>
      <c r="B10" s="294" t="s">
        <v>1093</v>
      </c>
      <c r="C10" s="295"/>
    </row>
    <row r="11" spans="1:3" ht="47.25" customHeight="1" x14ac:dyDescent="0.25">
      <c r="A11" s="172" t="s">
        <v>1094</v>
      </c>
      <c r="B11" s="294" t="s">
        <v>1097</v>
      </c>
      <c r="C11" s="295"/>
    </row>
    <row r="12" spans="1:3" ht="48.75" customHeight="1" x14ac:dyDescent="0.25">
      <c r="A12" s="172" t="s">
        <v>1095</v>
      </c>
      <c r="B12" s="294" t="s">
        <v>1098</v>
      </c>
      <c r="C12" s="295"/>
    </row>
    <row r="13" spans="1:3" ht="60" customHeight="1" x14ac:dyDescent="0.25">
      <c r="A13" s="172" t="s">
        <v>1096</v>
      </c>
      <c r="B13" s="294" t="s">
        <v>1099</v>
      </c>
      <c r="C13" s="295"/>
    </row>
    <row r="14" spans="1:3" ht="16.2" x14ac:dyDescent="0.25">
      <c r="A14" s="292" t="s">
        <v>1100</v>
      </c>
      <c r="B14" s="292"/>
      <c r="C14" s="292"/>
    </row>
    <row r="15" spans="1:3" ht="39" customHeight="1" x14ac:dyDescent="0.25">
      <c r="A15" s="89" t="s">
        <v>993</v>
      </c>
      <c r="B15" s="293" t="s">
        <v>1101</v>
      </c>
      <c r="C15" s="293"/>
    </row>
    <row r="16" spans="1:3" ht="33" customHeight="1" x14ac:dyDescent="0.25">
      <c r="A16" s="89" t="s">
        <v>994</v>
      </c>
      <c r="B16" s="293" t="s">
        <v>1102</v>
      </c>
      <c r="C16" s="293"/>
    </row>
    <row r="17" spans="1:3" ht="21" hidden="1" customHeight="1" x14ac:dyDescent="0.25">
      <c r="A17" s="46"/>
      <c r="B17" s="46"/>
      <c r="C17" s="46"/>
    </row>
    <row r="18" spans="1:3" ht="27.6" hidden="1" x14ac:dyDescent="0.25">
      <c r="A18" s="100"/>
      <c r="B18" s="100"/>
      <c r="C18" s="46"/>
    </row>
    <row r="19" spans="1:3" ht="16.2" hidden="1" x14ac:dyDescent="0.35">
      <c r="A19" s="101"/>
      <c r="B19" s="102"/>
      <c r="C19" s="46"/>
    </row>
    <row r="20" spans="1:3" ht="59.25" customHeight="1" x14ac:dyDescent="0.25">
      <c r="A20" s="285" t="s">
        <v>1104</v>
      </c>
      <c r="B20" s="286"/>
      <c r="C20" s="287"/>
    </row>
    <row r="21" spans="1:3" ht="59.25" hidden="1" customHeight="1" x14ac:dyDescent="0.35">
      <c r="A21" s="101"/>
      <c r="B21" s="102"/>
      <c r="C21" s="46"/>
    </row>
    <row r="22" spans="1:3" x14ac:dyDescent="0.25">
      <c r="A22" s="87" t="s">
        <v>728</v>
      </c>
      <c r="B22" s="87" t="s">
        <v>1</v>
      </c>
      <c r="C22" s="46"/>
    </row>
    <row r="23" spans="1:3" x14ac:dyDescent="0.25">
      <c r="A23" s="173" t="s">
        <v>976</v>
      </c>
      <c r="B23" s="174"/>
      <c r="C23" s="174"/>
    </row>
    <row r="24" spans="1:3" ht="15.6" x14ac:dyDescent="0.25">
      <c r="A24" s="88" t="s">
        <v>356</v>
      </c>
      <c r="B24" s="106">
        <f>'Прайс для расчета (М)'!E125</f>
        <v>47.25</v>
      </c>
      <c r="C24" s="62" t="s">
        <v>2</v>
      </c>
    </row>
    <row r="25" spans="1:3" ht="15.6" x14ac:dyDescent="0.25">
      <c r="A25" s="89" t="s">
        <v>1128</v>
      </c>
      <c r="B25" s="106">
        <f>'Прайс для расчета (М)'!E126</f>
        <v>78.75</v>
      </c>
      <c r="C25" s="62" t="s">
        <v>2</v>
      </c>
    </row>
    <row r="26" spans="1:3" ht="15.6" x14ac:dyDescent="0.25">
      <c r="A26" s="88" t="s">
        <v>498</v>
      </c>
      <c r="B26" s="106">
        <f>'Прайс для расчета (М)'!E127</f>
        <v>57.225000000000001</v>
      </c>
      <c r="C26" s="62" t="s">
        <v>2</v>
      </c>
    </row>
    <row r="27" spans="1:3" ht="15.6" x14ac:dyDescent="0.25">
      <c r="A27" s="89" t="s">
        <v>930</v>
      </c>
      <c r="B27" s="106">
        <f>'Прайс для расчета (М)'!E129</f>
        <v>288.22500000000002</v>
      </c>
      <c r="C27" s="62" t="s">
        <v>2</v>
      </c>
    </row>
    <row r="28" spans="1:3" ht="15.6" x14ac:dyDescent="0.25">
      <c r="A28" s="89" t="s">
        <v>931</v>
      </c>
      <c r="B28" s="106">
        <f>'Прайс для расчета (М)'!E130</f>
        <v>340.72500000000002</v>
      </c>
      <c r="C28" s="62" t="s">
        <v>2</v>
      </c>
    </row>
    <row r="29" spans="1:3" ht="15.6" x14ac:dyDescent="0.25">
      <c r="A29" s="89" t="s">
        <v>932</v>
      </c>
      <c r="B29" s="106">
        <f>'Прайс для расчета (М)'!E131</f>
        <v>445.72500000000002</v>
      </c>
      <c r="C29" s="62" t="s">
        <v>2</v>
      </c>
    </row>
    <row r="30" spans="1:3" ht="15.6" x14ac:dyDescent="0.25">
      <c r="A30" s="88" t="s">
        <v>357</v>
      </c>
      <c r="B30" s="106">
        <f>'Прайс для расчета (М)'!E132</f>
        <v>498.22500000000002</v>
      </c>
      <c r="C30" s="62" t="s">
        <v>2</v>
      </c>
    </row>
    <row r="31" spans="1:3" ht="15.6" x14ac:dyDescent="0.25">
      <c r="A31" s="90" t="s">
        <v>1133</v>
      </c>
      <c r="B31" s="106">
        <f>'Прайс для расчета (М)'!E133</f>
        <v>550.72500000000002</v>
      </c>
      <c r="C31" s="62" t="s">
        <v>2</v>
      </c>
    </row>
    <row r="32" spans="1:3" s="6" customFormat="1" ht="15.6" x14ac:dyDescent="0.25">
      <c r="A32" s="88" t="s">
        <v>151</v>
      </c>
      <c r="B32" s="106">
        <f>'Прайс для расчета (М)'!E134</f>
        <v>135.97499999999999</v>
      </c>
      <c r="C32" s="62" t="s">
        <v>2</v>
      </c>
    </row>
    <row r="33" spans="1:3" ht="15.6" x14ac:dyDescent="0.25">
      <c r="A33" s="88" t="s">
        <v>499</v>
      </c>
      <c r="B33" s="106">
        <f>'Прайс для расчета (М)'!E135</f>
        <v>131.25</v>
      </c>
      <c r="C33" s="62" t="s">
        <v>2</v>
      </c>
    </row>
    <row r="34" spans="1:3" ht="15.6" x14ac:dyDescent="0.25">
      <c r="A34" s="88" t="s">
        <v>500</v>
      </c>
      <c r="B34" s="106">
        <f>'Прайс для расчета (М)'!E136</f>
        <v>125.47500000000001</v>
      </c>
      <c r="C34" s="62" t="s">
        <v>2</v>
      </c>
    </row>
    <row r="35" spans="1:3" ht="15.6" x14ac:dyDescent="0.25">
      <c r="A35" s="88" t="s">
        <v>217</v>
      </c>
      <c r="B35" s="106">
        <f>'Прайс для расчета (М)'!E137</f>
        <v>102.375</v>
      </c>
      <c r="C35" s="62" t="s">
        <v>3</v>
      </c>
    </row>
    <row r="36" spans="1:3" ht="15.6" x14ac:dyDescent="0.25">
      <c r="A36" s="88" t="s">
        <v>359</v>
      </c>
      <c r="B36" s="106">
        <f>'Прайс для расчета (М)'!E138</f>
        <v>149.625</v>
      </c>
      <c r="C36" s="62" t="s">
        <v>2</v>
      </c>
    </row>
    <row r="37" spans="1:3" ht="15.6" x14ac:dyDescent="0.25">
      <c r="A37" s="88" t="s">
        <v>360</v>
      </c>
      <c r="B37" s="106">
        <f>'Прайс для расчета (М)'!E139</f>
        <v>52.184999999999995</v>
      </c>
      <c r="C37" s="62" t="s">
        <v>2</v>
      </c>
    </row>
    <row r="38" spans="1:3" ht="15.6" x14ac:dyDescent="0.25">
      <c r="A38" s="88" t="s">
        <v>361</v>
      </c>
      <c r="B38" s="106">
        <f>'Прайс для расчета (М)'!E140</f>
        <v>249.375</v>
      </c>
      <c r="C38" s="62" t="s">
        <v>2</v>
      </c>
    </row>
    <row r="39" spans="1:3" ht="15.6" x14ac:dyDescent="0.25">
      <c r="A39" s="88" t="s">
        <v>501</v>
      </c>
      <c r="B39" s="106">
        <f>'Прайс для расчета (М)'!E141</f>
        <v>230.47500000000002</v>
      </c>
      <c r="C39" s="62" t="s">
        <v>2</v>
      </c>
    </row>
    <row r="40" spans="1:3" ht="15.6" x14ac:dyDescent="0.25">
      <c r="A40" s="88" t="s">
        <v>362</v>
      </c>
      <c r="B40" s="106">
        <f>'Прайс для расчета (М)'!E142</f>
        <v>971.25</v>
      </c>
      <c r="C40" s="62" t="s">
        <v>2</v>
      </c>
    </row>
    <row r="41" spans="1:3" ht="15.6" x14ac:dyDescent="0.25">
      <c r="A41" s="88" t="s">
        <v>227</v>
      </c>
      <c r="B41" s="106">
        <f>'Прайс для расчета (М)'!E143</f>
        <v>181.125</v>
      </c>
      <c r="C41" s="62" t="s">
        <v>2</v>
      </c>
    </row>
    <row r="42" spans="1:3" ht="15.6" x14ac:dyDescent="0.25">
      <c r="A42" s="88" t="s">
        <v>224</v>
      </c>
      <c r="B42" s="106">
        <f>'Прайс для расчета (М)'!E144</f>
        <v>135.97499999999999</v>
      </c>
      <c r="C42" s="62" t="s">
        <v>2</v>
      </c>
    </row>
    <row r="43" spans="1:3" ht="15.6" x14ac:dyDescent="0.25">
      <c r="A43" s="88" t="s">
        <v>673</v>
      </c>
      <c r="B43" s="106">
        <f>'Прайс для расчета (М)'!E145</f>
        <v>254.625</v>
      </c>
      <c r="C43" s="62" t="s">
        <v>2</v>
      </c>
    </row>
    <row r="44" spans="1:3" ht="15.6" x14ac:dyDescent="0.25">
      <c r="A44" s="88" t="s">
        <v>363</v>
      </c>
      <c r="B44" s="106">
        <f>'Прайс для расчета (М)'!E146</f>
        <v>236.25</v>
      </c>
      <c r="C44" s="62" t="s">
        <v>3</v>
      </c>
    </row>
    <row r="45" spans="1:3" ht="15.6" x14ac:dyDescent="0.25">
      <c r="A45" s="88" t="s">
        <v>364</v>
      </c>
      <c r="B45" s="106">
        <f>'Прайс для расчета (М)'!E147</f>
        <v>202.03050000000002</v>
      </c>
      <c r="C45" s="62" t="s">
        <v>2</v>
      </c>
    </row>
    <row r="46" spans="1:3" ht="15.6" x14ac:dyDescent="0.25">
      <c r="A46" s="88" t="s">
        <v>365</v>
      </c>
      <c r="B46" s="106">
        <f>'Прайс для расчета (М)'!E148</f>
        <v>152.25</v>
      </c>
      <c r="C46" s="62" t="s">
        <v>2</v>
      </c>
    </row>
    <row r="47" spans="1:3" ht="15.6" x14ac:dyDescent="0.25">
      <c r="A47" s="88" t="s">
        <v>366</v>
      </c>
      <c r="B47" s="106">
        <f>'Прайс для расчета (М)'!E149</f>
        <v>236.25</v>
      </c>
      <c r="C47" s="62" t="s">
        <v>2</v>
      </c>
    </row>
    <row r="48" spans="1:3" x14ac:dyDescent="0.25">
      <c r="A48" s="173" t="s">
        <v>965</v>
      </c>
      <c r="B48" s="174"/>
      <c r="C48" s="174"/>
    </row>
    <row r="49" spans="1:3" ht="15.6" x14ac:dyDescent="0.25">
      <c r="A49" s="90" t="s">
        <v>1020</v>
      </c>
      <c r="B49" s="106">
        <f>'Прайс для расчета (М)'!E150</f>
        <v>62.475000000000001</v>
      </c>
      <c r="C49" s="62" t="s">
        <v>2</v>
      </c>
    </row>
    <row r="50" spans="1:3" ht="15.6" x14ac:dyDescent="0.25">
      <c r="A50" s="234" t="s">
        <v>1112</v>
      </c>
      <c r="B50" s="106">
        <f>'Прайс для расчета (М)'!E151</f>
        <v>446.25</v>
      </c>
      <c r="C50" s="62" t="s">
        <v>2</v>
      </c>
    </row>
    <row r="51" spans="1:3" ht="15.6" x14ac:dyDescent="0.25">
      <c r="A51" s="234" t="s">
        <v>1113</v>
      </c>
      <c r="B51" s="106">
        <f>'Прайс для расчета (М)'!E152</f>
        <v>603.75</v>
      </c>
      <c r="C51" s="62" t="s">
        <v>2</v>
      </c>
    </row>
    <row r="52" spans="1:3" ht="15.6" x14ac:dyDescent="0.25">
      <c r="A52" s="234" t="s">
        <v>1114</v>
      </c>
      <c r="B52" s="106">
        <f>'Прайс для расчета (М)'!E153</f>
        <v>312.375</v>
      </c>
      <c r="C52" s="62" t="s">
        <v>2</v>
      </c>
    </row>
    <row r="53" spans="1:3" ht="15.6" x14ac:dyDescent="0.25">
      <c r="A53" s="234" t="s">
        <v>1110</v>
      </c>
      <c r="B53" s="106">
        <f>'Прайс для расчета (М)'!E154</f>
        <v>364.875</v>
      </c>
      <c r="C53" s="62" t="s">
        <v>2</v>
      </c>
    </row>
    <row r="54" spans="1:3" ht="15.6" x14ac:dyDescent="0.25">
      <c r="A54" s="234" t="s">
        <v>1111</v>
      </c>
      <c r="B54" s="106">
        <f>'Прайс для расчета (М)'!E155</f>
        <v>471.97500000000002</v>
      </c>
      <c r="C54" s="62" t="s">
        <v>2</v>
      </c>
    </row>
    <row r="55" spans="1:3" ht="15.6" x14ac:dyDescent="0.25">
      <c r="A55" s="230" t="s">
        <v>1028</v>
      </c>
      <c r="B55" s="106">
        <f>'Прайс для расчета (М)'!E156</f>
        <v>393.75</v>
      </c>
      <c r="C55" s="62" t="s">
        <v>2</v>
      </c>
    </row>
    <row r="56" spans="1:3" ht="15.6" x14ac:dyDescent="0.25">
      <c r="A56" s="230" t="s">
        <v>1029</v>
      </c>
      <c r="B56" s="106">
        <f>'Прайс для расчета (М)'!E157</f>
        <v>325.5</v>
      </c>
      <c r="C56" s="62" t="s">
        <v>646</v>
      </c>
    </row>
    <row r="57" spans="1:3" ht="15.6" x14ac:dyDescent="0.25">
      <c r="A57" s="235" t="s">
        <v>674</v>
      </c>
      <c r="B57" s="106">
        <f>'Прайс для расчета (М)'!E158</f>
        <v>133.875</v>
      </c>
      <c r="C57" s="62" t="s">
        <v>2</v>
      </c>
    </row>
    <row r="58" spans="1:3" ht="26.4" x14ac:dyDescent="0.25">
      <c r="A58" s="90" t="s">
        <v>996</v>
      </c>
      <c r="B58" s="106">
        <f>'Прайс для расчета (М)'!E159</f>
        <v>1496.25</v>
      </c>
      <c r="C58" s="62" t="s">
        <v>2</v>
      </c>
    </row>
    <row r="59" spans="1:3" ht="15.6" x14ac:dyDescent="0.25">
      <c r="A59" s="235" t="s">
        <v>1021</v>
      </c>
      <c r="B59" s="106">
        <f>'Прайс для расчета (М)'!E160</f>
        <v>47.25</v>
      </c>
      <c r="C59" s="62" t="s">
        <v>2</v>
      </c>
    </row>
    <row r="60" spans="1:3" ht="15.6" x14ac:dyDescent="0.25">
      <c r="A60" s="235" t="s">
        <v>1081</v>
      </c>
      <c r="B60" s="106">
        <f>'Прайс для расчета (М)'!E162</f>
        <v>259.875</v>
      </c>
      <c r="C60" s="62" t="s">
        <v>2</v>
      </c>
    </row>
    <row r="61" spans="1:3" ht="15.6" x14ac:dyDescent="0.25">
      <c r="A61" s="235" t="s">
        <v>1082</v>
      </c>
      <c r="B61" s="106">
        <f>'Прайс для расчета (М)'!E163</f>
        <v>343.875</v>
      </c>
      <c r="C61" s="62" t="s">
        <v>2</v>
      </c>
    </row>
    <row r="62" spans="1:3" ht="15.6" x14ac:dyDescent="0.25">
      <c r="A62" s="235" t="s">
        <v>1134</v>
      </c>
      <c r="B62" s="106">
        <f>'Прайс для расчета (М)'!E164</f>
        <v>210</v>
      </c>
      <c r="C62" s="62" t="s">
        <v>2</v>
      </c>
    </row>
    <row r="63" spans="1:3" ht="15.6" x14ac:dyDescent="0.25">
      <c r="A63" s="235" t="s">
        <v>1135</v>
      </c>
      <c r="B63" s="106">
        <f>'Прайс для расчета (М)'!E165</f>
        <v>414.75</v>
      </c>
      <c r="C63" s="62" t="s">
        <v>2</v>
      </c>
    </row>
    <row r="64" spans="1:3" ht="15.6" x14ac:dyDescent="0.25">
      <c r="A64" s="235" t="s">
        <v>1136</v>
      </c>
      <c r="B64" s="106">
        <f>'Прайс для расчета (М)'!E166</f>
        <v>102.375</v>
      </c>
      <c r="C64" s="62" t="s">
        <v>2</v>
      </c>
    </row>
    <row r="65" spans="1:3" ht="15.6" x14ac:dyDescent="0.25">
      <c r="A65" s="233" t="s">
        <v>1105</v>
      </c>
      <c r="B65" s="106">
        <f>'Прайс для расчета (М)'!E167</f>
        <v>78.75</v>
      </c>
      <c r="C65" s="62" t="s">
        <v>3</v>
      </c>
    </row>
    <row r="66" spans="1:3" ht="15.6" x14ac:dyDescent="0.25">
      <c r="A66" s="233" t="s">
        <v>1106</v>
      </c>
      <c r="B66" s="106">
        <f>'Прайс для расчета (М)'!E168</f>
        <v>78.75</v>
      </c>
      <c r="C66" s="62" t="s">
        <v>3</v>
      </c>
    </row>
    <row r="67" spans="1:3" ht="15.6" hidden="1" x14ac:dyDescent="0.25">
      <c r="A67" s="88"/>
      <c r="B67" s="106">
        <f>'Прайс для расчета (М)'!E169</f>
        <v>102.375</v>
      </c>
      <c r="C67" s="62" t="s">
        <v>2</v>
      </c>
    </row>
    <row r="68" spans="1:3" ht="15.6" x14ac:dyDescent="0.25">
      <c r="A68" s="90" t="s">
        <v>1116</v>
      </c>
      <c r="B68" s="106">
        <f>'Прайс для расчета (М)'!E170</f>
        <v>102.375</v>
      </c>
      <c r="C68" s="62" t="s">
        <v>2</v>
      </c>
    </row>
    <row r="69" spans="1:3" ht="15.6" x14ac:dyDescent="0.25">
      <c r="A69" s="88" t="s">
        <v>376</v>
      </c>
      <c r="B69" s="106">
        <f>'Прайс для расчета (М)'!E171</f>
        <v>779.79300000000001</v>
      </c>
      <c r="C69" s="62" t="s">
        <v>2</v>
      </c>
    </row>
    <row r="70" spans="1:3" ht="15.6" x14ac:dyDescent="0.25">
      <c r="A70" s="88" t="s">
        <v>377</v>
      </c>
      <c r="B70" s="106">
        <f>'Прайс для расчета (М)'!E172</f>
        <v>808.12200000000007</v>
      </c>
      <c r="C70" s="62" t="s">
        <v>2</v>
      </c>
    </row>
    <row r="71" spans="1:3" ht="15.6" x14ac:dyDescent="0.25">
      <c r="A71" s="88" t="s">
        <v>378</v>
      </c>
      <c r="B71" s="106">
        <f>'Прайс для расчета (М)'!E173</f>
        <v>565.83450000000005</v>
      </c>
      <c r="C71" s="62" t="s">
        <v>2</v>
      </c>
    </row>
    <row r="72" spans="1:3" ht="15.6" x14ac:dyDescent="0.25">
      <c r="A72" s="88" t="s">
        <v>379</v>
      </c>
      <c r="B72" s="106">
        <f>'Прайс для расчета (М)'!E174</f>
        <v>595.65449999999998</v>
      </c>
      <c r="C72" s="62" t="s">
        <v>2</v>
      </c>
    </row>
    <row r="73" spans="1:3" ht="15.6" x14ac:dyDescent="0.25">
      <c r="A73" s="88" t="s">
        <v>380</v>
      </c>
      <c r="B73" s="106">
        <f>'Прайс для расчета (М)'!E175</f>
        <v>632.92949999999996</v>
      </c>
      <c r="C73" s="62" t="s">
        <v>2</v>
      </c>
    </row>
    <row r="74" spans="1:3" ht="15.6" x14ac:dyDescent="0.25">
      <c r="A74" s="90" t="s">
        <v>1103</v>
      </c>
      <c r="B74" s="106">
        <f>'Прайс для расчета (М)'!E176</f>
        <v>708.75</v>
      </c>
      <c r="C74" s="62" t="s">
        <v>0</v>
      </c>
    </row>
    <row r="75" spans="1:3" ht="15.6" x14ac:dyDescent="0.25">
      <c r="A75" s="90" t="s">
        <v>1047</v>
      </c>
      <c r="B75" s="106">
        <f>'Прайс для расчета (М)'!E177</f>
        <v>918.75</v>
      </c>
      <c r="C75" s="62" t="s">
        <v>646</v>
      </c>
    </row>
    <row r="76" spans="1:3" ht="15.6" x14ac:dyDescent="0.25">
      <c r="A76" s="88" t="s">
        <v>381</v>
      </c>
      <c r="B76" s="106">
        <f>'Прайс для расчета (М)'!E178</f>
        <v>91.875</v>
      </c>
      <c r="C76" s="62" t="s">
        <v>646</v>
      </c>
    </row>
    <row r="77" spans="1:3" ht="15.6" x14ac:dyDescent="0.25">
      <c r="A77" s="88" t="s">
        <v>382</v>
      </c>
      <c r="B77" s="106">
        <f>'Прайс для расчета (М)'!E179</f>
        <v>183.75</v>
      </c>
      <c r="C77" s="62" t="s">
        <v>646</v>
      </c>
    </row>
    <row r="78" spans="1:3" ht="15.6" x14ac:dyDescent="0.25">
      <c r="A78" s="88" t="s">
        <v>508</v>
      </c>
      <c r="B78" s="106">
        <f>'Прайс для расчета (М)'!E180</f>
        <v>240.97500000000002</v>
      </c>
      <c r="C78" s="62" t="s">
        <v>2</v>
      </c>
    </row>
    <row r="79" spans="1:3" ht="15.6" x14ac:dyDescent="0.25">
      <c r="A79" s="88" t="s">
        <v>383</v>
      </c>
      <c r="B79" s="106">
        <f>'Прайс для расчета (М)'!E181</f>
        <v>753.375</v>
      </c>
      <c r="C79" s="62" t="s">
        <v>2</v>
      </c>
    </row>
    <row r="80" spans="1:3" ht="15.6" x14ac:dyDescent="0.25">
      <c r="A80" s="88" t="s">
        <v>384</v>
      </c>
      <c r="B80" s="106">
        <f>'Прайс для расчета (М)'!E182</f>
        <v>910.875</v>
      </c>
      <c r="C80" s="62" t="s">
        <v>2</v>
      </c>
    </row>
    <row r="81" spans="1:3" ht="15.6" x14ac:dyDescent="0.25">
      <c r="A81" s="88" t="s">
        <v>385</v>
      </c>
      <c r="B81" s="106">
        <f>'Прайс для расчета (М)'!E183</f>
        <v>574.875</v>
      </c>
      <c r="C81" s="62" t="s">
        <v>2</v>
      </c>
    </row>
    <row r="82" spans="1:3" ht="15.6" x14ac:dyDescent="0.25">
      <c r="A82" s="88" t="s">
        <v>509</v>
      </c>
      <c r="B82" s="106">
        <f>'Прайс для расчета (М)'!E184</f>
        <v>763.875</v>
      </c>
      <c r="C82" s="62" t="s">
        <v>2</v>
      </c>
    </row>
    <row r="83" spans="1:3" ht="15.6" x14ac:dyDescent="0.25">
      <c r="A83" s="88" t="s">
        <v>510</v>
      </c>
      <c r="B83" s="106">
        <f>'Прайс для расчета (М)'!E185</f>
        <v>868.875</v>
      </c>
      <c r="C83" s="62" t="s">
        <v>2</v>
      </c>
    </row>
    <row r="84" spans="1:3" ht="15.6" x14ac:dyDescent="0.25">
      <c r="A84" s="88" t="s">
        <v>43</v>
      </c>
      <c r="B84" s="106">
        <f>'Прайс для расчета (М)'!E186</f>
        <v>97.125</v>
      </c>
      <c r="C84" s="62" t="s">
        <v>2</v>
      </c>
    </row>
    <row r="85" spans="1:3" ht="15.6" x14ac:dyDescent="0.25">
      <c r="A85" s="88" t="s">
        <v>386</v>
      </c>
      <c r="B85" s="106">
        <f>'Прайс для расчета (М)'!E187</f>
        <v>1044.75</v>
      </c>
      <c r="C85" s="62" t="s">
        <v>646</v>
      </c>
    </row>
    <row r="86" spans="1:3" ht="15.6" x14ac:dyDescent="0.25">
      <c r="A86" s="88" t="s">
        <v>387</v>
      </c>
      <c r="B86" s="106">
        <f>'Прайс для расчета (М)'!E188</f>
        <v>1548.75</v>
      </c>
      <c r="C86" s="62" t="s">
        <v>646</v>
      </c>
    </row>
    <row r="87" spans="1:3" ht="15.6" x14ac:dyDescent="0.25">
      <c r="A87" s="88" t="s">
        <v>388</v>
      </c>
      <c r="B87" s="106">
        <f>'Прайс для расчета (М)'!E189</f>
        <v>1496.25</v>
      </c>
      <c r="C87" s="62" t="s">
        <v>646</v>
      </c>
    </row>
    <row r="88" spans="1:3" ht="15.6" x14ac:dyDescent="0.25">
      <c r="A88" s="88" t="s">
        <v>230</v>
      </c>
      <c r="B88" s="106">
        <f>'Прайс для расчета (М)'!E190</f>
        <v>202.03050000000002</v>
      </c>
      <c r="C88" s="62" t="s">
        <v>2</v>
      </c>
    </row>
    <row r="89" spans="1:3" ht="15.6" x14ac:dyDescent="0.25">
      <c r="A89" s="88" t="s">
        <v>225</v>
      </c>
      <c r="B89" s="106">
        <f>'Прайс для расчета (М)'!E191</f>
        <v>141.22499999999999</v>
      </c>
      <c r="C89" s="62" t="s">
        <v>0</v>
      </c>
    </row>
    <row r="90" spans="1:3" ht="15.6" x14ac:dyDescent="0.25">
      <c r="A90" s="90" t="s">
        <v>1026</v>
      </c>
      <c r="B90" s="106">
        <f>'Прайс для расчета (М)'!E192</f>
        <v>307.125</v>
      </c>
      <c r="C90" s="62" t="s">
        <v>2</v>
      </c>
    </row>
    <row r="91" spans="1:3" x14ac:dyDescent="0.25">
      <c r="A91" s="173" t="s">
        <v>966</v>
      </c>
      <c r="B91" s="174"/>
      <c r="C91" s="174"/>
    </row>
    <row r="92" spans="1:3" ht="15.6" x14ac:dyDescent="0.25">
      <c r="A92" s="88" t="s">
        <v>389</v>
      </c>
      <c r="B92" s="106">
        <f>'Прайс для расчета (М)'!E193</f>
        <v>42</v>
      </c>
      <c r="C92" s="62" t="s">
        <v>646</v>
      </c>
    </row>
    <row r="93" spans="1:3" ht="15.6" x14ac:dyDescent="0.25">
      <c r="A93" s="88" t="s">
        <v>390</v>
      </c>
      <c r="B93" s="106">
        <f>'Прайс для расчета (М)'!E194</f>
        <v>393.75</v>
      </c>
      <c r="C93" s="62" t="s">
        <v>646</v>
      </c>
    </row>
    <row r="94" spans="1:3" ht="15.6" x14ac:dyDescent="0.25">
      <c r="A94" s="88" t="s">
        <v>391</v>
      </c>
      <c r="B94" s="106">
        <f>'Прайс для расчета (М)'!E195</f>
        <v>446.25</v>
      </c>
      <c r="C94" s="62" t="s">
        <v>646</v>
      </c>
    </row>
    <row r="95" spans="1:3" ht="15.6" x14ac:dyDescent="0.25">
      <c r="A95" s="88" t="s">
        <v>392</v>
      </c>
      <c r="B95" s="106">
        <f>'Прайс для расчета (М)'!E196</f>
        <v>498.75</v>
      </c>
      <c r="C95" s="62" t="s">
        <v>646</v>
      </c>
    </row>
    <row r="96" spans="1:3" ht="15.6" x14ac:dyDescent="0.25">
      <c r="A96" s="88" t="s">
        <v>393</v>
      </c>
      <c r="B96" s="106">
        <f>'Прайс для расчета (М)'!E197</f>
        <v>393.75</v>
      </c>
      <c r="C96" s="62" t="s">
        <v>646</v>
      </c>
    </row>
    <row r="97" spans="1:3" ht="15.6" x14ac:dyDescent="0.25">
      <c r="A97" s="88" t="s">
        <v>52</v>
      </c>
      <c r="B97" s="106">
        <f>'Прайс для расчета (М)'!E198</f>
        <v>102.375</v>
      </c>
      <c r="C97" s="62" t="s">
        <v>2</v>
      </c>
    </row>
    <row r="98" spans="1:3" ht="15.6" x14ac:dyDescent="0.25">
      <c r="A98" s="88" t="s">
        <v>53</v>
      </c>
      <c r="B98" s="106">
        <f>'Прайс для расчета (М)'!E199</f>
        <v>97.125</v>
      </c>
      <c r="C98" s="62" t="s">
        <v>646</v>
      </c>
    </row>
    <row r="99" spans="1:3" ht="15.6" x14ac:dyDescent="0.25">
      <c r="A99" s="88" t="s">
        <v>394</v>
      </c>
      <c r="B99" s="106">
        <f>'Прайс для расчета (М)'!E200</f>
        <v>433.125</v>
      </c>
      <c r="C99" s="62" t="s">
        <v>646</v>
      </c>
    </row>
    <row r="100" spans="1:3" ht="15.6" x14ac:dyDescent="0.25">
      <c r="A100" s="88" t="s">
        <v>395</v>
      </c>
      <c r="B100" s="106">
        <f>'Прайс для расчета (М)'!E201</f>
        <v>131.25</v>
      </c>
      <c r="C100" s="62" t="s">
        <v>646</v>
      </c>
    </row>
    <row r="101" spans="1:3" x14ac:dyDescent="0.25">
      <c r="A101" s="173" t="s">
        <v>967</v>
      </c>
      <c r="B101" s="174"/>
      <c r="C101" s="174"/>
    </row>
    <row r="102" spans="1:3" ht="15.6" x14ac:dyDescent="0.25">
      <c r="A102" s="90" t="s">
        <v>1022</v>
      </c>
      <c r="B102" s="106">
        <f>'Прайс для расчета (М)'!E202</f>
        <v>67.725000000000009</v>
      </c>
      <c r="C102" s="62" t="s">
        <v>2</v>
      </c>
    </row>
    <row r="103" spans="1:3" ht="15.6" x14ac:dyDescent="0.25">
      <c r="A103" s="230" t="s">
        <v>1032</v>
      </c>
      <c r="B103" s="106">
        <f>'Прайс для расчета (М)'!E204</f>
        <v>446.25</v>
      </c>
      <c r="C103" s="62" t="s">
        <v>2</v>
      </c>
    </row>
    <row r="104" spans="1:3" ht="26.4" x14ac:dyDescent="0.25">
      <c r="A104" s="230" t="s">
        <v>1030</v>
      </c>
      <c r="B104" s="106">
        <f>'Прайс для расчета (М)'!E205</f>
        <v>551.25</v>
      </c>
      <c r="C104" s="62" t="s">
        <v>2</v>
      </c>
    </row>
    <row r="105" spans="1:3" ht="26.4" x14ac:dyDescent="0.25">
      <c r="A105" s="230" t="s">
        <v>1031</v>
      </c>
      <c r="B105" s="106">
        <f>'Прайс для расчета (М)'!E206</f>
        <v>446.25</v>
      </c>
      <c r="C105" s="62" t="s">
        <v>2</v>
      </c>
    </row>
    <row r="106" spans="1:3" ht="15.6" hidden="1" x14ac:dyDescent="0.25">
      <c r="A106" s="88" t="s">
        <v>399</v>
      </c>
      <c r="B106" s="106">
        <f>'Прайс для расчета (М)'!E207</f>
        <v>105</v>
      </c>
      <c r="C106" s="62" t="s">
        <v>2</v>
      </c>
    </row>
    <row r="107" spans="1:3" ht="26.4" x14ac:dyDescent="0.25">
      <c r="A107" s="90" t="s">
        <v>1005</v>
      </c>
      <c r="B107" s="106">
        <f>'Прайс для расчета (М)'!E208</f>
        <v>1548.75</v>
      </c>
      <c r="C107" s="62" t="s">
        <v>2</v>
      </c>
    </row>
    <row r="108" spans="1:3" ht="15.6" x14ac:dyDescent="0.25">
      <c r="A108" s="88" t="s">
        <v>400</v>
      </c>
      <c r="B108" s="106">
        <f>'Прайс для расчета (М)'!E209</f>
        <v>120.02549999999999</v>
      </c>
      <c r="C108" s="62" t="s">
        <v>2</v>
      </c>
    </row>
    <row r="109" spans="1:3" ht="15.6" x14ac:dyDescent="0.25">
      <c r="A109" s="88" t="s">
        <v>401</v>
      </c>
      <c r="B109" s="106">
        <f>'Прайс для расчета (М)'!E210</f>
        <v>82.004999999999995</v>
      </c>
      <c r="C109" s="62" t="s">
        <v>646</v>
      </c>
    </row>
    <row r="110" spans="1:3" ht="15.6" x14ac:dyDescent="0.25">
      <c r="A110" s="90" t="s">
        <v>1083</v>
      </c>
      <c r="B110" s="106">
        <f>'Прайс для расчета (М)'!E211</f>
        <v>238.56</v>
      </c>
      <c r="C110" s="62" t="s">
        <v>2</v>
      </c>
    </row>
    <row r="111" spans="1:3" ht="15.6" x14ac:dyDescent="0.25">
      <c r="A111" s="90" t="s">
        <v>1023</v>
      </c>
      <c r="B111" s="106">
        <f>'Прайс для расчета (М)'!E212</f>
        <v>62.475000000000001</v>
      </c>
      <c r="C111" s="62" t="s">
        <v>2</v>
      </c>
    </row>
    <row r="112" spans="1:3" ht="15.6" x14ac:dyDescent="0.25">
      <c r="A112" s="88" t="s">
        <v>676</v>
      </c>
      <c r="B112" s="106">
        <f>'Прайс для расчета (М)'!E214</f>
        <v>149.625</v>
      </c>
      <c r="C112" s="62" t="s">
        <v>2</v>
      </c>
    </row>
    <row r="113" spans="1:3" ht="15.6" x14ac:dyDescent="0.25">
      <c r="A113" s="88" t="s">
        <v>403</v>
      </c>
      <c r="B113" s="106">
        <f>'Прайс для расчета (М)'!E215</f>
        <v>118.125</v>
      </c>
      <c r="C113" s="62" t="s">
        <v>2</v>
      </c>
    </row>
    <row r="114" spans="1:3" ht="15.6" x14ac:dyDescent="0.25">
      <c r="A114" s="230" t="s">
        <v>1035</v>
      </c>
      <c r="B114" s="106">
        <f>'Прайс для расчета (М)'!E216</f>
        <v>312.375</v>
      </c>
      <c r="C114" s="62" t="s">
        <v>2</v>
      </c>
    </row>
    <row r="115" spans="1:3" ht="15.6" x14ac:dyDescent="0.25">
      <c r="A115" s="230" t="s">
        <v>1041</v>
      </c>
      <c r="B115" s="106">
        <f>'Прайс для расчета (М)'!E217</f>
        <v>393.75</v>
      </c>
      <c r="C115" s="62" t="s">
        <v>2</v>
      </c>
    </row>
    <row r="116" spans="1:3" ht="15.6" x14ac:dyDescent="0.25">
      <c r="A116" s="230" t="s">
        <v>1040</v>
      </c>
      <c r="B116" s="106">
        <f>'Прайс для расчета (М)'!E218</f>
        <v>603.75</v>
      </c>
      <c r="C116" s="62" t="s">
        <v>2</v>
      </c>
    </row>
    <row r="117" spans="1:3" ht="15.6" x14ac:dyDescent="0.25">
      <c r="A117" s="230" t="s">
        <v>1038</v>
      </c>
      <c r="B117" s="106">
        <f>'Прайс для расчета (М)'!E219</f>
        <v>131.25</v>
      </c>
      <c r="C117" s="62" t="s">
        <v>2</v>
      </c>
    </row>
    <row r="118" spans="1:3" ht="15.6" x14ac:dyDescent="0.25">
      <c r="A118" s="230" t="s">
        <v>1039</v>
      </c>
      <c r="B118" s="106">
        <f>'Прайс для расчета (М)'!E220</f>
        <v>498.75</v>
      </c>
      <c r="C118" s="62" t="s">
        <v>2</v>
      </c>
    </row>
    <row r="119" spans="1:3" ht="15.6" x14ac:dyDescent="0.25">
      <c r="A119" s="88" t="s">
        <v>4</v>
      </c>
      <c r="B119" s="106">
        <f>'Прайс для расчета (М)'!E221</f>
        <v>367.5</v>
      </c>
      <c r="C119" s="62" t="s">
        <v>2</v>
      </c>
    </row>
    <row r="120" spans="1:3" ht="15.6" x14ac:dyDescent="0.25">
      <c r="A120" s="88" t="s">
        <v>152</v>
      </c>
      <c r="B120" s="106">
        <f>'Прайс для расчета (М)'!E222</f>
        <v>52.5</v>
      </c>
      <c r="C120" s="62" t="s">
        <v>2</v>
      </c>
    </row>
    <row r="121" spans="1:3" ht="15.6" x14ac:dyDescent="0.25">
      <c r="A121" s="88" t="s">
        <v>153</v>
      </c>
      <c r="B121" s="106">
        <f>'Прайс для расчета (М)'!E223</f>
        <v>146.47499999999999</v>
      </c>
      <c r="C121" s="62" t="s">
        <v>2</v>
      </c>
    </row>
    <row r="122" spans="1:3" ht="15.6" x14ac:dyDescent="0.25">
      <c r="A122" s="90" t="s">
        <v>1027</v>
      </c>
      <c r="B122" s="106">
        <f>'Прайс для расчета (М)'!E224</f>
        <v>359.625</v>
      </c>
      <c r="C122" s="62" t="s">
        <v>2</v>
      </c>
    </row>
    <row r="123" spans="1:3" ht="15.6" x14ac:dyDescent="0.25">
      <c r="A123" s="90" t="s">
        <v>982</v>
      </c>
      <c r="B123" s="106">
        <f>'Прайс для расчета (М)'!E225</f>
        <v>1149.75</v>
      </c>
      <c r="C123" s="62" t="s">
        <v>646</v>
      </c>
    </row>
    <row r="124" spans="1:3" ht="15.6" x14ac:dyDescent="0.25">
      <c r="A124" s="230" t="s">
        <v>1050</v>
      </c>
      <c r="B124" s="106">
        <f>'Прайс для расчета (М)'!E226</f>
        <v>971.25</v>
      </c>
      <c r="C124" s="62" t="s">
        <v>2</v>
      </c>
    </row>
    <row r="125" spans="1:3" ht="15.6" x14ac:dyDescent="0.25">
      <c r="A125" s="230" t="s">
        <v>1049</v>
      </c>
      <c r="B125" s="106">
        <f>'Прайс для расчета (М)'!E227</f>
        <v>1023.75</v>
      </c>
      <c r="C125" s="62" t="s">
        <v>2</v>
      </c>
    </row>
    <row r="126" spans="1:3" ht="26.4" x14ac:dyDescent="0.25">
      <c r="A126" s="230" t="s">
        <v>1051</v>
      </c>
      <c r="B126" s="106">
        <f>'Прайс для расчета (М)'!E228</f>
        <v>1233.75</v>
      </c>
      <c r="C126" s="62" t="s">
        <v>2</v>
      </c>
    </row>
    <row r="127" spans="1:3" ht="15.6" x14ac:dyDescent="0.25">
      <c r="A127" s="89" t="s">
        <v>888</v>
      </c>
      <c r="B127" s="106">
        <f>'Прайс для расчета (М)'!E229</f>
        <v>1338.75</v>
      </c>
      <c r="C127" s="62" t="s">
        <v>646</v>
      </c>
    </row>
    <row r="128" spans="1:3" x14ac:dyDescent="0.25">
      <c r="A128" s="173" t="s">
        <v>968</v>
      </c>
      <c r="B128" s="174"/>
      <c r="C128" s="174"/>
    </row>
    <row r="129" spans="1:3" ht="15.6" x14ac:dyDescent="0.3">
      <c r="A129" s="89" t="s">
        <v>933</v>
      </c>
      <c r="B129" s="106">
        <f>'Прайс для расчета (М)'!E230</f>
        <v>1259.4750000000001</v>
      </c>
      <c r="C129" s="75" t="s">
        <v>2</v>
      </c>
    </row>
    <row r="130" spans="1:3" ht="15.6" x14ac:dyDescent="0.3">
      <c r="A130" s="90" t="s">
        <v>1056</v>
      </c>
      <c r="B130" s="106">
        <f>'Прайс для расчета (М)'!E231</f>
        <v>254.625</v>
      </c>
      <c r="C130" s="75" t="s">
        <v>3</v>
      </c>
    </row>
    <row r="131" spans="1:3" ht="15.6" x14ac:dyDescent="0.3">
      <c r="A131" s="88" t="s">
        <v>409</v>
      </c>
      <c r="B131" s="106">
        <f>'Прайс для расчета (М)'!E232</f>
        <v>1359.2250000000001</v>
      </c>
      <c r="C131" s="75" t="s">
        <v>2</v>
      </c>
    </row>
    <row r="132" spans="1:3" ht="26.4" x14ac:dyDescent="0.3">
      <c r="A132" s="90" t="s">
        <v>1059</v>
      </c>
      <c r="B132" s="106">
        <f>'Прайс для расчета (М)'!E233</f>
        <v>630</v>
      </c>
      <c r="C132" s="75" t="s">
        <v>2</v>
      </c>
    </row>
    <row r="133" spans="1:3" ht="15.6" x14ac:dyDescent="0.3">
      <c r="A133" s="88" t="s">
        <v>411</v>
      </c>
      <c r="B133" s="106">
        <f>'Прайс для расчета (М)'!E234</f>
        <v>1516.7250000000001</v>
      </c>
      <c r="C133" s="75" t="s">
        <v>2</v>
      </c>
    </row>
    <row r="134" spans="1:3" ht="15.6" x14ac:dyDescent="0.3">
      <c r="A134" s="90" t="s">
        <v>1062</v>
      </c>
      <c r="B134" s="106">
        <f>'Прайс для расчета (М)'!E235</f>
        <v>485.625</v>
      </c>
      <c r="C134" s="75" t="s">
        <v>3</v>
      </c>
    </row>
    <row r="135" spans="1:3" ht="15.6" x14ac:dyDescent="0.3">
      <c r="A135" s="89" t="s">
        <v>923</v>
      </c>
      <c r="B135" s="106">
        <f>'Прайс для расчета (М)'!E236</f>
        <v>1706.25</v>
      </c>
      <c r="C135" s="75" t="s">
        <v>2</v>
      </c>
    </row>
    <row r="136" spans="1:3" ht="15.6" x14ac:dyDescent="0.3">
      <c r="A136" s="89" t="s">
        <v>988</v>
      </c>
      <c r="B136" s="106">
        <f>'Прайс для расчета (М)'!E237</f>
        <v>1469.4750000000001</v>
      </c>
      <c r="C136" s="75" t="s">
        <v>2</v>
      </c>
    </row>
    <row r="137" spans="1:3" ht="15.6" x14ac:dyDescent="0.3">
      <c r="A137" s="89" t="s">
        <v>922</v>
      </c>
      <c r="B137" s="106">
        <f>'Прайс для расчета (М)'!E238</f>
        <v>1548.75</v>
      </c>
      <c r="C137" s="75" t="s">
        <v>2</v>
      </c>
    </row>
    <row r="138" spans="1:3" ht="15.6" x14ac:dyDescent="0.3">
      <c r="A138" s="89" t="s">
        <v>989</v>
      </c>
      <c r="B138" s="106">
        <f>'Прайс для расчета (М)'!E239</f>
        <v>1858.5</v>
      </c>
      <c r="C138" s="75" t="s">
        <v>2</v>
      </c>
    </row>
    <row r="139" spans="1:3" ht="15.6" x14ac:dyDescent="0.3">
      <c r="A139" s="89" t="s">
        <v>936</v>
      </c>
      <c r="B139" s="106">
        <f>'Прайс для расчета (М)'!E240</f>
        <v>3118.5</v>
      </c>
      <c r="C139" s="75" t="s">
        <v>2</v>
      </c>
    </row>
    <row r="140" spans="1:3" s="6" customFormat="1" ht="15.6" x14ac:dyDescent="0.3">
      <c r="A140" s="90" t="s">
        <v>1065</v>
      </c>
      <c r="B140" s="106">
        <f>'Прайс для расчета (М)'!E241</f>
        <v>1811.25</v>
      </c>
      <c r="C140" s="75" t="s">
        <v>2</v>
      </c>
    </row>
    <row r="141" spans="1:3" ht="15.6" x14ac:dyDescent="0.3">
      <c r="A141" s="90" t="s">
        <v>1066</v>
      </c>
      <c r="B141" s="106">
        <f>'Прайс для расчета (М)'!E242</f>
        <v>2598.75</v>
      </c>
      <c r="C141" s="75" t="s">
        <v>2</v>
      </c>
    </row>
    <row r="142" spans="1:3" ht="15.6" x14ac:dyDescent="0.3">
      <c r="A142" s="90" t="s">
        <v>1067</v>
      </c>
      <c r="B142" s="106">
        <f>'Прайс для расчета (М)'!E243</f>
        <v>1548.75</v>
      </c>
      <c r="C142" s="75" t="s">
        <v>2</v>
      </c>
    </row>
    <row r="143" spans="1:3" ht="15.6" x14ac:dyDescent="0.3">
      <c r="A143" s="88" t="s">
        <v>412</v>
      </c>
      <c r="B143" s="106">
        <f>'Прайс для расчета (М)'!E244</f>
        <v>202.125</v>
      </c>
      <c r="C143" s="75" t="s">
        <v>2</v>
      </c>
    </row>
    <row r="144" spans="1:3" ht="15.6" x14ac:dyDescent="0.3">
      <c r="A144" s="89" t="s">
        <v>937</v>
      </c>
      <c r="B144" s="106">
        <f>'Прайс для расчета (М)'!E245</f>
        <v>622.125</v>
      </c>
      <c r="C144" s="75" t="s">
        <v>2</v>
      </c>
    </row>
    <row r="145" spans="1:3" ht="15.6" x14ac:dyDescent="0.3">
      <c r="A145" s="89" t="s">
        <v>938</v>
      </c>
      <c r="B145" s="106">
        <f>'Прайс для расчета (М)'!E246</f>
        <v>464.625</v>
      </c>
      <c r="C145" s="75" t="s">
        <v>2</v>
      </c>
    </row>
    <row r="146" spans="1:3" ht="15.6" x14ac:dyDescent="0.3">
      <c r="A146" s="88" t="s">
        <v>677</v>
      </c>
      <c r="B146" s="106">
        <f>'Прайс для расчета (М)'!E247</f>
        <v>286.125</v>
      </c>
      <c r="C146" s="75" t="s">
        <v>646</v>
      </c>
    </row>
    <row r="147" spans="1:3" ht="15.6" x14ac:dyDescent="0.3">
      <c r="A147" s="88" t="s">
        <v>413</v>
      </c>
      <c r="B147" s="106">
        <f>'Прайс для расчета (М)'!E248</f>
        <v>511.875</v>
      </c>
      <c r="C147" s="75" t="s">
        <v>646</v>
      </c>
    </row>
    <row r="148" spans="1:3" ht="15.6" x14ac:dyDescent="0.25">
      <c r="A148" s="88" t="s">
        <v>414</v>
      </c>
      <c r="B148" s="106">
        <f>'Прайс для расчета (М)'!E249</f>
        <v>357.84</v>
      </c>
      <c r="C148" s="62" t="s">
        <v>2</v>
      </c>
    </row>
    <row r="149" spans="1:3" ht="15.6" x14ac:dyDescent="0.25">
      <c r="A149" s="88" t="s">
        <v>145</v>
      </c>
      <c r="B149" s="106">
        <f>'Прайс для расчета (М)'!E250</f>
        <v>409.5</v>
      </c>
      <c r="C149" s="62" t="s">
        <v>2</v>
      </c>
    </row>
    <row r="150" spans="1:3" ht="15.6" x14ac:dyDescent="0.25">
      <c r="A150" s="89" t="s">
        <v>1072</v>
      </c>
      <c r="B150" s="106">
        <f>'Прайс для расчета (М)'!E251</f>
        <v>438.375</v>
      </c>
      <c r="C150" s="62" t="s">
        <v>2</v>
      </c>
    </row>
    <row r="151" spans="1:3" ht="15.6" x14ac:dyDescent="0.25">
      <c r="A151" s="89" t="s">
        <v>1073</v>
      </c>
      <c r="B151" s="106">
        <f>'Прайс для расчета (М)'!E252</f>
        <v>548.625</v>
      </c>
      <c r="C151" s="62" t="s">
        <v>2</v>
      </c>
    </row>
    <row r="152" spans="1:3" ht="15.6" x14ac:dyDescent="0.25">
      <c r="A152" s="89" t="s">
        <v>892</v>
      </c>
      <c r="B152" s="106">
        <f>'Прайс для расчета (М)'!E253</f>
        <v>149.625</v>
      </c>
      <c r="C152" s="62" t="s">
        <v>2</v>
      </c>
    </row>
    <row r="153" spans="1:3" ht="15.6" x14ac:dyDescent="0.25">
      <c r="A153" s="88" t="s">
        <v>415</v>
      </c>
      <c r="B153" s="106">
        <f>'Прайс для расчета (М)'!E254</f>
        <v>522.375</v>
      </c>
      <c r="C153" s="62" t="s">
        <v>2</v>
      </c>
    </row>
    <row r="154" spans="1:3" ht="15.6" x14ac:dyDescent="0.25">
      <c r="A154" s="88" t="s">
        <v>519</v>
      </c>
      <c r="B154" s="106">
        <f>'Прайс для расчета (М)'!E255</f>
        <v>700.875</v>
      </c>
      <c r="C154" s="62" t="s">
        <v>2</v>
      </c>
    </row>
    <row r="155" spans="1:3" ht="15.6" x14ac:dyDescent="0.25">
      <c r="A155" s="89" t="s">
        <v>891</v>
      </c>
      <c r="B155" s="106">
        <f>'Прайс для расчета (М)'!E256</f>
        <v>1491</v>
      </c>
      <c r="C155" s="62" t="s">
        <v>2</v>
      </c>
    </row>
    <row r="156" spans="1:3" ht="15.6" x14ac:dyDescent="0.25">
      <c r="A156" s="88" t="s">
        <v>416</v>
      </c>
      <c r="B156" s="106">
        <f>'Прайс для расчета (М)'!E257</f>
        <v>577.5</v>
      </c>
      <c r="C156" s="62" t="s">
        <v>2</v>
      </c>
    </row>
    <row r="157" spans="1:3" ht="15.6" x14ac:dyDescent="0.25">
      <c r="A157" s="88" t="s">
        <v>149</v>
      </c>
      <c r="B157" s="106">
        <f>'Прайс для расчета (М)'!E258</f>
        <v>220.5</v>
      </c>
      <c r="C157" s="62" t="s">
        <v>2</v>
      </c>
    </row>
    <row r="158" spans="1:3" ht="15.6" x14ac:dyDescent="0.25">
      <c r="A158" s="88" t="s">
        <v>150</v>
      </c>
      <c r="B158" s="106">
        <f>'Прайс для расчета (М)'!E259</f>
        <v>257.25</v>
      </c>
      <c r="C158" s="62" t="s">
        <v>2</v>
      </c>
    </row>
    <row r="159" spans="1:3" ht="15.6" x14ac:dyDescent="0.25">
      <c r="A159" s="88" t="s">
        <v>417</v>
      </c>
      <c r="B159" s="106">
        <f>'Прайс для расчета (М)'!E260</f>
        <v>112.35000000000001</v>
      </c>
      <c r="C159" s="62" t="s">
        <v>3</v>
      </c>
    </row>
    <row r="160" spans="1:3" ht="15.6" x14ac:dyDescent="0.25">
      <c r="A160" s="88" t="s">
        <v>250</v>
      </c>
      <c r="B160" s="106">
        <f>'Прайс для расчета (М)'!E261</f>
        <v>325.5</v>
      </c>
      <c r="C160" s="62" t="s">
        <v>3</v>
      </c>
    </row>
    <row r="161" spans="1:3" ht="15.6" x14ac:dyDescent="0.25">
      <c r="A161" s="89" t="s">
        <v>890</v>
      </c>
      <c r="B161" s="106">
        <f>'Прайс для расчета (М)'!E262</f>
        <v>417.375</v>
      </c>
      <c r="C161" s="62" t="s">
        <v>3</v>
      </c>
    </row>
    <row r="162" spans="1:3" ht="15.6" x14ac:dyDescent="0.25">
      <c r="A162" s="88" t="s">
        <v>418</v>
      </c>
      <c r="B162" s="106">
        <f>'Прайс для расчета (М)'!E263</f>
        <v>393.75</v>
      </c>
      <c r="C162" s="62" t="s">
        <v>0</v>
      </c>
    </row>
    <row r="163" spans="1:3" ht="15.6" x14ac:dyDescent="0.25">
      <c r="A163" s="88" t="s">
        <v>137</v>
      </c>
      <c r="B163" s="106">
        <f>'Прайс для расчета (М)'!E264</f>
        <v>1275.75</v>
      </c>
      <c r="C163" s="62" t="s">
        <v>0</v>
      </c>
    </row>
    <row r="164" spans="1:3" ht="15.6" x14ac:dyDescent="0.25">
      <c r="A164" s="88" t="s">
        <v>520</v>
      </c>
      <c r="B164" s="106">
        <f>'Прайс для расчета (М)'!E265</f>
        <v>76.125</v>
      </c>
      <c r="C164" s="62" t="s">
        <v>3</v>
      </c>
    </row>
    <row r="165" spans="1:3" x14ac:dyDescent="0.25">
      <c r="A165" s="173" t="s">
        <v>969</v>
      </c>
      <c r="B165" s="174"/>
      <c r="C165" s="174"/>
    </row>
    <row r="166" spans="1:3" ht="26.4" x14ac:dyDescent="0.25">
      <c r="A166" s="89" t="s">
        <v>1055</v>
      </c>
      <c r="B166" s="106">
        <f>'Прайс для расчета (М)'!E266</f>
        <v>1311.9750000000001</v>
      </c>
      <c r="C166" s="62" t="s">
        <v>2</v>
      </c>
    </row>
    <row r="167" spans="1:3" ht="15.6" x14ac:dyDescent="0.25">
      <c r="A167" s="89" t="s">
        <v>991</v>
      </c>
      <c r="B167" s="106">
        <f>'Прайс для расчета (М)'!E267</f>
        <v>1521.9750000000001</v>
      </c>
      <c r="C167" s="62" t="s">
        <v>2</v>
      </c>
    </row>
    <row r="168" spans="1:3" ht="15.6" x14ac:dyDescent="0.25">
      <c r="A168" s="89" t="s">
        <v>941</v>
      </c>
      <c r="B168" s="106">
        <f>'Прайс для расчета (М)'!E268</f>
        <v>1601.25</v>
      </c>
      <c r="C168" s="62" t="s">
        <v>2</v>
      </c>
    </row>
    <row r="169" spans="1:3" ht="15.6" x14ac:dyDescent="0.25">
      <c r="A169" s="89" t="s">
        <v>989</v>
      </c>
      <c r="B169" s="106">
        <f>'Прайс для расчета (М)'!E269</f>
        <v>1963.5</v>
      </c>
      <c r="C169" s="62" t="s">
        <v>2</v>
      </c>
    </row>
    <row r="170" spans="1:3" ht="15.6" x14ac:dyDescent="0.25">
      <c r="A170" s="89" t="s">
        <v>924</v>
      </c>
      <c r="B170" s="106">
        <f>'Прайс для расчета (М)'!E270</f>
        <v>3381</v>
      </c>
      <c r="C170" s="62" t="s">
        <v>2</v>
      </c>
    </row>
    <row r="171" spans="1:3" ht="15.6" x14ac:dyDescent="0.25">
      <c r="A171" s="88" t="s">
        <v>419</v>
      </c>
      <c r="B171" s="106">
        <f>'Прайс для расчета (М)'!E271</f>
        <v>1411.7250000000001</v>
      </c>
      <c r="C171" s="62" t="s">
        <v>2</v>
      </c>
    </row>
    <row r="172" spans="1:3" ht="26.4" x14ac:dyDescent="0.25">
      <c r="A172" s="90" t="s">
        <v>1059</v>
      </c>
      <c r="B172" s="106">
        <f>'Прайс для расчета (М)'!E272</f>
        <v>682.5</v>
      </c>
      <c r="C172" s="62" t="s">
        <v>2</v>
      </c>
    </row>
    <row r="173" spans="1:3" ht="15.6" hidden="1" x14ac:dyDescent="0.25">
      <c r="A173" s="89" t="s">
        <v>943</v>
      </c>
      <c r="B173" s="106">
        <f>'Прайс для расчета (М)'!E273</f>
        <v>0</v>
      </c>
      <c r="C173" s="62" t="s">
        <v>2</v>
      </c>
    </row>
    <row r="174" spans="1:3" ht="15.6" x14ac:dyDescent="0.25">
      <c r="A174" s="89" t="s">
        <v>944</v>
      </c>
      <c r="B174" s="106">
        <f>'Прайс для расчета (М)'!E274</f>
        <v>1758.75</v>
      </c>
      <c r="C174" s="62" t="s">
        <v>2</v>
      </c>
    </row>
    <row r="175" spans="1:3" ht="15.6" x14ac:dyDescent="0.25">
      <c r="A175" s="90" t="s">
        <v>1063</v>
      </c>
      <c r="B175" s="106">
        <f>'Прайс для расчета (М)'!E275</f>
        <v>511.875</v>
      </c>
      <c r="C175" s="62" t="s">
        <v>2</v>
      </c>
    </row>
    <row r="176" spans="1:3" ht="15.6" x14ac:dyDescent="0.25">
      <c r="A176" s="90" t="s">
        <v>1068</v>
      </c>
      <c r="B176" s="106">
        <f>'Прайс для расчета (М)'!E276</f>
        <v>2192.4</v>
      </c>
      <c r="C176" s="62" t="s">
        <v>3</v>
      </c>
    </row>
    <row r="177" spans="1:3" ht="15.6" x14ac:dyDescent="0.25">
      <c r="A177" s="89" t="s">
        <v>1069</v>
      </c>
      <c r="B177" s="106">
        <f>'Прайс для расчета (М)'!E277</f>
        <v>2021.25</v>
      </c>
      <c r="C177" s="62" t="s">
        <v>2</v>
      </c>
    </row>
    <row r="178" spans="1:3" ht="15.6" x14ac:dyDescent="0.25">
      <c r="A178" s="89" t="s">
        <v>1071</v>
      </c>
      <c r="B178" s="106">
        <f>'Прайс для расчета (М)'!E278</f>
        <v>2756.25</v>
      </c>
      <c r="C178" s="62" t="s">
        <v>2</v>
      </c>
    </row>
    <row r="179" spans="1:3" ht="15.6" x14ac:dyDescent="0.25">
      <c r="A179" s="88" t="s">
        <v>231</v>
      </c>
      <c r="B179" s="106">
        <f>'Прайс для расчета (М)'!E279</f>
        <v>207.375</v>
      </c>
      <c r="C179" s="62" t="s">
        <v>2</v>
      </c>
    </row>
    <row r="180" spans="1:3" ht="15.6" x14ac:dyDescent="0.25">
      <c r="A180" s="89" t="s">
        <v>937</v>
      </c>
      <c r="B180" s="106">
        <f>'Прайс для расчета (М)'!E280</f>
        <v>674.625</v>
      </c>
      <c r="C180" s="62" t="s">
        <v>2</v>
      </c>
    </row>
    <row r="181" spans="1:3" ht="15.6" x14ac:dyDescent="0.25">
      <c r="A181" s="89" t="s">
        <v>938</v>
      </c>
      <c r="B181" s="106">
        <f>'Прайс для расчета (М)'!E281</f>
        <v>522.375</v>
      </c>
      <c r="C181" s="62" t="s">
        <v>2</v>
      </c>
    </row>
    <row r="182" spans="1:3" ht="15.6" x14ac:dyDescent="0.25">
      <c r="A182" s="88" t="s">
        <v>421</v>
      </c>
      <c r="B182" s="106">
        <f>'Прайс для расчета (М)'!E282</f>
        <v>254.625</v>
      </c>
      <c r="C182" s="62" t="s">
        <v>3</v>
      </c>
    </row>
    <row r="183" spans="1:3" ht="15.6" x14ac:dyDescent="0.25">
      <c r="A183" s="88" t="s">
        <v>677</v>
      </c>
      <c r="B183" s="106">
        <f>'Прайс для расчета (М)'!E283</f>
        <v>286.125</v>
      </c>
      <c r="C183" s="62" t="s">
        <v>3</v>
      </c>
    </row>
    <row r="184" spans="1:3" ht="15.6" x14ac:dyDescent="0.25">
      <c r="A184" s="88" t="s">
        <v>160</v>
      </c>
      <c r="B184" s="106">
        <f>'Прайс для расчета (М)'!E284</f>
        <v>1569.2250000000001</v>
      </c>
      <c r="C184" s="62" t="s">
        <v>2</v>
      </c>
    </row>
    <row r="185" spans="1:3" ht="15.6" x14ac:dyDescent="0.25">
      <c r="A185" s="88" t="s">
        <v>232</v>
      </c>
      <c r="B185" s="106">
        <f>'Прайс для расчета (М)'!E285</f>
        <v>732.375</v>
      </c>
      <c r="C185" s="62" t="s">
        <v>3</v>
      </c>
    </row>
    <row r="186" spans="1:3" ht="15.6" x14ac:dyDescent="0.25">
      <c r="A186" s="88" t="s">
        <v>523</v>
      </c>
      <c r="B186" s="106">
        <f>'Прайс для расчета (М)'!E286</f>
        <v>183.75</v>
      </c>
      <c r="C186" s="62" t="s">
        <v>3</v>
      </c>
    </row>
    <row r="187" spans="1:3" ht="15.6" x14ac:dyDescent="0.25">
      <c r="A187" s="88" t="s">
        <v>270</v>
      </c>
      <c r="B187" s="106">
        <f>'Прайс для расчета (М)'!E287</f>
        <v>1110.375</v>
      </c>
      <c r="C187" s="62" t="s">
        <v>2</v>
      </c>
    </row>
    <row r="188" spans="1:3" ht="15.6" x14ac:dyDescent="0.25">
      <c r="A188" s="88" t="s">
        <v>524</v>
      </c>
      <c r="B188" s="106">
        <f>'Прайс для расчета (М)'!E288</f>
        <v>1288.875</v>
      </c>
      <c r="C188" s="62" t="s">
        <v>2</v>
      </c>
    </row>
    <row r="189" spans="1:3" ht="15.6" x14ac:dyDescent="0.25">
      <c r="A189" s="88" t="s">
        <v>525</v>
      </c>
      <c r="B189" s="106">
        <f>'Прайс для расчета (М)'!E289</f>
        <v>645.75</v>
      </c>
      <c r="C189" s="62" t="s">
        <v>2</v>
      </c>
    </row>
    <row r="190" spans="1:3" ht="15.6" x14ac:dyDescent="0.25">
      <c r="A190" s="88" t="s">
        <v>526</v>
      </c>
      <c r="B190" s="106">
        <f>'Прайс для расчета (М)'!E290</f>
        <v>593.25</v>
      </c>
      <c r="C190" s="62" t="s">
        <v>2</v>
      </c>
    </row>
    <row r="191" spans="1:3" ht="15.6" x14ac:dyDescent="0.25">
      <c r="A191" s="90" t="s">
        <v>271</v>
      </c>
      <c r="B191" s="106">
        <f>'Прайс для расчета (М)'!E291</f>
        <v>380.625</v>
      </c>
      <c r="C191" s="62" t="s">
        <v>2</v>
      </c>
    </row>
    <row r="192" spans="1:3" ht="15.6" x14ac:dyDescent="0.25">
      <c r="A192" s="88" t="s">
        <v>566</v>
      </c>
      <c r="B192" s="106">
        <f>'Прайс для расчета (М)'!E294</f>
        <v>866.25</v>
      </c>
      <c r="C192" s="62" t="s">
        <v>2</v>
      </c>
    </row>
    <row r="193" spans="1:3" ht="15.6" x14ac:dyDescent="0.25">
      <c r="A193" s="88" t="s">
        <v>527</v>
      </c>
      <c r="B193" s="106">
        <f>'Прайс для расчета (М)'!E295</f>
        <v>971.25</v>
      </c>
      <c r="C193" s="62" t="s">
        <v>2</v>
      </c>
    </row>
    <row r="194" spans="1:3" ht="15.6" x14ac:dyDescent="0.25">
      <c r="A194" s="88" t="s">
        <v>678</v>
      </c>
      <c r="B194" s="106">
        <f>'Прайс для расчета (М)'!E296</f>
        <v>1548.75</v>
      </c>
      <c r="C194" s="62" t="s">
        <v>2</v>
      </c>
    </row>
    <row r="195" spans="1:3" ht="15.6" x14ac:dyDescent="0.25">
      <c r="A195" s="88" t="s">
        <v>679</v>
      </c>
      <c r="B195" s="106">
        <f>'Прайс для расчета (М)'!E297</f>
        <v>522.375</v>
      </c>
      <c r="C195" s="62" t="s">
        <v>2</v>
      </c>
    </row>
    <row r="196" spans="1:3" ht="15.6" x14ac:dyDescent="0.25">
      <c r="A196" s="88" t="s">
        <v>422</v>
      </c>
      <c r="B196" s="106">
        <f>'Прайс для расчета (М)'!E298</f>
        <v>296.625</v>
      </c>
      <c r="C196" s="62" t="s">
        <v>2</v>
      </c>
    </row>
    <row r="197" spans="1:3" ht="15.6" x14ac:dyDescent="0.25">
      <c r="A197" s="89" t="s">
        <v>947</v>
      </c>
      <c r="B197" s="106">
        <f>'Прайс для расчета (М)'!E299</f>
        <v>317.625</v>
      </c>
      <c r="C197" s="62" t="s">
        <v>2</v>
      </c>
    </row>
    <row r="198" spans="1:3" ht="26.4" x14ac:dyDescent="0.25">
      <c r="A198" s="89" t="s">
        <v>1074</v>
      </c>
      <c r="B198" s="106">
        <f>'Прайс для расчета (М)'!E300</f>
        <v>590.625</v>
      </c>
      <c r="C198" s="62" t="s">
        <v>2</v>
      </c>
    </row>
    <row r="199" spans="1:3" ht="15.6" x14ac:dyDescent="0.25">
      <c r="A199" s="88" t="s">
        <v>423</v>
      </c>
      <c r="B199" s="106">
        <f>'Прайс для расчета (М)'!E301</f>
        <v>317.625</v>
      </c>
      <c r="C199" s="62" t="s">
        <v>3</v>
      </c>
    </row>
    <row r="200" spans="1:3" ht="15.6" x14ac:dyDescent="0.25">
      <c r="A200" s="88" t="s">
        <v>424</v>
      </c>
      <c r="B200" s="106">
        <f>'Прайс для расчета (М)'!E302</f>
        <v>249.375</v>
      </c>
      <c r="C200" s="62" t="s">
        <v>2</v>
      </c>
    </row>
    <row r="201" spans="1:3" ht="15.6" x14ac:dyDescent="0.25">
      <c r="A201" s="88" t="s">
        <v>425</v>
      </c>
      <c r="B201" s="106">
        <f>'Прайс для расчета (М)'!E303</f>
        <v>91.875</v>
      </c>
      <c r="C201" s="62" t="s">
        <v>2</v>
      </c>
    </row>
    <row r="202" spans="1:3" ht="15.6" x14ac:dyDescent="0.25">
      <c r="A202" s="88" t="s">
        <v>426</v>
      </c>
      <c r="B202" s="106">
        <f>'Прайс для расчета (М)'!E304</f>
        <v>590.625</v>
      </c>
      <c r="C202" s="62" t="s">
        <v>3</v>
      </c>
    </row>
    <row r="203" spans="1:3" ht="15.6" x14ac:dyDescent="0.25">
      <c r="A203" s="88" t="s">
        <v>427</v>
      </c>
      <c r="B203" s="106">
        <f>'Прайс для расчета (М)'!E305</f>
        <v>527.625</v>
      </c>
      <c r="C203" s="62" t="s">
        <v>2</v>
      </c>
    </row>
    <row r="204" spans="1:3" ht="15.6" x14ac:dyDescent="0.25">
      <c r="A204" s="89" t="s">
        <v>428</v>
      </c>
      <c r="B204" s="106">
        <f>'Прайс для расчета (М)'!E167</f>
        <v>78.75</v>
      </c>
      <c r="C204" s="62" t="s">
        <v>2</v>
      </c>
    </row>
    <row r="205" spans="1:3" ht="15.6" x14ac:dyDescent="0.25">
      <c r="A205" s="88" t="s">
        <v>528</v>
      </c>
      <c r="B205" s="106">
        <f>'Прайс для расчета (М)'!E306</f>
        <v>1995</v>
      </c>
      <c r="C205" s="62" t="s">
        <v>2</v>
      </c>
    </row>
    <row r="206" spans="1:3" ht="15.6" x14ac:dyDescent="0.25">
      <c r="A206" s="88" t="s">
        <v>429</v>
      </c>
      <c r="B206" s="106">
        <f>'Прайс для расчета (М)'!E307</f>
        <v>236.25</v>
      </c>
      <c r="C206" s="62" t="s">
        <v>2</v>
      </c>
    </row>
    <row r="207" spans="1:3" ht="15.6" x14ac:dyDescent="0.25">
      <c r="A207" s="88" t="s">
        <v>529</v>
      </c>
      <c r="B207" s="106">
        <f>'Прайс для расчета (М)'!E308</f>
        <v>393.75</v>
      </c>
      <c r="C207" s="62" t="s">
        <v>2</v>
      </c>
    </row>
    <row r="208" spans="1:3" ht="15.6" x14ac:dyDescent="0.25">
      <c r="A208" s="88" t="s">
        <v>430</v>
      </c>
      <c r="B208" s="106">
        <f>'Прайс для расчета (М)'!E309</f>
        <v>210</v>
      </c>
      <c r="C208" s="62" t="s">
        <v>2</v>
      </c>
    </row>
    <row r="209" spans="1:3" ht="15.6" x14ac:dyDescent="0.25">
      <c r="A209" s="88" t="s">
        <v>680</v>
      </c>
      <c r="B209" s="106">
        <f>'Прайс для расчета (М)'!E310</f>
        <v>2520</v>
      </c>
      <c r="C209" s="62" t="s">
        <v>2</v>
      </c>
    </row>
    <row r="210" spans="1:3" x14ac:dyDescent="0.25">
      <c r="A210" s="173" t="s">
        <v>970</v>
      </c>
      <c r="B210" s="174"/>
      <c r="C210" s="174"/>
    </row>
    <row r="211" spans="1:3" ht="15.6" x14ac:dyDescent="0.3">
      <c r="A211" s="88" t="s">
        <v>431</v>
      </c>
      <c r="B211" s="106">
        <f>'Прайс для расчета (М)'!E311</f>
        <v>157.5</v>
      </c>
      <c r="C211" s="75" t="s">
        <v>3</v>
      </c>
    </row>
    <row r="212" spans="1:3" ht="15.6" x14ac:dyDescent="0.3">
      <c r="A212" s="88" t="s">
        <v>432</v>
      </c>
      <c r="B212" s="106">
        <f>'Прайс для расчета (М)'!E312</f>
        <v>183.75</v>
      </c>
      <c r="C212" s="75" t="s">
        <v>3</v>
      </c>
    </row>
    <row r="213" spans="1:3" ht="15.6" x14ac:dyDescent="0.3">
      <c r="A213" s="88" t="s">
        <v>115</v>
      </c>
      <c r="B213" s="106">
        <f>'Прайс для расчета (М)'!E313</f>
        <v>97.125</v>
      </c>
      <c r="C213" s="75" t="s">
        <v>3</v>
      </c>
    </row>
    <row r="214" spans="1:3" ht="15.6" x14ac:dyDescent="0.3">
      <c r="A214" s="88" t="s">
        <v>433</v>
      </c>
      <c r="B214" s="106">
        <f>'Прайс для расчета (М)'!E314</f>
        <v>367.5</v>
      </c>
      <c r="C214" s="75" t="s">
        <v>3</v>
      </c>
    </row>
    <row r="215" spans="1:3" ht="15.6" x14ac:dyDescent="0.3">
      <c r="A215" s="88" t="s">
        <v>434</v>
      </c>
      <c r="B215" s="106">
        <f>'Прайс для расчета (М)'!E315</f>
        <v>674.625</v>
      </c>
      <c r="C215" s="75" t="s">
        <v>3</v>
      </c>
    </row>
    <row r="216" spans="1:3" ht="15.6" hidden="1" x14ac:dyDescent="0.3">
      <c r="A216" s="88" t="s">
        <v>530</v>
      </c>
      <c r="B216" s="106">
        <f>'Прайс для расчета (М)'!E316</f>
        <v>0</v>
      </c>
      <c r="C216" s="75" t="s">
        <v>3</v>
      </c>
    </row>
    <row r="217" spans="1:3" ht="15.6" x14ac:dyDescent="0.3">
      <c r="A217" s="88" t="s">
        <v>435</v>
      </c>
      <c r="B217" s="106">
        <f>'Прайс для расчета (М)'!E317</f>
        <v>732.375</v>
      </c>
      <c r="C217" s="75" t="s">
        <v>3</v>
      </c>
    </row>
    <row r="218" spans="1:3" x14ac:dyDescent="0.25">
      <c r="A218" s="173" t="s">
        <v>971</v>
      </c>
      <c r="B218" s="174"/>
      <c r="C218" s="174"/>
    </row>
    <row r="219" spans="1:3" ht="15.6" x14ac:dyDescent="0.3">
      <c r="A219" s="88" t="s">
        <v>436</v>
      </c>
      <c r="B219" s="106">
        <f>'Прайс для расчета (М)'!E318</f>
        <v>288.75</v>
      </c>
      <c r="C219" s="75" t="s">
        <v>2</v>
      </c>
    </row>
    <row r="220" spans="1:3" ht="15.6" x14ac:dyDescent="0.3">
      <c r="A220" s="88" t="s">
        <v>437</v>
      </c>
      <c r="B220" s="106">
        <f>'Прайс для расчета (М)'!E319</f>
        <v>698.25</v>
      </c>
      <c r="C220" s="75" t="s">
        <v>2</v>
      </c>
    </row>
    <row r="221" spans="1:3" ht="15.6" x14ac:dyDescent="0.3">
      <c r="A221" s="88" t="s">
        <v>438</v>
      </c>
      <c r="B221" s="106">
        <f>'Прайс для расчета (М)'!E320</f>
        <v>645.75</v>
      </c>
      <c r="C221" s="75" t="s">
        <v>2</v>
      </c>
    </row>
    <row r="222" spans="1:3" ht="15.6" x14ac:dyDescent="0.3">
      <c r="A222" s="88" t="s">
        <v>439</v>
      </c>
      <c r="B222" s="106">
        <f>'Прайс для расчета (М)'!E321</f>
        <v>693</v>
      </c>
      <c r="C222" s="75" t="s">
        <v>2</v>
      </c>
    </row>
    <row r="223" spans="1:3" ht="15.6" x14ac:dyDescent="0.3">
      <c r="A223" s="88" t="s">
        <v>440</v>
      </c>
      <c r="B223" s="106">
        <f>'Прайс для расчета (М)'!E322</f>
        <v>640.5</v>
      </c>
      <c r="C223" s="75" t="s">
        <v>2</v>
      </c>
    </row>
    <row r="224" spans="1:3" ht="15.6" x14ac:dyDescent="0.3">
      <c r="A224" s="88" t="s">
        <v>441</v>
      </c>
      <c r="B224" s="106">
        <f>'Прайс для расчета (М)'!E323</f>
        <v>165.375</v>
      </c>
      <c r="C224" s="75" t="s">
        <v>645</v>
      </c>
    </row>
    <row r="225" spans="1:3" ht="15.6" x14ac:dyDescent="0.3">
      <c r="A225" s="89" t="s">
        <v>531</v>
      </c>
      <c r="B225" s="106">
        <f>'Прайс для расчета (М)'!E324</f>
        <v>433.125</v>
      </c>
      <c r="C225" s="75" t="s">
        <v>645</v>
      </c>
    </row>
    <row r="226" spans="1:3" ht="15.6" x14ac:dyDescent="0.3">
      <c r="A226" s="88" t="s">
        <v>532</v>
      </c>
      <c r="B226" s="106">
        <f>'Прайс для расчета (М)'!E325</f>
        <v>548.68799999999999</v>
      </c>
      <c r="C226" s="75" t="s">
        <v>645</v>
      </c>
    </row>
    <row r="227" spans="1:3" ht="15.6" x14ac:dyDescent="0.3">
      <c r="A227" s="90" t="s">
        <v>533</v>
      </c>
      <c r="B227" s="106">
        <f>'Прайс для расчета (М)'!E326</f>
        <v>426.3</v>
      </c>
      <c r="C227" s="75" t="s">
        <v>645</v>
      </c>
    </row>
    <row r="228" spans="1:3" ht="15.6" x14ac:dyDescent="0.3">
      <c r="A228" s="88" t="s">
        <v>442</v>
      </c>
      <c r="B228" s="106">
        <f>'Прайс для расчета (М)'!E327</f>
        <v>112.875</v>
      </c>
      <c r="C228" s="75" t="s">
        <v>2</v>
      </c>
    </row>
    <row r="229" spans="1:3" ht="15.6" x14ac:dyDescent="0.3">
      <c r="A229" s="88" t="s">
        <v>443</v>
      </c>
      <c r="B229" s="106">
        <f>'Прайс для расчета (М)'!E328</f>
        <v>231</v>
      </c>
      <c r="C229" s="75" t="s">
        <v>2</v>
      </c>
    </row>
    <row r="230" spans="1:3" ht="15.6" x14ac:dyDescent="0.3">
      <c r="A230" s="88" t="s">
        <v>534</v>
      </c>
      <c r="B230" s="106">
        <f>'Прайс для расчета (М)'!E329</f>
        <v>530.25</v>
      </c>
      <c r="C230" s="75" t="s">
        <v>2</v>
      </c>
    </row>
    <row r="231" spans="1:3" ht="15.6" x14ac:dyDescent="0.3">
      <c r="A231" s="88" t="s">
        <v>444</v>
      </c>
      <c r="B231" s="106">
        <f>'Прайс для расчета (М)'!E330</f>
        <v>367.5</v>
      </c>
      <c r="C231" s="75" t="s">
        <v>2</v>
      </c>
    </row>
    <row r="232" spans="1:3" x14ac:dyDescent="0.25">
      <c r="A232" s="173" t="s">
        <v>977</v>
      </c>
      <c r="B232" s="174"/>
      <c r="C232" s="174"/>
    </row>
    <row r="233" spans="1:3" x14ac:dyDescent="0.25">
      <c r="A233" s="88" t="s">
        <v>118</v>
      </c>
      <c r="B233" s="106">
        <f>'Прайс для расчета (М)'!E331</f>
        <v>262.5</v>
      </c>
      <c r="C233" s="93" t="s">
        <v>2</v>
      </c>
    </row>
    <row r="234" spans="1:3" x14ac:dyDescent="0.25">
      <c r="A234" s="88" t="s">
        <v>119</v>
      </c>
      <c r="B234" s="106">
        <f>'Прайс для расчета (М)'!E332</f>
        <v>472.5</v>
      </c>
      <c r="C234" s="93" t="s">
        <v>646</v>
      </c>
    </row>
    <row r="235" spans="1:3" x14ac:dyDescent="0.25">
      <c r="A235" s="88" t="s">
        <v>120</v>
      </c>
      <c r="B235" s="106">
        <f>'Прайс для расчета (М)'!E333</f>
        <v>787.5</v>
      </c>
      <c r="C235" s="93" t="s">
        <v>0</v>
      </c>
    </row>
    <row r="236" spans="1:3" x14ac:dyDescent="0.25">
      <c r="A236" s="88" t="s">
        <v>121</v>
      </c>
      <c r="B236" s="106">
        <f>'Прайс для расчета (М)'!E334</f>
        <v>420</v>
      </c>
      <c r="C236" s="93" t="s">
        <v>0</v>
      </c>
    </row>
    <row r="237" spans="1:3" x14ac:dyDescent="0.25">
      <c r="A237" s="88" t="s">
        <v>122</v>
      </c>
      <c r="B237" s="106">
        <f>'Прайс для расчета (М)'!E335</f>
        <v>136.5</v>
      </c>
      <c r="C237" s="93" t="s">
        <v>646</v>
      </c>
    </row>
    <row r="238" spans="1:3" x14ac:dyDescent="0.25">
      <c r="A238" s="88" t="s">
        <v>123</v>
      </c>
      <c r="B238" s="106">
        <f>'Прайс для расчета (М)'!E336</f>
        <v>945</v>
      </c>
      <c r="C238" s="93" t="s">
        <v>2</v>
      </c>
    </row>
    <row r="239" spans="1:3" x14ac:dyDescent="0.25">
      <c r="A239" s="88" t="s">
        <v>124</v>
      </c>
      <c r="B239" s="106">
        <f>'Прайс для расчета (М)'!E337</f>
        <v>173.25</v>
      </c>
      <c r="C239" s="93" t="s">
        <v>646</v>
      </c>
    </row>
    <row r="240" spans="1:3" x14ac:dyDescent="0.25">
      <c r="A240" s="88" t="s">
        <v>681</v>
      </c>
      <c r="B240" s="106">
        <f>'Прайс для расчета (М)'!E338</f>
        <v>2089.5</v>
      </c>
      <c r="C240" s="93" t="s">
        <v>0</v>
      </c>
    </row>
    <row r="241" spans="1:3" x14ac:dyDescent="0.25">
      <c r="A241" s="88" t="s">
        <v>228</v>
      </c>
      <c r="B241" s="106">
        <f>'Прайс для расчета (М)'!E339</f>
        <v>1627.5</v>
      </c>
      <c r="C241" s="93" t="s">
        <v>0</v>
      </c>
    </row>
    <row r="242" spans="1:3" x14ac:dyDescent="0.25">
      <c r="A242" s="88" t="s">
        <v>132</v>
      </c>
      <c r="B242" s="106">
        <f>'Прайс для расчета (М)'!E340</f>
        <v>588</v>
      </c>
      <c r="C242" s="93" t="s">
        <v>2</v>
      </c>
    </row>
    <row r="243" spans="1:3" x14ac:dyDescent="0.25">
      <c r="A243" s="88" t="s">
        <v>125</v>
      </c>
      <c r="B243" s="106">
        <f>'Прайс для расчета (М)'!E341</f>
        <v>183.75</v>
      </c>
      <c r="C243" s="93" t="s">
        <v>0</v>
      </c>
    </row>
    <row r="244" spans="1:3" x14ac:dyDescent="0.25">
      <c r="A244" s="88" t="s">
        <v>126</v>
      </c>
      <c r="B244" s="106">
        <f>'Прайс для расчета (М)'!E342</f>
        <v>99.75</v>
      </c>
      <c r="C244" s="93" t="s">
        <v>646</v>
      </c>
    </row>
    <row r="245" spans="1:3" x14ac:dyDescent="0.25">
      <c r="A245" s="88" t="s">
        <v>127</v>
      </c>
      <c r="B245" s="106">
        <f>'Прайс для расчета (М)'!E343</f>
        <v>997.5</v>
      </c>
      <c r="C245" s="93" t="s">
        <v>2</v>
      </c>
    </row>
    <row r="246" spans="1:3" x14ac:dyDescent="0.25">
      <c r="A246" s="88" t="s">
        <v>535</v>
      </c>
      <c r="B246" s="106">
        <f>'Прайс для расчета (М)'!E344</f>
        <v>420</v>
      </c>
      <c r="C246" s="93" t="s">
        <v>2</v>
      </c>
    </row>
    <row r="247" spans="1:3" x14ac:dyDescent="0.25">
      <c r="A247" s="88" t="s">
        <v>536</v>
      </c>
      <c r="B247" s="106">
        <f>'Прайс для расчета (М)'!E345</f>
        <v>1548.75</v>
      </c>
      <c r="C247" s="93" t="s">
        <v>0</v>
      </c>
    </row>
    <row r="248" spans="1:3" x14ac:dyDescent="0.25">
      <c r="A248" s="88" t="s">
        <v>128</v>
      </c>
      <c r="B248" s="106">
        <f>'Прайс для расчета (М)'!E346</f>
        <v>514.5</v>
      </c>
      <c r="C248" s="93" t="s">
        <v>2</v>
      </c>
    </row>
    <row r="249" spans="1:3" x14ac:dyDescent="0.25">
      <c r="A249" s="88" t="s">
        <v>129</v>
      </c>
      <c r="B249" s="106">
        <f>'Прайс для расчета (М)'!E347</f>
        <v>813.75</v>
      </c>
      <c r="C249" s="93" t="s">
        <v>0</v>
      </c>
    </row>
    <row r="250" spans="1:3" x14ac:dyDescent="0.25">
      <c r="A250" s="88" t="s">
        <v>130</v>
      </c>
      <c r="B250" s="106">
        <f>'Прайс для расчета (М)'!E348</f>
        <v>813.75</v>
      </c>
      <c r="C250" s="93" t="s">
        <v>0</v>
      </c>
    </row>
    <row r="251" spans="1:3" x14ac:dyDescent="0.25">
      <c r="A251" s="88" t="s">
        <v>131</v>
      </c>
      <c r="B251" s="106">
        <f>'Прайс для расчета (М)'!E349</f>
        <v>210</v>
      </c>
      <c r="C251" s="93" t="s">
        <v>646</v>
      </c>
    </row>
    <row r="252" spans="1:3" x14ac:dyDescent="0.25">
      <c r="A252" s="88" t="s">
        <v>537</v>
      </c>
      <c r="B252" s="106">
        <f>'Прайс для расчета (М)'!E350</f>
        <v>1470</v>
      </c>
      <c r="C252" s="93" t="s">
        <v>0</v>
      </c>
    </row>
    <row r="253" spans="1:3" x14ac:dyDescent="0.25">
      <c r="A253" s="88" t="s">
        <v>445</v>
      </c>
      <c r="B253" s="106">
        <f>'Прайс для расчета (М)'!E351</f>
        <v>202.125</v>
      </c>
      <c r="C253" s="93" t="s">
        <v>0</v>
      </c>
    </row>
    <row r="254" spans="1:3" x14ac:dyDescent="0.25">
      <c r="A254" s="88" t="s">
        <v>8</v>
      </c>
      <c r="B254" s="106">
        <f>'Прайс для расчета (М)'!E352</f>
        <v>1929.354</v>
      </c>
      <c r="C254" s="93" t="s">
        <v>0</v>
      </c>
    </row>
    <row r="255" spans="1:3" x14ac:dyDescent="0.25">
      <c r="A255" s="88" t="s">
        <v>446</v>
      </c>
      <c r="B255" s="106">
        <f>'Прайс для расчета (М)'!E353</f>
        <v>522.375</v>
      </c>
      <c r="C255" s="93" t="s">
        <v>0</v>
      </c>
    </row>
    <row r="256" spans="1:3" x14ac:dyDescent="0.25">
      <c r="A256" s="88" t="s">
        <v>447</v>
      </c>
      <c r="B256" s="106">
        <f>'Прайс для расчета (М)'!E354</f>
        <v>761.25</v>
      </c>
      <c r="C256" s="93" t="s">
        <v>0</v>
      </c>
    </row>
    <row r="257" spans="1:3" x14ac:dyDescent="0.25">
      <c r="A257" s="88" t="s">
        <v>448</v>
      </c>
      <c r="B257" s="106">
        <f>'Прайс для расчета (М)'!E355</f>
        <v>761.25</v>
      </c>
      <c r="C257" s="93" t="s">
        <v>2</v>
      </c>
    </row>
    <row r="258" spans="1:3" x14ac:dyDescent="0.25">
      <c r="A258" s="88" t="s">
        <v>538</v>
      </c>
      <c r="B258" s="106">
        <f>'Прайс для расчета (М)'!E356</f>
        <v>288.75</v>
      </c>
      <c r="C258" s="93" t="s">
        <v>2</v>
      </c>
    </row>
    <row r="259" spans="1:3" x14ac:dyDescent="0.25">
      <c r="A259" s="88" t="s">
        <v>539</v>
      </c>
      <c r="B259" s="106">
        <f>'Прайс для расчета (М)'!E357</f>
        <v>105</v>
      </c>
      <c r="C259" s="93" t="s">
        <v>0</v>
      </c>
    </row>
    <row r="260" spans="1:3" x14ac:dyDescent="0.25">
      <c r="A260" s="173" t="s">
        <v>973</v>
      </c>
      <c r="B260" s="174"/>
      <c r="C260" s="174"/>
    </row>
    <row r="261" spans="1:3" ht="15.6" x14ac:dyDescent="0.25">
      <c r="A261" s="88" t="s">
        <v>279</v>
      </c>
      <c r="B261" s="106">
        <f>'Прайс для расчета (М)'!E358</f>
        <v>223.125</v>
      </c>
      <c r="C261" s="62" t="s">
        <v>3</v>
      </c>
    </row>
    <row r="262" spans="1:3" ht="15.6" x14ac:dyDescent="0.25">
      <c r="A262" s="88" t="s">
        <v>280</v>
      </c>
      <c r="B262" s="106">
        <f>'Прайс для расчета (М)'!E359</f>
        <v>307.125</v>
      </c>
      <c r="C262" s="62" t="s">
        <v>3</v>
      </c>
    </row>
    <row r="263" spans="1:3" ht="15.6" x14ac:dyDescent="0.25">
      <c r="A263" s="88" t="s">
        <v>281</v>
      </c>
      <c r="B263" s="106">
        <f>'Прайс для расчета (М)'!E360</f>
        <v>49.875</v>
      </c>
      <c r="C263" s="62" t="s">
        <v>3</v>
      </c>
    </row>
    <row r="264" spans="1:3" ht="15.6" x14ac:dyDescent="0.25">
      <c r="A264" s="88" t="s">
        <v>282</v>
      </c>
      <c r="B264" s="106">
        <f>'Прайс для расчета (М)'!E361</f>
        <v>301.875</v>
      </c>
      <c r="C264" s="62" t="s">
        <v>0</v>
      </c>
    </row>
    <row r="265" spans="1:3" ht="15.6" x14ac:dyDescent="0.25">
      <c r="A265" s="88" t="s">
        <v>682</v>
      </c>
      <c r="B265" s="106">
        <f>'Прайс для расчета (М)'!E362</f>
        <v>206.32500000000002</v>
      </c>
      <c r="C265" s="62" t="s">
        <v>0</v>
      </c>
    </row>
    <row r="266" spans="1:3" ht="15.6" x14ac:dyDescent="0.25">
      <c r="A266" s="88" t="s">
        <v>283</v>
      </c>
      <c r="B266" s="106">
        <f>'Прайс для расчета (М)'!E363</f>
        <v>254.625</v>
      </c>
      <c r="C266" s="62" t="s">
        <v>0</v>
      </c>
    </row>
    <row r="267" spans="1:3" ht="15.6" x14ac:dyDescent="0.25">
      <c r="A267" s="88" t="s">
        <v>284</v>
      </c>
      <c r="B267" s="106">
        <f>'Прайс для расчета (М)'!E364</f>
        <v>364.875</v>
      </c>
      <c r="C267" s="62" t="s">
        <v>0</v>
      </c>
    </row>
    <row r="268" spans="1:3" ht="15.6" x14ac:dyDescent="0.25">
      <c r="A268" s="88" t="s">
        <v>285</v>
      </c>
      <c r="B268" s="106">
        <f>'Прайс для расчета (М)'!E365</f>
        <v>448.875</v>
      </c>
      <c r="C268" s="62" t="s">
        <v>0</v>
      </c>
    </row>
    <row r="269" spans="1:3" s="6" customFormat="1" ht="15.6" x14ac:dyDescent="0.25">
      <c r="A269" s="88" t="s">
        <v>286</v>
      </c>
      <c r="B269" s="106">
        <f>'Прайс для расчета (М)'!E366</f>
        <v>315</v>
      </c>
      <c r="C269" s="62" t="s">
        <v>0</v>
      </c>
    </row>
    <row r="270" spans="1:3" ht="15.6" x14ac:dyDescent="0.25">
      <c r="A270" s="88" t="s">
        <v>287</v>
      </c>
      <c r="B270" s="106">
        <f>'Прайс для расчета (М)'!E367</f>
        <v>472.5</v>
      </c>
      <c r="C270" s="62" t="s">
        <v>0</v>
      </c>
    </row>
    <row r="271" spans="1:3" ht="15.6" x14ac:dyDescent="0.25">
      <c r="A271" s="88" t="s">
        <v>541</v>
      </c>
      <c r="B271" s="106">
        <f>'Прайс для расчета (М)'!E368</f>
        <v>462</v>
      </c>
      <c r="C271" s="62" t="s">
        <v>3</v>
      </c>
    </row>
    <row r="272" spans="1:3" ht="15.6" x14ac:dyDescent="0.25">
      <c r="A272" s="88" t="s">
        <v>133</v>
      </c>
      <c r="B272" s="106">
        <f>'Прайс для расчета (М)'!E369</f>
        <v>708.75</v>
      </c>
      <c r="C272" s="62" t="s">
        <v>0</v>
      </c>
    </row>
    <row r="273" spans="1:3" ht="15.6" x14ac:dyDescent="0.25">
      <c r="A273" s="89" t="s">
        <v>887</v>
      </c>
      <c r="B273" s="106">
        <f>'Прайс для расчета (М)'!E370</f>
        <v>462</v>
      </c>
      <c r="C273" s="62" t="s">
        <v>3</v>
      </c>
    </row>
    <row r="274" spans="1:3" ht="15.6" x14ac:dyDescent="0.25">
      <c r="A274" s="88" t="s">
        <v>178</v>
      </c>
      <c r="B274" s="106">
        <f>'Прайс для расчета (М)'!E371</f>
        <v>393.75</v>
      </c>
      <c r="C274" s="62" t="s">
        <v>0</v>
      </c>
    </row>
    <row r="275" spans="1:3" ht="15.6" x14ac:dyDescent="0.25">
      <c r="A275" s="89" t="s">
        <v>948</v>
      </c>
      <c r="B275" s="106">
        <f>'Прайс для расчета (М)'!E372</f>
        <v>48.457500000000003</v>
      </c>
      <c r="C275" s="62" t="s">
        <v>3</v>
      </c>
    </row>
    <row r="276" spans="1:3" ht="15.6" x14ac:dyDescent="0.25">
      <c r="A276" s="89" t="s">
        <v>949</v>
      </c>
      <c r="B276" s="106">
        <f>'Прайс для расчета (М)'!E373</f>
        <v>111.825</v>
      </c>
      <c r="C276" s="62" t="s">
        <v>3</v>
      </c>
    </row>
    <row r="277" spans="1:3" ht="15.6" x14ac:dyDescent="0.25">
      <c r="A277" s="89" t="s">
        <v>950</v>
      </c>
      <c r="B277" s="106">
        <f>'Прайс для расчета (М)'!E374</f>
        <v>55.912500000000001</v>
      </c>
      <c r="C277" s="62" t="s">
        <v>3</v>
      </c>
    </row>
    <row r="278" spans="1:3" ht="15.6" x14ac:dyDescent="0.25">
      <c r="A278" s="89" t="s">
        <v>951</v>
      </c>
      <c r="B278" s="106">
        <f>'Прайс для расчета (М)'!E375</f>
        <v>134.19</v>
      </c>
      <c r="C278" s="62" t="s">
        <v>0</v>
      </c>
    </row>
    <row r="279" spans="1:3" ht="15.6" x14ac:dyDescent="0.25">
      <c r="A279" s="88" t="s">
        <v>683</v>
      </c>
      <c r="B279" s="106">
        <f>'Прайс для расчета (М)'!E376</f>
        <v>77.532000000000011</v>
      </c>
      <c r="C279" s="62" t="s">
        <v>0</v>
      </c>
    </row>
    <row r="280" spans="1:3" ht="15.6" x14ac:dyDescent="0.25">
      <c r="A280" s="88" t="s">
        <v>684</v>
      </c>
      <c r="B280" s="106">
        <f>'Прайс для расчета (М)'!E377</f>
        <v>510.66749999999996</v>
      </c>
      <c r="C280" s="62" t="s">
        <v>0</v>
      </c>
    </row>
    <row r="281" spans="1:3" ht="15.6" x14ac:dyDescent="0.25">
      <c r="A281" s="88" t="s">
        <v>288</v>
      </c>
      <c r="B281" s="106">
        <f>'Прайс для расчета (М)'!E378</f>
        <v>270.61649999999997</v>
      </c>
      <c r="C281" s="62" t="s">
        <v>0</v>
      </c>
    </row>
    <row r="282" spans="1:3" ht="15.6" x14ac:dyDescent="0.25">
      <c r="A282" s="88" t="s">
        <v>142</v>
      </c>
      <c r="B282" s="106">
        <f>'Прайс для расчета (М)'!E379</f>
        <v>424.935</v>
      </c>
      <c r="C282" s="62" t="s">
        <v>3</v>
      </c>
    </row>
    <row r="283" spans="1:3" ht="15.6" x14ac:dyDescent="0.25">
      <c r="A283" s="88" t="s">
        <v>685</v>
      </c>
      <c r="B283" s="106">
        <f>'Прайс для расчета (М)'!E380</f>
        <v>424.935</v>
      </c>
      <c r="C283" s="62" t="s">
        <v>0</v>
      </c>
    </row>
    <row r="284" spans="1:3" ht="15.6" x14ac:dyDescent="0.25">
      <c r="A284" s="88" t="s">
        <v>289</v>
      </c>
      <c r="B284" s="106">
        <f>'Прайс для расчета (М)'!E381</f>
        <v>288.75</v>
      </c>
      <c r="C284" s="62" t="s">
        <v>0</v>
      </c>
    </row>
    <row r="285" spans="1:3" ht="15.6" x14ac:dyDescent="0.25">
      <c r="A285" s="88" t="s">
        <v>290</v>
      </c>
      <c r="B285" s="106">
        <f>'Прайс для расчета (М)'!E382</f>
        <v>771.59249999999997</v>
      </c>
      <c r="C285" s="62" t="s">
        <v>0</v>
      </c>
    </row>
    <row r="286" spans="1:3" ht="15.6" x14ac:dyDescent="0.25">
      <c r="A286" s="88" t="s">
        <v>291</v>
      </c>
      <c r="B286" s="106">
        <f>'Прайс для расчета (М)'!E383</f>
        <v>446.25</v>
      </c>
      <c r="C286" s="62" t="s">
        <v>0</v>
      </c>
    </row>
    <row r="287" spans="1:3" ht="15.6" x14ac:dyDescent="0.25">
      <c r="A287" s="88" t="s">
        <v>292</v>
      </c>
      <c r="B287" s="106">
        <f>'Прайс для расчета (М)'!E384</f>
        <v>498.75</v>
      </c>
      <c r="C287" s="62" t="s">
        <v>0</v>
      </c>
    </row>
    <row r="288" spans="1:3" ht="15.6" x14ac:dyDescent="0.25">
      <c r="A288" s="88" t="s">
        <v>293</v>
      </c>
      <c r="B288" s="106">
        <f>'Прайс для расчета (М)'!E385</f>
        <v>551.25</v>
      </c>
      <c r="C288" s="62" t="s">
        <v>0</v>
      </c>
    </row>
    <row r="289" spans="1:3" ht="15.6" x14ac:dyDescent="0.25">
      <c r="A289" s="88" t="s">
        <v>294</v>
      </c>
      <c r="B289" s="106">
        <f>'Прайс для расчета (М)'!E386</f>
        <v>771.59249999999997</v>
      </c>
      <c r="C289" s="62" t="s">
        <v>0</v>
      </c>
    </row>
    <row r="290" spans="1:3" ht="15.6" x14ac:dyDescent="0.25">
      <c r="A290" s="88" t="s">
        <v>295</v>
      </c>
      <c r="B290" s="106">
        <f>'Прайс для расчета (М)'!E387</f>
        <v>1157.7614999999998</v>
      </c>
      <c r="C290" s="62" t="s">
        <v>0</v>
      </c>
    </row>
    <row r="291" spans="1:3" ht="15.6" x14ac:dyDescent="0.25">
      <c r="A291" s="88" t="s">
        <v>268</v>
      </c>
      <c r="B291" s="106">
        <f>'Прайс для расчета (М)'!E388</f>
        <v>1116.759</v>
      </c>
      <c r="C291" s="62" t="s">
        <v>0</v>
      </c>
    </row>
    <row r="292" spans="1:3" ht="15.6" x14ac:dyDescent="0.25">
      <c r="A292" s="89" t="s">
        <v>889</v>
      </c>
      <c r="B292" s="106">
        <f>'Прайс для расчета (М)'!E389</f>
        <v>1120.4865</v>
      </c>
      <c r="C292" s="62" t="s">
        <v>0</v>
      </c>
    </row>
    <row r="293" spans="1:3" ht="15.6" x14ac:dyDescent="0.25">
      <c r="A293" s="88" t="s">
        <v>296</v>
      </c>
      <c r="B293" s="106">
        <f>'Прайс для расчета (М)'!E390</f>
        <v>1543.1849999999999</v>
      </c>
      <c r="C293" s="62" t="s">
        <v>0</v>
      </c>
    </row>
    <row r="294" spans="1:3" ht="15.6" x14ac:dyDescent="0.25">
      <c r="A294" s="88" t="s">
        <v>297</v>
      </c>
      <c r="B294" s="106">
        <f>'Прайс для расчета (М)'!E391</f>
        <v>1929.354</v>
      </c>
      <c r="C294" s="62" t="s">
        <v>0</v>
      </c>
    </row>
    <row r="295" spans="1:3" ht="15.6" x14ac:dyDescent="0.25">
      <c r="A295" s="88" t="s">
        <v>298</v>
      </c>
      <c r="B295" s="106">
        <f>'Прайс для расчета (М)'!E392</f>
        <v>2314.7774999999997</v>
      </c>
      <c r="C295" s="62" t="s">
        <v>0</v>
      </c>
    </row>
    <row r="296" spans="1:3" ht="15.6" x14ac:dyDescent="0.25">
      <c r="A296" s="88" t="s">
        <v>299</v>
      </c>
      <c r="B296" s="106">
        <f>'Прайс для расчета (М)'!E393</f>
        <v>2700.9465</v>
      </c>
      <c r="C296" s="62" t="s">
        <v>0</v>
      </c>
    </row>
    <row r="297" spans="1:3" ht="15.6" x14ac:dyDescent="0.25">
      <c r="A297" s="88" t="s">
        <v>300</v>
      </c>
      <c r="B297" s="106">
        <f>'Прайс для расчета (М)'!E394</f>
        <v>3086.37</v>
      </c>
      <c r="C297" s="62" t="s">
        <v>0</v>
      </c>
    </row>
    <row r="298" spans="1:3" ht="15.6" x14ac:dyDescent="0.25">
      <c r="A298" s="88" t="s">
        <v>301</v>
      </c>
      <c r="B298" s="106">
        <f>'Прайс для расчета (М)'!E395</f>
        <v>3472.5389999999998</v>
      </c>
      <c r="C298" s="62" t="s">
        <v>0</v>
      </c>
    </row>
    <row r="299" spans="1:3" ht="15.6" x14ac:dyDescent="0.25">
      <c r="A299" s="88" t="s">
        <v>302</v>
      </c>
      <c r="B299" s="106">
        <f>'Прайс для расчета (М)'!E396</f>
        <v>270.61649999999997</v>
      </c>
      <c r="C299" s="62" t="s">
        <v>2</v>
      </c>
    </row>
    <row r="300" spans="1:3" ht="15.6" x14ac:dyDescent="0.25">
      <c r="A300" s="88" t="s">
        <v>141</v>
      </c>
      <c r="B300" s="106">
        <f>'Прайс для расчета (М)'!E397</f>
        <v>787.5</v>
      </c>
      <c r="C300" s="62" t="s">
        <v>0</v>
      </c>
    </row>
    <row r="301" spans="1:3" ht="15.6" x14ac:dyDescent="0.25">
      <c r="A301" s="88" t="s">
        <v>303</v>
      </c>
      <c r="B301" s="106">
        <f>'Прайс для расчета (М)'!E398</f>
        <v>617.274</v>
      </c>
      <c r="C301" s="62" t="s">
        <v>2</v>
      </c>
    </row>
    <row r="302" spans="1:3" ht="15.6" x14ac:dyDescent="0.25">
      <c r="A302" s="88" t="s">
        <v>304</v>
      </c>
      <c r="B302" s="106">
        <f>'Прайс для расчета (М)'!E399</f>
        <v>771.59249999999997</v>
      </c>
      <c r="C302" s="62" t="s">
        <v>0</v>
      </c>
    </row>
    <row r="303" spans="1:3" ht="15.6" x14ac:dyDescent="0.25">
      <c r="A303" s="88" t="s">
        <v>542</v>
      </c>
      <c r="B303" s="106">
        <f>'Прайс для расчета (М)'!E400</f>
        <v>694.80599999999993</v>
      </c>
      <c r="C303" s="62" t="s">
        <v>2</v>
      </c>
    </row>
    <row r="304" spans="1:3" ht="15.6" x14ac:dyDescent="0.25">
      <c r="A304" s="88" t="s">
        <v>567</v>
      </c>
      <c r="B304" s="106">
        <f>'Прайс для расчета (М)'!E401</f>
        <v>1872.6960000000001</v>
      </c>
      <c r="C304" s="62" t="s">
        <v>267</v>
      </c>
    </row>
    <row r="305" spans="1:3" ht="15.6" x14ac:dyDescent="0.25">
      <c r="A305" s="88" t="s">
        <v>568</v>
      </c>
      <c r="B305" s="106">
        <f>'Прайс для расчета (М)'!E402</f>
        <v>3367.4234999999999</v>
      </c>
      <c r="C305" s="62" t="s">
        <v>267</v>
      </c>
    </row>
    <row r="306" spans="1:3" ht="15.6" x14ac:dyDescent="0.25">
      <c r="A306" s="88" t="s">
        <v>569</v>
      </c>
      <c r="B306" s="106">
        <f>'Прайс для расчета (М)'!E403</f>
        <v>4463.3085000000001</v>
      </c>
      <c r="C306" s="62" t="s">
        <v>267</v>
      </c>
    </row>
    <row r="307" spans="1:3" x14ac:dyDescent="0.25">
      <c r="A307" s="173" t="s">
        <v>974</v>
      </c>
      <c r="B307" s="174"/>
      <c r="C307" s="174"/>
    </row>
    <row r="308" spans="1:3" ht="26.4" x14ac:dyDescent="0.25">
      <c r="A308" s="88" t="s">
        <v>114</v>
      </c>
      <c r="B308" s="106">
        <f>'Прайс для расчета (М)'!E404</f>
        <v>997.5</v>
      </c>
      <c r="C308" s="93" t="s">
        <v>0</v>
      </c>
    </row>
    <row r="309" spans="1:3" x14ac:dyDescent="0.25">
      <c r="A309" s="89" t="s">
        <v>952</v>
      </c>
      <c r="B309" s="106">
        <f>'Прайс для расчета (М)'!E405</f>
        <v>3675</v>
      </c>
      <c r="C309" s="93" t="s">
        <v>0</v>
      </c>
    </row>
    <row r="310" spans="1:3" x14ac:dyDescent="0.25">
      <c r="A310" s="89" t="s">
        <v>953</v>
      </c>
      <c r="B310" s="106">
        <f>'Прайс для расчета (М)'!E406</f>
        <v>2362.5</v>
      </c>
      <c r="C310" s="93" t="s">
        <v>0</v>
      </c>
    </row>
    <row r="311" spans="1:3" x14ac:dyDescent="0.25">
      <c r="A311" s="89" t="s">
        <v>954</v>
      </c>
      <c r="B311" s="106">
        <f>'Прайс для расчета (М)'!E407</f>
        <v>4100.25</v>
      </c>
      <c r="C311" s="93" t="s">
        <v>0</v>
      </c>
    </row>
    <row r="312" spans="1:3" x14ac:dyDescent="0.25">
      <c r="A312" s="89" t="s">
        <v>544</v>
      </c>
      <c r="B312" s="106">
        <f>'Прайс для расчета (М)'!E408</f>
        <v>600.12749999999994</v>
      </c>
      <c r="C312" s="93" t="s">
        <v>0</v>
      </c>
    </row>
    <row r="313" spans="1:3" s="6" customFormat="1" x14ac:dyDescent="0.25">
      <c r="A313" s="88" t="s">
        <v>136</v>
      </c>
      <c r="B313" s="106">
        <f>'Прайс для расчета (М)'!E409</f>
        <v>172.2105</v>
      </c>
      <c r="C313" s="94" t="s">
        <v>0</v>
      </c>
    </row>
    <row r="314" spans="1:3" x14ac:dyDescent="0.25">
      <c r="A314" s="88" t="s">
        <v>449</v>
      </c>
      <c r="B314" s="106">
        <f>'Прайс для расчета (М)'!E410</f>
        <v>120.02549999999999</v>
      </c>
      <c r="C314" s="93" t="s">
        <v>646</v>
      </c>
    </row>
    <row r="315" spans="1:3" x14ac:dyDescent="0.25">
      <c r="A315" s="88" t="s">
        <v>450</v>
      </c>
      <c r="B315" s="106">
        <f>'Прайс для расчета (М)'!E411</f>
        <v>163.2645</v>
      </c>
      <c r="C315" s="93" t="s">
        <v>646</v>
      </c>
    </row>
    <row r="316" spans="1:3" ht="15.6" x14ac:dyDescent="0.25">
      <c r="A316" s="88" t="s">
        <v>451</v>
      </c>
      <c r="B316" s="106">
        <f>'Прайс для расчета (М)'!E412</f>
        <v>55.125</v>
      </c>
      <c r="C316" s="62" t="s">
        <v>2</v>
      </c>
    </row>
    <row r="317" spans="1:3" ht="15.6" x14ac:dyDescent="0.25">
      <c r="A317" s="88" t="s">
        <v>688</v>
      </c>
      <c r="B317" s="106">
        <f>'Прайс для расчета (М)'!E413</f>
        <v>857.32500000000005</v>
      </c>
      <c r="C317" s="62" t="s">
        <v>0</v>
      </c>
    </row>
    <row r="318" spans="1:3" ht="15.6" x14ac:dyDescent="0.25">
      <c r="A318" s="88" t="s">
        <v>452</v>
      </c>
      <c r="B318" s="106">
        <f>'Прайс для расчета (М)'!E414</f>
        <v>1285.9875</v>
      </c>
      <c r="C318" s="62" t="s">
        <v>0</v>
      </c>
    </row>
    <row r="319" spans="1:3" ht="15.6" x14ac:dyDescent="0.25">
      <c r="A319" s="88" t="s">
        <v>453</v>
      </c>
      <c r="B319" s="106">
        <f>'Прайс для расчета (М)'!E415</f>
        <v>428.66250000000002</v>
      </c>
      <c r="C319" s="62" t="s">
        <v>0</v>
      </c>
    </row>
    <row r="320" spans="1:3" ht="15.6" x14ac:dyDescent="0.25">
      <c r="A320" s="88" t="s">
        <v>454</v>
      </c>
      <c r="B320" s="106">
        <f>'Прайс для расчета (М)'!E416</f>
        <v>735</v>
      </c>
      <c r="C320" s="62" t="s">
        <v>885</v>
      </c>
    </row>
    <row r="321" spans="1:3" ht="15.6" x14ac:dyDescent="0.25">
      <c r="A321" s="88" t="s">
        <v>455</v>
      </c>
      <c r="B321" s="106">
        <f>'Прайс для расчета (М)'!E417</f>
        <v>157.5</v>
      </c>
      <c r="C321" s="62" t="s">
        <v>886</v>
      </c>
    </row>
    <row r="322" spans="1:3" ht="15.6" x14ac:dyDescent="0.25">
      <c r="A322" s="88" t="s">
        <v>456</v>
      </c>
      <c r="B322" s="106">
        <f>'Прайс для расчета (М)'!E418</f>
        <v>787.5</v>
      </c>
      <c r="C322" s="62" t="s">
        <v>886</v>
      </c>
    </row>
    <row r="323" spans="1:3" ht="15.6" x14ac:dyDescent="0.25">
      <c r="A323" s="88" t="s">
        <v>689</v>
      </c>
      <c r="B323" s="106">
        <f>'Прайс для расчета (М)'!E419</f>
        <v>157.5</v>
      </c>
      <c r="C323" s="62" t="s">
        <v>886</v>
      </c>
    </row>
    <row r="324" spans="1:3" x14ac:dyDescent="0.25">
      <c r="A324" s="88" t="s">
        <v>457</v>
      </c>
      <c r="B324" s="106">
        <f>'Прайс для расчета (М)'!E420</f>
        <v>630</v>
      </c>
      <c r="C324" s="93" t="s">
        <v>0</v>
      </c>
    </row>
    <row r="325" spans="1:3" ht="15.6" x14ac:dyDescent="0.3">
      <c r="A325" s="88" t="s">
        <v>570</v>
      </c>
      <c r="B325" s="106">
        <f>'Прайс для расчета (М)'!E421</f>
        <v>2362.5</v>
      </c>
      <c r="C325" s="75" t="s">
        <v>0</v>
      </c>
    </row>
    <row r="326" spans="1:3" ht="15.6" x14ac:dyDescent="0.3">
      <c r="A326" s="88" t="s">
        <v>547</v>
      </c>
      <c r="B326" s="106">
        <f>'Прайс для расчета (М)'!E422</f>
        <v>2887.5</v>
      </c>
      <c r="C326" s="75" t="s">
        <v>0</v>
      </c>
    </row>
    <row r="327" spans="1:3" ht="15.6" x14ac:dyDescent="0.3">
      <c r="A327" s="88" t="s">
        <v>571</v>
      </c>
      <c r="B327" s="106">
        <f>'Прайс для расчета (М)'!E423</f>
        <v>3412.5</v>
      </c>
      <c r="C327" s="75" t="s">
        <v>0</v>
      </c>
    </row>
    <row r="328" spans="1:3" ht="15.6" x14ac:dyDescent="0.3">
      <c r="A328" s="88" t="s">
        <v>548</v>
      </c>
      <c r="B328" s="106">
        <f>'Прайс для расчета (М)'!E424</f>
        <v>3937.5</v>
      </c>
      <c r="C328" s="75" t="s">
        <v>0</v>
      </c>
    </row>
    <row r="329" spans="1:3" ht="15.6" x14ac:dyDescent="0.3">
      <c r="A329" s="88" t="s">
        <v>229</v>
      </c>
      <c r="B329" s="106">
        <f>'Прайс для расчета (М)'!E425</f>
        <v>1706.25</v>
      </c>
      <c r="C329" s="75" t="s">
        <v>0</v>
      </c>
    </row>
    <row r="330" spans="1:3" ht="15.6" x14ac:dyDescent="0.3">
      <c r="A330" s="88" t="s">
        <v>458</v>
      </c>
      <c r="B330" s="106">
        <f>'Прайс для расчета (М)'!E426</f>
        <v>4200</v>
      </c>
      <c r="C330" s="75" t="s">
        <v>0</v>
      </c>
    </row>
    <row r="331" spans="1:3" ht="15.6" x14ac:dyDescent="0.3">
      <c r="A331" s="88" t="s">
        <v>459</v>
      </c>
      <c r="B331" s="106">
        <f>'Прайс для расчета (М)'!E427</f>
        <v>1572.375</v>
      </c>
      <c r="C331" s="75" t="s">
        <v>0</v>
      </c>
    </row>
    <row r="332" spans="1:3" ht="15.6" x14ac:dyDescent="0.3">
      <c r="A332" s="88" t="s">
        <v>460</v>
      </c>
      <c r="B332" s="106">
        <f>'Прайс для расчета (М)'!E428</f>
        <v>2443.7490000000003</v>
      </c>
      <c r="C332" s="75" t="s">
        <v>0</v>
      </c>
    </row>
    <row r="333" spans="1:3" ht="26.4" x14ac:dyDescent="0.3">
      <c r="A333" s="90" t="s">
        <v>572</v>
      </c>
      <c r="B333" s="106">
        <f>'Прайс для расчета (М)'!E429</f>
        <v>4265.625</v>
      </c>
      <c r="C333" s="75" t="s">
        <v>0</v>
      </c>
    </row>
    <row r="334" spans="1:3" ht="15.6" x14ac:dyDescent="0.3">
      <c r="A334" s="88" t="s">
        <v>461</v>
      </c>
      <c r="B334" s="106">
        <f>'Прайс для расчета (М)'!E430</f>
        <v>945</v>
      </c>
      <c r="C334" s="75" t="s">
        <v>0</v>
      </c>
    </row>
    <row r="335" spans="1:3" ht="15.6" x14ac:dyDescent="0.3">
      <c r="A335" s="88" t="s">
        <v>269</v>
      </c>
      <c r="B335" s="106">
        <f>'Прайс для расчета (М)'!E431</f>
        <v>997.5</v>
      </c>
      <c r="C335" s="75" t="s">
        <v>0</v>
      </c>
    </row>
    <row r="336" spans="1:3" ht="15.6" x14ac:dyDescent="0.3">
      <c r="A336" s="88" t="s">
        <v>694</v>
      </c>
      <c r="B336" s="106">
        <f>'Прайс для расчета (М)'!E432</f>
        <v>1470</v>
      </c>
      <c r="C336" s="75" t="s">
        <v>0</v>
      </c>
    </row>
    <row r="337" spans="1:3" ht="15.6" x14ac:dyDescent="0.3">
      <c r="A337" s="88" t="s">
        <v>695</v>
      </c>
      <c r="B337" s="106">
        <f>'Прайс для расчета (М)'!E433</f>
        <v>1155</v>
      </c>
      <c r="C337" s="75" t="s">
        <v>0</v>
      </c>
    </row>
    <row r="338" spans="1:3" ht="15.6" x14ac:dyDescent="0.3">
      <c r="A338" s="88" t="s">
        <v>462</v>
      </c>
      <c r="B338" s="106">
        <f>'Прайс для расчета (М)'!E434</f>
        <v>1627.5</v>
      </c>
      <c r="C338" s="75" t="s">
        <v>0</v>
      </c>
    </row>
    <row r="339" spans="1:3" ht="15.6" x14ac:dyDescent="0.3">
      <c r="A339" s="88" t="s">
        <v>696</v>
      </c>
      <c r="B339" s="106">
        <f>'Прайс для расчета (М)'!E435</f>
        <v>4725</v>
      </c>
      <c r="C339" s="75" t="s">
        <v>0</v>
      </c>
    </row>
    <row r="340" spans="1:3" ht="15.6" x14ac:dyDescent="0.3">
      <c r="A340" s="88" t="s">
        <v>697</v>
      </c>
      <c r="B340" s="106">
        <f>'Прайс для расчета (М)'!E436</f>
        <v>1400</v>
      </c>
      <c r="C340" s="75" t="s">
        <v>0</v>
      </c>
    </row>
    <row r="341" spans="1:3" ht="15.6" x14ac:dyDescent="0.3">
      <c r="A341" s="89" t="s">
        <v>905</v>
      </c>
      <c r="B341" s="106">
        <f>'Прайс для расчета (М)'!E437</f>
        <v>2021.25</v>
      </c>
      <c r="C341" s="75" t="s">
        <v>0</v>
      </c>
    </row>
    <row r="342" spans="1:3" ht="15.6" x14ac:dyDescent="0.3">
      <c r="A342" s="88" t="s">
        <v>139</v>
      </c>
      <c r="B342" s="106">
        <f>'Прайс для расчета (М)'!E438</f>
        <v>1023.75</v>
      </c>
      <c r="C342" s="75" t="s">
        <v>0</v>
      </c>
    </row>
    <row r="343" spans="1:3" ht="15.6" x14ac:dyDescent="0.3">
      <c r="A343" s="88" t="s">
        <v>463</v>
      </c>
      <c r="B343" s="106">
        <f>'Прайс для расчета (М)'!E439</f>
        <v>393.75</v>
      </c>
      <c r="C343" s="75" t="s">
        <v>0</v>
      </c>
    </row>
    <row r="344" spans="1:3" ht="15.6" x14ac:dyDescent="0.3">
      <c r="A344" s="89" t="s">
        <v>464</v>
      </c>
      <c r="B344" s="106">
        <f>'Прайс для расчета (М)'!E440</f>
        <v>525</v>
      </c>
      <c r="C344" s="75" t="s">
        <v>0</v>
      </c>
    </row>
    <row r="345" spans="1:3" ht="15.6" x14ac:dyDescent="0.3">
      <c r="A345" s="89" t="s">
        <v>906</v>
      </c>
      <c r="B345" s="106">
        <f>'Прайс для расчета (М)'!E441</f>
        <v>1443.75</v>
      </c>
      <c r="C345" s="75" t="s">
        <v>0</v>
      </c>
    </row>
    <row r="346" spans="1:3" ht="15.6" x14ac:dyDescent="0.3">
      <c r="A346" s="88" t="s">
        <v>465</v>
      </c>
      <c r="B346" s="106">
        <f>'Прайс для расчета (М)'!E442</f>
        <v>183.75</v>
      </c>
      <c r="C346" s="75" t="s">
        <v>0</v>
      </c>
    </row>
    <row r="347" spans="1:3" ht="15.6" x14ac:dyDescent="0.3">
      <c r="A347" s="88" t="s">
        <v>466</v>
      </c>
      <c r="B347" s="106">
        <f>'Прайс для расчета (М)'!E443</f>
        <v>312.375</v>
      </c>
      <c r="C347" s="75" t="s">
        <v>3</v>
      </c>
    </row>
    <row r="348" spans="1:3" ht="15.6" x14ac:dyDescent="0.3">
      <c r="A348" s="88" t="s">
        <v>467</v>
      </c>
      <c r="B348" s="106">
        <f>'Прайс для расчета (М)'!E444</f>
        <v>364.875</v>
      </c>
      <c r="C348" s="75" t="s">
        <v>3</v>
      </c>
    </row>
    <row r="349" spans="1:3" ht="15.6" x14ac:dyDescent="0.3">
      <c r="A349" s="88" t="s">
        <v>176</v>
      </c>
      <c r="B349" s="106">
        <f>'Прайс для расчета (М)'!E445</f>
        <v>47.25</v>
      </c>
      <c r="C349" s="75" t="s">
        <v>0</v>
      </c>
    </row>
    <row r="350" spans="1:3" ht="15.6" x14ac:dyDescent="0.3">
      <c r="A350" s="88" t="s">
        <v>698</v>
      </c>
      <c r="B350" s="106">
        <f>'Прайс для расчета (М)'!E446</f>
        <v>1118.25</v>
      </c>
      <c r="C350" s="75" t="s">
        <v>0</v>
      </c>
    </row>
    <row r="351" spans="1:3" ht="15.6" x14ac:dyDescent="0.3">
      <c r="A351" s="88" t="s">
        <v>468</v>
      </c>
      <c r="B351" s="106">
        <f>'Прайс для расчета (М)'!E447</f>
        <v>603.75</v>
      </c>
      <c r="C351" s="75" t="s">
        <v>0</v>
      </c>
    </row>
    <row r="352" spans="1:3" ht="15.6" x14ac:dyDescent="0.3">
      <c r="A352" s="88" t="s">
        <v>469</v>
      </c>
      <c r="B352" s="106">
        <f>'Прайс для расчета (М)'!E448</f>
        <v>603.75</v>
      </c>
      <c r="C352" s="75" t="s">
        <v>0</v>
      </c>
    </row>
    <row r="353" spans="1:3" ht="15.6" x14ac:dyDescent="0.3">
      <c r="A353" s="88" t="s">
        <v>699</v>
      </c>
      <c r="B353" s="106">
        <f>'Прайс для расчета (М)'!E449</f>
        <v>1942.5</v>
      </c>
      <c r="C353" s="75" t="s">
        <v>0</v>
      </c>
    </row>
    <row r="354" spans="1:3" ht="15.6" x14ac:dyDescent="0.3">
      <c r="A354" s="88" t="s">
        <v>700</v>
      </c>
      <c r="B354" s="106">
        <f>'Прайс для расчета (М)'!E450</f>
        <v>918.75</v>
      </c>
      <c r="C354" s="75" t="s">
        <v>0</v>
      </c>
    </row>
    <row r="355" spans="1:3" ht="15.6" x14ac:dyDescent="0.3">
      <c r="A355" s="88" t="s">
        <v>470</v>
      </c>
      <c r="B355" s="106">
        <f>'Прайс для расчета (М)'!E451</f>
        <v>603.75</v>
      </c>
      <c r="C355" s="75" t="s">
        <v>0</v>
      </c>
    </row>
    <row r="356" spans="1:3" ht="15.6" x14ac:dyDescent="0.3">
      <c r="A356" s="88" t="s">
        <v>140</v>
      </c>
      <c r="B356" s="106">
        <f>'Прайс для расчета (М)'!E452</f>
        <v>945</v>
      </c>
      <c r="C356" s="75" t="s">
        <v>0</v>
      </c>
    </row>
    <row r="357" spans="1:3" ht="15.6" x14ac:dyDescent="0.3">
      <c r="A357" s="88" t="s">
        <v>471</v>
      </c>
      <c r="B357" s="106">
        <f>'Прайс для расчета (М)'!E453</f>
        <v>630</v>
      </c>
      <c r="C357" s="75" t="s">
        <v>0</v>
      </c>
    </row>
    <row r="358" spans="1:3" ht="15.6" x14ac:dyDescent="0.3">
      <c r="A358" s="88" t="s">
        <v>549</v>
      </c>
      <c r="B358" s="106">
        <f>'Прайс для расчета (М)'!E454</f>
        <v>1548.75</v>
      </c>
      <c r="C358" s="75" t="s">
        <v>0</v>
      </c>
    </row>
    <row r="359" spans="1:3" ht="15.6" x14ac:dyDescent="0.3">
      <c r="A359" s="88" t="s">
        <v>472</v>
      </c>
      <c r="B359" s="106">
        <f>'Прайс для расчета (М)'!E455</f>
        <v>945</v>
      </c>
      <c r="C359" s="75" t="s">
        <v>0</v>
      </c>
    </row>
    <row r="360" spans="1:3" ht="15.6" x14ac:dyDescent="0.3">
      <c r="A360" s="88" t="s">
        <v>134</v>
      </c>
      <c r="B360" s="106">
        <f>'Прайс для расчета (М)'!E456</f>
        <v>1039.5</v>
      </c>
      <c r="C360" s="75" t="s">
        <v>2</v>
      </c>
    </row>
    <row r="361" spans="1:3" ht="15.6" x14ac:dyDescent="0.3">
      <c r="A361" s="88" t="s">
        <v>550</v>
      </c>
      <c r="B361" s="106">
        <f>'Прайс для расчета (М)'!E457</f>
        <v>656.25</v>
      </c>
      <c r="C361" s="75" t="s">
        <v>0</v>
      </c>
    </row>
    <row r="362" spans="1:3" ht="15.6" x14ac:dyDescent="0.3">
      <c r="A362" s="88" t="s">
        <v>551</v>
      </c>
      <c r="B362" s="106">
        <f>'Прайс для расчета (М)'!E458</f>
        <v>1181.25</v>
      </c>
      <c r="C362" s="75" t="s">
        <v>0</v>
      </c>
    </row>
    <row r="363" spans="1:3" ht="15.6" x14ac:dyDescent="0.3">
      <c r="A363" s="88" t="s">
        <v>135</v>
      </c>
      <c r="B363" s="106">
        <f>'Прайс для расчета (М)'!E459</f>
        <v>1233.75</v>
      </c>
      <c r="C363" s="75" t="s">
        <v>0</v>
      </c>
    </row>
    <row r="364" spans="1:3" ht="15.6" x14ac:dyDescent="0.3">
      <c r="A364" s="88" t="s">
        <v>552</v>
      </c>
      <c r="B364" s="106">
        <f>'Прайс для расчета (М)'!E460</f>
        <v>735</v>
      </c>
      <c r="C364" s="75" t="s">
        <v>0</v>
      </c>
    </row>
    <row r="365" spans="1:3" ht="15.6" x14ac:dyDescent="0.3">
      <c r="A365" s="88" t="s">
        <v>553</v>
      </c>
      <c r="B365" s="106">
        <f>'Прайс для расчета (М)'!E461</f>
        <v>1467.375</v>
      </c>
      <c r="C365" s="75" t="s">
        <v>0</v>
      </c>
    </row>
    <row r="366" spans="1:3" ht="15.6" x14ac:dyDescent="0.3">
      <c r="A366" s="88" t="s">
        <v>554</v>
      </c>
      <c r="B366" s="106">
        <f>'Прайс для расчета (М)'!E462</f>
        <v>3570</v>
      </c>
      <c r="C366" s="75" t="s">
        <v>166</v>
      </c>
    </row>
    <row r="367" spans="1:3" ht="15.6" x14ac:dyDescent="0.3">
      <c r="A367" s="88" t="s">
        <v>167</v>
      </c>
      <c r="B367" s="106">
        <f>'Прайс для расчета (М)'!E463</f>
        <v>1627.5</v>
      </c>
      <c r="C367" s="75" t="s">
        <v>0</v>
      </c>
    </row>
    <row r="368" spans="1:3" ht="15.6" x14ac:dyDescent="0.3">
      <c r="A368" s="88" t="s">
        <v>473</v>
      </c>
      <c r="B368" s="106">
        <f>'Прайс для расчета (М)'!E464</f>
        <v>236.25</v>
      </c>
      <c r="C368" s="75" t="s">
        <v>0</v>
      </c>
    </row>
    <row r="369" spans="1:3" ht="15.6" x14ac:dyDescent="0.3">
      <c r="A369" s="88" t="s">
        <v>555</v>
      </c>
      <c r="B369" s="106">
        <f>'Прайс для расчета (М)'!E465</f>
        <v>81.375</v>
      </c>
      <c r="C369" s="75" t="s">
        <v>0</v>
      </c>
    </row>
    <row r="370" spans="1:3" ht="15.6" x14ac:dyDescent="0.3">
      <c r="A370" s="88" t="s">
        <v>556</v>
      </c>
      <c r="B370" s="106">
        <f>'Прайс для расчета (М)'!E466</f>
        <v>81.375</v>
      </c>
      <c r="C370" s="75" t="s">
        <v>0</v>
      </c>
    </row>
    <row r="371" spans="1:3" ht="15.6" x14ac:dyDescent="0.3">
      <c r="A371" s="88" t="s">
        <v>557</v>
      </c>
      <c r="B371" s="106">
        <f>'Прайс для расчета (М)'!E467</f>
        <v>81.375</v>
      </c>
      <c r="C371" s="75" t="s">
        <v>0</v>
      </c>
    </row>
    <row r="372" spans="1:3" ht="15.6" x14ac:dyDescent="0.3">
      <c r="A372" s="88" t="s">
        <v>701</v>
      </c>
      <c r="B372" s="106">
        <f>'Прайс для расчета (М)'!E468</f>
        <v>81.375</v>
      </c>
      <c r="C372" s="75" t="s">
        <v>0</v>
      </c>
    </row>
    <row r="373" spans="1:3" ht="15.6" x14ac:dyDescent="0.3">
      <c r="A373" s="88" t="s">
        <v>558</v>
      </c>
      <c r="B373" s="106">
        <f>'Прайс для расчета (М)'!E469</f>
        <v>81.375</v>
      </c>
      <c r="C373" s="75" t="s">
        <v>0</v>
      </c>
    </row>
    <row r="374" spans="1:3" ht="15.6" x14ac:dyDescent="0.3">
      <c r="A374" s="88" t="s">
        <v>559</v>
      </c>
      <c r="B374" s="106">
        <f>'Прайс для расчета (М)'!E470</f>
        <v>1131.375</v>
      </c>
      <c r="C374" s="75" t="s">
        <v>0</v>
      </c>
    </row>
    <row r="375" spans="1:3" ht="15.6" x14ac:dyDescent="0.3">
      <c r="A375" s="88" t="s">
        <v>560</v>
      </c>
      <c r="B375" s="106">
        <f>'Прайс для расчета (М)'!E471</f>
        <v>763.875</v>
      </c>
      <c r="C375" s="75" t="s">
        <v>0</v>
      </c>
    </row>
    <row r="376" spans="1:3" ht="15.6" x14ac:dyDescent="0.3">
      <c r="A376" s="88" t="s">
        <v>561</v>
      </c>
      <c r="B376" s="106">
        <f>'Прайс для расчета (М)'!E472</f>
        <v>448.875</v>
      </c>
      <c r="C376" s="75" t="s">
        <v>0</v>
      </c>
    </row>
    <row r="377" spans="1:3" ht="15.6" x14ac:dyDescent="0.3">
      <c r="A377" s="88" t="s">
        <v>474</v>
      </c>
      <c r="B377" s="106">
        <f>'Прайс для расчета (М)'!E473</f>
        <v>343.875</v>
      </c>
      <c r="C377" s="75" t="s">
        <v>0</v>
      </c>
    </row>
    <row r="378" spans="1:3" ht="26.4" x14ac:dyDescent="0.3">
      <c r="A378" s="88" t="s">
        <v>562</v>
      </c>
      <c r="B378" s="106">
        <f>'Прайс для расчета (М)'!E474</f>
        <v>1522.5</v>
      </c>
      <c r="C378" s="75" t="s">
        <v>0</v>
      </c>
    </row>
    <row r="379" spans="1:3" ht="15.6" x14ac:dyDescent="0.3">
      <c r="A379" s="88" t="s">
        <v>563</v>
      </c>
      <c r="B379" s="106">
        <f>'Прайс для расчета (М)'!E475</f>
        <v>708.75</v>
      </c>
      <c r="C379" s="75" t="s">
        <v>0</v>
      </c>
    </row>
    <row r="380" spans="1:3" ht="15.6" x14ac:dyDescent="0.3">
      <c r="A380" s="88" t="s">
        <v>702</v>
      </c>
      <c r="B380" s="106">
        <f>'Прайс для расчета (М)'!E476</f>
        <v>1491</v>
      </c>
      <c r="C380" s="75" t="s">
        <v>0</v>
      </c>
    </row>
    <row r="381" spans="1:3" x14ac:dyDescent="0.25">
      <c r="A381" s="175" t="s">
        <v>975</v>
      </c>
      <c r="B381" s="175"/>
      <c r="C381" s="176"/>
    </row>
    <row r="382" spans="1:3" ht="15.6" x14ac:dyDescent="0.25">
      <c r="A382" s="88" t="s">
        <v>305</v>
      </c>
      <c r="B382" s="106">
        <f>'Прайс для расчета (М)'!E5</f>
        <v>44.625</v>
      </c>
      <c r="C382" s="62" t="s">
        <v>3</v>
      </c>
    </row>
    <row r="383" spans="1:3" ht="15.6" x14ac:dyDescent="0.25">
      <c r="A383" s="89" t="s">
        <v>889</v>
      </c>
      <c r="B383" s="106">
        <f>'Прайс для расчета (М)'!E6</f>
        <v>78.75</v>
      </c>
      <c r="C383" s="62" t="s">
        <v>2</v>
      </c>
    </row>
    <row r="384" spans="1:3" ht="15.6" x14ac:dyDescent="0.25">
      <c r="A384" s="88" t="s">
        <v>307</v>
      </c>
      <c r="B384" s="106">
        <f>'Прайс для расчета (М)'!E7</f>
        <v>146.11799999999999</v>
      </c>
      <c r="C384" s="62" t="s">
        <v>2</v>
      </c>
    </row>
    <row r="385" spans="1:14" ht="15.6" x14ac:dyDescent="0.25">
      <c r="A385" s="88" t="s">
        <v>308</v>
      </c>
      <c r="B385" s="106">
        <f>'Прайс для расчета (М)'!E8</f>
        <v>183.75</v>
      </c>
      <c r="C385" s="62" t="s">
        <v>2</v>
      </c>
    </row>
    <row r="386" spans="1:14" ht="15.6" x14ac:dyDescent="0.25">
      <c r="A386" s="90" t="s">
        <v>309</v>
      </c>
      <c r="B386" s="106">
        <f>'Прайс для расчета (М)'!E9</f>
        <v>60.3855</v>
      </c>
      <c r="C386" s="62" t="s">
        <v>2</v>
      </c>
      <c r="N386" s="95"/>
    </row>
    <row r="387" spans="1:14" ht="15.6" x14ac:dyDescent="0.25">
      <c r="A387" s="88" t="s">
        <v>310</v>
      </c>
      <c r="B387" s="106">
        <f>'Прайс для расчета (М)'!E10</f>
        <v>51.439499999999995</v>
      </c>
      <c r="C387" s="62" t="s">
        <v>2</v>
      </c>
    </row>
    <row r="388" spans="1:14" ht="15.6" x14ac:dyDescent="0.25">
      <c r="A388" s="90" t="s">
        <v>1011</v>
      </c>
      <c r="B388" s="106">
        <f>'Прайс для расчета (М)'!E11</f>
        <v>918.75</v>
      </c>
      <c r="C388" s="62" t="s">
        <v>2</v>
      </c>
    </row>
    <row r="389" spans="1:14" ht="15.6" x14ac:dyDescent="0.25">
      <c r="A389" s="90" t="s">
        <v>1010</v>
      </c>
      <c r="B389" s="106">
        <f>'Прайс для расчета (М)'!E12</f>
        <v>1338.75</v>
      </c>
      <c r="C389" s="62" t="s">
        <v>2</v>
      </c>
    </row>
    <row r="390" spans="1:14" ht="15.6" x14ac:dyDescent="0.25">
      <c r="A390" s="88" t="s">
        <v>59</v>
      </c>
      <c r="B390" s="106">
        <f>'Прайс для расчета (М)'!E13</f>
        <v>183.75</v>
      </c>
      <c r="C390" s="62" t="s">
        <v>2</v>
      </c>
    </row>
    <row r="391" spans="1:14" ht="15.6" x14ac:dyDescent="0.25">
      <c r="A391" s="88" t="s">
        <v>311</v>
      </c>
      <c r="B391" s="106">
        <f>'Прайс для расчета (М)'!E14</f>
        <v>157.5</v>
      </c>
      <c r="C391" s="62" t="s">
        <v>2</v>
      </c>
    </row>
    <row r="392" spans="1:14" ht="15.6" x14ac:dyDescent="0.25">
      <c r="A392" s="88" t="s">
        <v>312</v>
      </c>
      <c r="B392" s="106">
        <f>'Прайс для расчета (М)'!E15</f>
        <v>81.375</v>
      </c>
      <c r="C392" s="62" t="s">
        <v>2</v>
      </c>
    </row>
    <row r="393" spans="1:14" ht="15.6" x14ac:dyDescent="0.25">
      <c r="A393" s="88" t="s">
        <v>313</v>
      </c>
      <c r="B393" s="106">
        <f>'Прайс для расчета (М)'!E16</f>
        <v>81.375</v>
      </c>
      <c r="C393" s="62" t="s">
        <v>2</v>
      </c>
    </row>
    <row r="394" spans="1:14" ht="15.6" x14ac:dyDescent="0.25">
      <c r="A394" s="88" t="s">
        <v>314</v>
      </c>
      <c r="B394" s="106">
        <f>'Прайс для расчета (М)'!E17</f>
        <v>167.73750000000001</v>
      </c>
      <c r="C394" s="62" t="s">
        <v>2</v>
      </c>
    </row>
    <row r="395" spans="1:14" ht="15.6" x14ac:dyDescent="0.25">
      <c r="A395" s="88" t="s">
        <v>658</v>
      </c>
      <c r="B395" s="106">
        <f>'Прайс для расчета (М)'!E18</f>
        <v>36.75</v>
      </c>
      <c r="C395" s="62" t="s">
        <v>2</v>
      </c>
    </row>
    <row r="396" spans="1:14" ht="15.6" x14ac:dyDescent="0.25">
      <c r="A396" s="88" t="s">
        <v>315</v>
      </c>
      <c r="B396" s="106">
        <f>'Прайс для расчета (М)'!E19</f>
        <v>210.23099999999999</v>
      </c>
      <c r="C396" s="62" t="s">
        <v>2</v>
      </c>
    </row>
    <row r="397" spans="1:14" ht="15.6" x14ac:dyDescent="0.25">
      <c r="A397" s="88" t="s">
        <v>316</v>
      </c>
      <c r="B397" s="106">
        <f>'Прайс для расчета (М)'!E20</f>
        <v>288.75</v>
      </c>
      <c r="C397" s="62" t="s">
        <v>2</v>
      </c>
    </row>
    <row r="398" spans="1:14" ht="15.6" x14ac:dyDescent="0.25">
      <c r="A398" s="88" t="s">
        <v>317</v>
      </c>
      <c r="B398" s="106">
        <f>'Прайс для расчета (М)'!E21</f>
        <v>131.25</v>
      </c>
      <c r="C398" s="62" t="s">
        <v>2</v>
      </c>
    </row>
    <row r="399" spans="1:14" ht="15.6" x14ac:dyDescent="0.25">
      <c r="A399" s="88" t="s">
        <v>318</v>
      </c>
      <c r="B399" s="106">
        <f>'Прайс для расчета (М)'!E22</f>
        <v>322.05599999999998</v>
      </c>
      <c r="C399" s="62" t="s">
        <v>3</v>
      </c>
    </row>
    <row r="400" spans="1:14" ht="15.6" x14ac:dyDescent="0.25">
      <c r="A400" s="88" t="s">
        <v>319</v>
      </c>
      <c r="B400" s="106">
        <f>'Прайс для расчета (М)'!E23</f>
        <v>55.912500000000001</v>
      </c>
      <c r="C400" s="62" t="s">
        <v>3</v>
      </c>
    </row>
    <row r="401" spans="1:3" ht="15.6" x14ac:dyDescent="0.25">
      <c r="A401" s="88" t="s">
        <v>320</v>
      </c>
      <c r="B401" s="106">
        <f>'Прайс для расчета (М)'!E24</f>
        <v>261.6705</v>
      </c>
      <c r="C401" s="62" t="s">
        <v>3</v>
      </c>
    </row>
    <row r="402" spans="1:3" ht="15.6" x14ac:dyDescent="0.25">
      <c r="A402" s="88" t="s">
        <v>219</v>
      </c>
      <c r="B402" s="106">
        <f>'Прайс для расчета (М)'!E25</f>
        <v>167.73750000000001</v>
      </c>
      <c r="C402" s="62" t="s">
        <v>2</v>
      </c>
    </row>
    <row r="403" spans="1:3" ht="15.6" x14ac:dyDescent="0.25">
      <c r="A403" s="88" t="s">
        <v>564</v>
      </c>
      <c r="B403" s="106">
        <f>'Прайс для расчета (М)'!E26</f>
        <v>893.10899999999992</v>
      </c>
      <c r="C403" s="62" t="s">
        <v>3</v>
      </c>
    </row>
    <row r="404" spans="1:3" ht="15.6" x14ac:dyDescent="0.25">
      <c r="A404" s="88" t="s">
        <v>565</v>
      </c>
      <c r="B404" s="106">
        <f>'Прайс для расчета (М)'!E27</f>
        <v>2022.5414999999998</v>
      </c>
      <c r="C404" s="62" t="s">
        <v>3</v>
      </c>
    </row>
    <row r="405" spans="1:3" ht="15.6" x14ac:dyDescent="0.25">
      <c r="A405" s="88" t="s">
        <v>706</v>
      </c>
      <c r="B405" s="106">
        <f>'Прайс для расчета (М)'!E28</f>
        <v>593.41800000000001</v>
      </c>
      <c r="C405" s="62" t="s">
        <v>0</v>
      </c>
    </row>
    <row r="406" spans="1:3" ht="15.6" x14ac:dyDescent="0.25">
      <c r="A406" s="88" t="s">
        <v>321</v>
      </c>
      <c r="B406" s="106">
        <f>'Прайс для расчета (М)'!E29</f>
        <v>34.292999999999999</v>
      </c>
      <c r="C406" s="62" t="s">
        <v>3</v>
      </c>
    </row>
    <row r="407" spans="1:3" ht="15.6" x14ac:dyDescent="0.25">
      <c r="A407" s="88" t="s">
        <v>322</v>
      </c>
      <c r="B407" s="106">
        <f>'Прайс для расчета (М)'!E30</f>
        <v>115.5</v>
      </c>
      <c r="C407" s="62" t="s">
        <v>0</v>
      </c>
    </row>
    <row r="408" spans="1:3" ht="15.6" x14ac:dyDescent="0.25">
      <c r="A408" s="88" t="s">
        <v>220</v>
      </c>
      <c r="B408" s="106">
        <f>'Прайс для расчета (М)'!E31</f>
        <v>105</v>
      </c>
      <c r="C408" s="62" t="s">
        <v>2</v>
      </c>
    </row>
    <row r="409" spans="1:3" ht="15.6" x14ac:dyDescent="0.25">
      <c r="A409" s="88" t="s">
        <v>323</v>
      </c>
      <c r="B409" s="106">
        <f>'Прайс для расчета (М)'!E32</f>
        <v>102.87899999999999</v>
      </c>
      <c r="C409" s="62" t="s">
        <v>2</v>
      </c>
    </row>
    <row r="410" spans="1:3" ht="15.6" x14ac:dyDescent="0.25">
      <c r="A410" s="88" t="s">
        <v>154</v>
      </c>
      <c r="B410" s="106">
        <f>'Прайс для расчета (М)'!E33</f>
        <v>102.87899999999999</v>
      </c>
      <c r="C410" s="62" t="s">
        <v>2</v>
      </c>
    </row>
    <row r="411" spans="1:3" ht="15.6" x14ac:dyDescent="0.25">
      <c r="A411" s="88" t="s">
        <v>324</v>
      </c>
      <c r="B411" s="106">
        <f>'Прайс для расчета (М)'!E34</f>
        <v>253.47</v>
      </c>
      <c r="C411" s="62" t="s">
        <v>2</v>
      </c>
    </row>
    <row r="412" spans="1:3" ht="15.6" x14ac:dyDescent="0.25">
      <c r="A412" s="88" t="s">
        <v>325</v>
      </c>
      <c r="B412" s="106">
        <f>'Прайс для расчета (М)'!E35</f>
        <v>102.87899999999999</v>
      </c>
      <c r="C412" s="62" t="s">
        <v>2</v>
      </c>
    </row>
    <row r="413" spans="1:3" ht="15.6" x14ac:dyDescent="0.25">
      <c r="A413" s="88" t="s">
        <v>155</v>
      </c>
      <c r="B413" s="106">
        <f>'Прайс для расчета (М)'!E36</f>
        <v>102.87899999999999</v>
      </c>
      <c r="C413" s="62" t="s">
        <v>2</v>
      </c>
    </row>
    <row r="414" spans="1:3" ht="15.6" x14ac:dyDescent="0.25">
      <c r="A414" s="88" t="s">
        <v>659</v>
      </c>
      <c r="B414" s="106">
        <f>'Прайс для расчета (М)'!E37</f>
        <v>102.375</v>
      </c>
      <c r="C414" s="62" t="s">
        <v>2</v>
      </c>
    </row>
    <row r="415" spans="1:3" ht="15.6" x14ac:dyDescent="0.25">
      <c r="A415" s="88" t="s">
        <v>660</v>
      </c>
      <c r="B415" s="106">
        <f>'Прайс для расчета (М)'!E38</f>
        <v>146.11799999999999</v>
      </c>
      <c r="C415" s="62" t="s">
        <v>3</v>
      </c>
    </row>
    <row r="416" spans="1:3" ht="15.6" x14ac:dyDescent="0.25">
      <c r="A416" s="88" t="s">
        <v>326</v>
      </c>
      <c r="B416" s="106">
        <f>'Прайс для расчета (М)'!E39</f>
        <v>82.004999999999995</v>
      </c>
      <c r="C416" s="62" t="s">
        <v>2</v>
      </c>
    </row>
    <row r="417" spans="1:3" ht="15.6" x14ac:dyDescent="0.25">
      <c r="A417" s="88" t="s">
        <v>327</v>
      </c>
      <c r="B417" s="106">
        <f>'Прайс для расчета (М)'!E40</f>
        <v>167.73750000000001</v>
      </c>
      <c r="C417" s="62" t="s">
        <v>0</v>
      </c>
    </row>
    <row r="418" spans="1:3" ht="15.6" x14ac:dyDescent="0.25">
      <c r="A418" s="88" t="s">
        <v>328</v>
      </c>
      <c r="B418" s="106">
        <f>'Прайс для расчета (М)'!E41</f>
        <v>157.5</v>
      </c>
      <c r="C418" s="62" t="s">
        <v>2</v>
      </c>
    </row>
    <row r="419" spans="1:3" ht="15.6" x14ac:dyDescent="0.25">
      <c r="A419" s="88" t="s">
        <v>329</v>
      </c>
      <c r="B419" s="106">
        <f>'Прайс для расчета (М)'!E42</f>
        <v>146.11799999999999</v>
      </c>
      <c r="C419" s="62" t="s">
        <v>2</v>
      </c>
    </row>
    <row r="420" spans="1:3" ht="15.6" x14ac:dyDescent="0.25">
      <c r="A420" s="88" t="s">
        <v>222</v>
      </c>
      <c r="B420" s="106">
        <f>'Прайс для расчета (М)'!E43</f>
        <v>167.73750000000001</v>
      </c>
      <c r="C420" s="62" t="s">
        <v>2</v>
      </c>
    </row>
    <row r="421" spans="1:3" ht="15.6" x14ac:dyDescent="0.25">
      <c r="A421" s="88" t="s">
        <v>330</v>
      </c>
      <c r="B421" s="106">
        <f>'Прайс для расчета (М)'!E44</f>
        <v>167.73750000000001</v>
      </c>
      <c r="C421" s="62" t="s">
        <v>2</v>
      </c>
    </row>
    <row r="422" spans="1:3" ht="15.6" x14ac:dyDescent="0.25">
      <c r="A422" s="88" t="s">
        <v>475</v>
      </c>
      <c r="B422" s="106">
        <f>'Прайс для расчета (М)'!E45</f>
        <v>51.439499999999995</v>
      </c>
      <c r="C422" s="62" t="s">
        <v>2</v>
      </c>
    </row>
    <row r="423" spans="1:3" ht="15.6" x14ac:dyDescent="0.25">
      <c r="A423" s="88" t="s">
        <v>476</v>
      </c>
      <c r="B423" s="106">
        <f>'Прайс для расчета (М)'!E46</f>
        <v>82.004999999999995</v>
      </c>
      <c r="C423" s="62" t="s">
        <v>2</v>
      </c>
    </row>
    <row r="424" spans="1:3" ht="15.6" x14ac:dyDescent="0.25">
      <c r="A424" s="88" t="s">
        <v>477</v>
      </c>
      <c r="B424" s="106">
        <f>'Прайс для расчета (М)'!E47</f>
        <v>424.935</v>
      </c>
      <c r="C424" s="62" t="s">
        <v>2</v>
      </c>
    </row>
    <row r="425" spans="1:3" ht="15.6" x14ac:dyDescent="0.25">
      <c r="A425" s="88" t="s">
        <v>478</v>
      </c>
      <c r="B425" s="106">
        <f>'Прайс для расчета (М)'!E48</f>
        <v>510.66749999999996</v>
      </c>
      <c r="C425" s="62" t="s">
        <v>2</v>
      </c>
    </row>
    <row r="426" spans="1:3" ht="15.6" x14ac:dyDescent="0.25">
      <c r="A426" s="88" t="s">
        <v>479</v>
      </c>
      <c r="B426" s="106">
        <f>'Прайс для расчета (М)'!E49</f>
        <v>596.4</v>
      </c>
      <c r="C426" s="62" t="s">
        <v>2</v>
      </c>
    </row>
    <row r="427" spans="1:3" ht="15.6" x14ac:dyDescent="0.25">
      <c r="A427" s="88" t="s">
        <v>480</v>
      </c>
      <c r="B427" s="106">
        <f>'Прайс для расчета (М)'!E50</f>
        <v>682.13250000000005</v>
      </c>
      <c r="C427" s="62" t="s">
        <v>2</v>
      </c>
    </row>
    <row r="428" spans="1:3" ht="15.6" x14ac:dyDescent="0.25">
      <c r="A428" s="88" t="s">
        <v>331</v>
      </c>
      <c r="B428" s="106">
        <f>'Прайс для расчета (М)'!E51</f>
        <v>424.935</v>
      </c>
      <c r="C428" s="62" t="s">
        <v>2</v>
      </c>
    </row>
    <row r="429" spans="1:3" ht="15.6" x14ac:dyDescent="0.25">
      <c r="A429" s="88" t="s">
        <v>332</v>
      </c>
      <c r="B429" s="106">
        <f>'Прайс для расчета (М)'!E52</f>
        <v>253.47</v>
      </c>
      <c r="C429" s="62" t="s">
        <v>2</v>
      </c>
    </row>
    <row r="430" spans="1:3" ht="15.6" x14ac:dyDescent="0.25">
      <c r="A430" s="88" t="s">
        <v>333</v>
      </c>
      <c r="B430" s="106">
        <f>'Прайс для расчета (М)'!E53</f>
        <v>2546.6279999999997</v>
      </c>
      <c r="C430" s="62" t="s">
        <v>2</v>
      </c>
    </row>
    <row r="431" spans="1:3" ht="15.6" x14ac:dyDescent="0.25">
      <c r="A431" s="88" t="s">
        <v>45</v>
      </c>
      <c r="B431" s="106">
        <f>'Прайс для расчета (М)'!E54</f>
        <v>167.73750000000001</v>
      </c>
      <c r="C431" s="62" t="s">
        <v>2</v>
      </c>
    </row>
    <row r="432" spans="1:3" ht="15.6" x14ac:dyDescent="0.25">
      <c r="A432" s="88" t="s">
        <v>46</v>
      </c>
      <c r="B432" s="106">
        <f>'Прайс для расчета (М)'!E55</f>
        <v>68.585999999999999</v>
      </c>
      <c r="C432" s="62" t="s">
        <v>3</v>
      </c>
    </row>
    <row r="433" spans="1:3" ht="15.6" x14ac:dyDescent="0.25">
      <c r="A433" s="88" t="s">
        <v>60</v>
      </c>
      <c r="B433" s="106">
        <f>'Прайс для расчета (М)'!E56</f>
        <v>102.87899999999999</v>
      </c>
      <c r="C433" s="62" t="s">
        <v>3</v>
      </c>
    </row>
    <row r="434" spans="1:3" ht="15.6" x14ac:dyDescent="0.25">
      <c r="A434" s="88" t="s">
        <v>47</v>
      </c>
      <c r="B434" s="106">
        <f>'Прайс для расчета (М)'!E57</f>
        <v>68.585999999999999</v>
      </c>
      <c r="C434" s="62" t="s">
        <v>3</v>
      </c>
    </row>
    <row r="435" spans="1:3" ht="15.6" x14ac:dyDescent="0.25">
      <c r="A435" s="88" t="s">
        <v>48</v>
      </c>
      <c r="B435" s="106">
        <f>'Прайс для расчета (М)'!E58</f>
        <v>102.87899999999999</v>
      </c>
      <c r="C435" s="62" t="s">
        <v>3</v>
      </c>
    </row>
    <row r="436" spans="1:3" ht="15.6" x14ac:dyDescent="0.25">
      <c r="A436" s="88" t="s">
        <v>49</v>
      </c>
      <c r="B436" s="106">
        <f>'Прайс для расчета (М)'!E59</f>
        <v>21.619500000000002</v>
      </c>
      <c r="C436" s="62" t="s">
        <v>3</v>
      </c>
    </row>
    <row r="437" spans="1:3" ht="15.6" x14ac:dyDescent="0.25">
      <c r="A437" s="88" t="s">
        <v>50</v>
      </c>
      <c r="B437" s="106">
        <f>'Прайс для расчета (М)'!E60</f>
        <v>43.239000000000004</v>
      </c>
      <c r="C437" s="62" t="s">
        <v>3</v>
      </c>
    </row>
    <row r="438" spans="1:3" ht="15.6" x14ac:dyDescent="0.25">
      <c r="A438" s="88" t="s">
        <v>51</v>
      </c>
      <c r="B438" s="106">
        <f>'Прайс для расчета (М)'!E61</f>
        <v>21.619500000000002</v>
      </c>
      <c r="C438" s="62" t="s">
        <v>3</v>
      </c>
    </row>
    <row r="439" spans="1:3" ht="15.6" x14ac:dyDescent="0.25">
      <c r="A439" s="88" t="s">
        <v>334</v>
      </c>
      <c r="B439" s="106">
        <f>'Прайс для расчета (М)'!E62</f>
        <v>55.125</v>
      </c>
      <c r="C439" s="62" t="s">
        <v>3</v>
      </c>
    </row>
    <row r="440" spans="1:3" ht="15.6" x14ac:dyDescent="0.25">
      <c r="A440" s="88" t="s">
        <v>335</v>
      </c>
      <c r="B440" s="106">
        <f>'Прайс для расчета (М)'!E63</f>
        <v>124.49849999999999</v>
      </c>
      <c r="C440" s="62" t="s">
        <v>2</v>
      </c>
    </row>
    <row r="441" spans="1:3" ht="15.6" x14ac:dyDescent="0.25">
      <c r="A441" s="88" t="s">
        <v>336</v>
      </c>
      <c r="B441" s="106">
        <f>'Прайс для расчета (М)'!E64</f>
        <v>102.87899999999999</v>
      </c>
      <c r="C441" s="62" t="s">
        <v>2</v>
      </c>
    </row>
    <row r="442" spans="1:3" ht="15.6" x14ac:dyDescent="0.25">
      <c r="A442" s="88" t="s">
        <v>481</v>
      </c>
      <c r="B442" s="106">
        <f>'Прайс для расчета (М)'!E65</f>
        <v>77.532000000000011</v>
      </c>
      <c r="C442" s="62" t="s">
        <v>2</v>
      </c>
    </row>
    <row r="443" spans="1:3" ht="15.6" x14ac:dyDescent="0.25">
      <c r="A443" s="88" t="s">
        <v>482</v>
      </c>
      <c r="B443" s="106">
        <f>'Прайс для расчета (М)'!E66</f>
        <v>68.585999999999999</v>
      </c>
      <c r="C443" s="62" t="s">
        <v>2</v>
      </c>
    </row>
    <row r="444" spans="1:3" ht="15.6" x14ac:dyDescent="0.25">
      <c r="A444" s="88" t="s">
        <v>483</v>
      </c>
      <c r="B444" s="106">
        <f>'Прайс для расчета (М)'!E67</f>
        <v>43.239000000000004</v>
      </c>
      <c r="C444" s="62" t="s">
        <v>2</v>
      </c>
    </row>
    <row r="445" spans="1:3" ht="15.6" x14ac:dyDescent="0.25">
      <c r="A445" s="88" t="s">
        <v>484</v>
      </c>
      <c r="B445" s="106">
        <f>'Прайс для расчета (М)'!E68</f>
        <v>51.439499999999995</v>
      </c>
      <c r="C445" s="62" t="s">
        <v>2</v>
      </c>
    </row>
    <row r="446" spans="1:3" ht="15.6" x14ac:dyDescent="0.25">
      <c r="A446" s="88" t="s">
        <v>337</v>
      </c>
      <c r="B446" s="106">
        <f>'Прайс для расчета (М)'!E69</f>
        <v>82.004999999999995</v>
      </c>
      <c r="C446" s="62" t="s">
        <v>0</v>
      </c>
    </row>
    <row r="447" spans="1:3" ht="15.6" x14ac:dyDescent="0.25">
      <c r="A447" s="88" t="s">
        <v>661</v>
      </c>
      <c r="B447" s="106">
        <f>'Прайс для расчета (М)'!E70</f>
        <v>188.61150000000001</v>
      </c>
      <c r="C447" s="62" t="s">
        <v>2</v>
      </c>
    </row>
    <row r="448" spans="1:3" ht="15.6" x14ac:dyDescent="0.25">
      <c r="A448" s="88" t="s">
        <v>338</v>
      </c>
      <c r="B448" s="106">
        <f>'Прайс для расчета (М)'!E71</f>
        <v>137.172</v>
      </c>
      <c r="C448" s="62" t="s">
        <v>3</v>
      </c>
    </row>
    <row r="449" spans="1:3" ht="15.6" x14ac:dyDescent="0.25">
      <c r="A449" s="88" t="s">
        <v>138</v>
      </c>
      <c r="B449" s="106">
        <f>'Прайс для расчета (М)'!E72</f>
        <v>102.375</v>
      </c>
      <c r="C449" s="62" t="s">
        <v>3</v>
      </c>
    </row>
    <row r="450" spans="1:3" ht="15.6" x14ac:dyDescent="0.25">
      <c r="A450" s="88" t="s">
        <v>339</v>
      </c>
      <c r="B450" s="106">
        <f>'Прайс для расчета (М)'!E73</f>
        <v>137.172</v>
      </c>
      <c r="C450" s="62" t="s">
        <v>2</v>
      </c>
    </row>
    <row r="451" spans="1:3" ht="15.6" x14ac:dyDescent="0.25">
      <c r="A451" s="88" t="s">
        <v>156</v>
      </c>
      <c r="B451" s="106">
        <f>'Прайс для расчета (М)'!E74</f>
        <v>111.825</v>
      </c>
      <c r="C451" s="62" t="s">
        <v>2</v>
      </c>
    </row>
    <row r="452" spans="1:3" ht="15.6" x14ac:dyDescent="0.25">
      <c r="A452" s="88" t="s">
        <v>340</v>
      </c>
      <c r="B452" s="106">
        <f>'Прайс для расчета (М)'!E75</f>
        <v>253.47</v>
      </c>
      <c r="C452" s="62" t="s">
        <v>2</v>
      </c>
    </row>
    <row r="453" spans="1:3" ht="15.6" x14ac:dyDescent="0.25">
      <c r="A453" s="88" t="s">
        <v>54</v>
      </c>
      <c r="B453" s="106">
        <f>'Прайс для расчета (М)'!E76</f>
        <v>295.96350000000001</v>
      </c>
      <c r="C453" s="62" t="s">
        <v>2</v>
      </c>
    </row>
    <row r="454" spans="1:3" ht="15.6" x14ac:dyDescent="0.25">
      <c r="A454" s="88" t="s">
        <v>221</v>
      </c>
      <c r="B454" s="106">
        <f>'Прайс для расчета (М)'!E77</f>
        <v>105</v>
      </c>
      <c r="C454" s="62" t="s">
        <v>2</v>
      </c>
    </row>
    <row r="455" spans="1:3" ht="15.6" x14ac:dyDescent="0.25">
      <c r="A455" s="88" t="s">
        <v>157</v>
      </c>
      <c r="B455" s="106">
        <f>'Прайс для расчета (М)'!E78</f>
        <v>120.02549999999999</v>
      </c>
      <c r="C455" s="62" t="s">
        <v>2</v>
      </c>
    </row>
    <row r="456" spans="1:3" ht="15.6" x14ac:dyDescent="0.25">
      <c r="A456" s="88" t="s">
        <v>662</v>
      </c>
      <c r="B456" s="106">
        <f>'Прайс для расчета (М)'!E79</f>
        <v>43.239000000000004</v>
      </c>
      <c r="C456" s="62" t="s">
        <v>3</v>
      </c>
    </row>
    <row r="457" spans="1:3" ht="15.6" x14ac:dyDescent="0.25">
      <c r="A457" s="88" t="s">
        <v>485</v>
      </c>
      <c r="B457" s="106">
        <f>'Прайс для расчета (М)'!E80</f>
        <v>210.23099999999999</v>
      </c>
      <c r="C457" s="62" t="s">
        <v>2</v>
      </c>
    </row>
    <row r="458" spans="1:3" ht="15.6" x14ac:dyDescent="0.25">
      <c r="A458" s="88" t="s">
        <v>486</v>
      </c>
      <c r="B458" s="106">
        <f>'Прайс для расчета (М)'!E81</f>
        <v>295.96350000000001</v>
      </c>
      <c r="C458" s="62" t="s">
        <v>2</v>
      </c>
    </row>
    <row r="459" spans="1:3" ht="15.6" x14ac:dyDescent="0.25">
      <c r="A459" s="88" t="s">
        <v>341</v>
      </c>
      <c r="B459" s="106">
        <f>'Прайс для расчета (М)'!E82</f>
        <v>167.73750000000001</v>
      </c>
      <c r="C459" s="62" t="s">
        <v>0</v>
      </c>
    </row>
    <row r="460" spans="1:3" ht="15.6" x14ac:dyDescent="0.25">
      <c r="A460" s="88" t="s">
        <v>61</v>
      </c>
      <c r="B460" s="106">
        <f>'Прайс для расчета (М)'!E83</f>
        <v>51.439499999999995</v>
      </c>
      <c r="C460" s="62" t="s">
        <v>3</v>
      </c>
    </row>
    <row r="461" spans="1:3" ht="15.6" x14ac:dyDescent="0.25">
      <c r="A461" s="88" t="s">
        <v>342</v>
      </c>
      <c r="B461" s="106">
        <f>'Прайс для расчета (М)'!E84</f>
        <v>322.05599999999998</v>
      </c>
      <c r="C461" s="62" t="s">
        <v>2</v>
      </c>
    </row>
    <row r="462" spans="1:3" ht="15.6" x14ac:dyDescent="0.25">
      <c r="A462" s="88" t="s">
        <v>343</v>
      </c>
      <c r="B462" s="106">
        <f>'Прайс для расчета (М)'!E85</f>
        <v>339.20250000000004</v>
      </c>
      <c r="C462" s="62" t="s">
        <v>2</v>
      </c>
    </row>
    <row r="463" spans="1:3" ht="15.6" x14ac:dyDescent="0.25">
      <c r="A463" s="88" t="s">
        <v>663</v>
      </c>
      <c r="B463" s="106">
        <f>'Прайс для расчета (М)'!E86</f>
        <v>197.55749999999998</v>
      </c>
      <c r="C463" s="62" t="s">
        <v>3</v>
      </c>
    </row>
    <row r="464" spans="1:3" ht="15.6" x14ac:dyDescent="0.25">
      <c r="A464" s="88" t="s">
        <v>344</v>
      </c>
      <c r="B464" s="106">
        <f>'Прайс для расчета (М)'!E87</f>
        <v>424.935</v>
      </c>
      <c r="C464" s="62" t="s">
        <v>2</v>
      </c>
    </row>
    <row r="465" spans="1:3" ht="15.6" x14ac:dyDescent="0.25">
      <c r="A465" s="88" t="s">
        <v>158</v>
      </c>
      <c r="B465" s="106">
        <f>'Прайс для расчета (М)'!E88</f>
        <v>493.52100000000002</v>
      </c>
      <c r="C465" s="62" t="s">
        <v>2</v>
      </c>
    </row>
    <row r="466" spans="1:3" ht="15.6" x14ac:dyDescent="0.25">
      <c r="A466" s="88" t="s">
        <v>345</v>
      </c>
      <c r="B466" s="106">
        <f>'Прайс для расчета (М)'!E89</f>
        <v>124.49849999999999</v>
      </c>
      <c r="C466" s="62" t="s">
        <v>645</v>
      </c>
    </row>
    <row r="467" spans="1:3" ht="15.6" x14ac:dyDescent="0.25">
      <c r="A467" s="88" t="s">
        <v>62</v>
      </c>
      <c r="B467" s="106">
        <f>'Прайс для расчета (М)'!E90</f>
        <v>163.2645</v>
      </c>
      <c r="C467" s="62" t="s">
        <v>0</v>
      </c>
    </row>
    <row r="468" spans="1:3" ht="15.6" x14ac:dyDescent="0.25">
      <c r="A468" s="88" t="s">
        <v>487</v>
      </c>
      <c r="B468" s="106">
        <f>'Прайс для расчета (М)'!E91</f>
        <v>849.12450000000001</v>
      </c>
      <c r="C468" s="62" t="s">
        <v>0</v>
      </c>
    </row>
    <row r="469" spans="1:3" ht="15.6" x14ac:dyDescent="0.25">
      <c r="A469" s="88" t="s">
        <v>346</v>
      </c>
      <c r="B469" s="106">
        <f>'Прайс для расчета (М)'!E92</f>
        <v>167.73750000000001</v>
      </c>
      <c r="C469" s="62" t="s">
        <v>0</v>
      </c>
    </row>
    <row r="470" spans="1:3" ht="15.6" x14ac:dyDescent="0.25">
      <c r="A470" s="88" t="s">
        <v>664</v>
      </c>
      <c r="B470" s="106">
        <f>'Прайс для расчета (М)'!E93</f>
        <v>120.02549999999999</v>
      </c>
      <c r="C470" s="62" t="s">
        <v>645</v>
      </c>
    </row>
    <row r="471" spans="1:3" ht="15.6" x14ac:dyDescent="0.25">
      <c r="A471" s="88" t="s">
        <v>665</v>
      </c>
      <c r="B471" s="106">
        <f>'Прайс для расчета (М)'!E94</f>
        <v>51.439499999999995</v>
      </c>
      <c r="C471" s="62" t="s">
        <v>0</v>
      </c>
    </row>
    <row r="472" spans="1:3" ht="15.6" x14ac:dyDescent="0.25">
      <c r="A472" s="88" t="s">
        <v>666</v>
      </c>
      <c r="B472" s="106">
        <f>'Прайс для расчета (М)'!E95</f>
        <v>236.25</v>
      </c>
      <c r="C472" s="62" t="s">
        <v>0</v>
      </c>
    </row>
    <row r="473" spans="1:3" ht="15.6" x14ac:dyDescent="0.25">
      <c r="A473" s="88" t="s">
        <v>159</v>
      </c>
      <c r="B473" s="106">
        <f>'Прайс для расчета (М)'!E96</f>
        <v>420</v>
      </c>
      <c r="C473" s="62" t="s">
        <v>0</v>
      </c>
    </row>
    <row r="474" spans="1:3" ht="15.6" x14ac:dyDescent="0.25">
      <c r="A474" s="88" t="s">
        <v>63</v>
      </c>
      <c r="B474" s="106">
        <f>'Прайс для расчета (М)'!E97</f>
        <v>210.23099999999999</v>
      </c>
      <c r="C474" s="62" t="s">
        <v>2</v>
      </c>
    </row>
    <row r="475" spans="1:3" ht="15.6" x14ac:dyDescent="0.25">
      <c r="A475" s="88" t="s">
        <v>488</v>
      </c>
      <c r="B475" s="106">
        <f>'Прайс для расчета (М)'!E98</f>
        <v>510.66749999999996</v>
      </c>
      <c r="C475" s="62" t="s">
        <v>0</v>
      </c>
    </row>
    <row r="476" spans="1:3" ht="15.6" x14ac:dyDescent="0.25">
      <c r="A476" s="88" t="s">
        <v>489</v>
      </c>
      <c r="B476" s="106">
        <f>'Прайс для расчета (М)'!E99</f>
        <v>2089.5</v>
      </c>
      <c r="C476" s="62" t="s">
        <v>0</v>
      </c>
    </row>
    <row r="477" spans="1:3" ht="15.6" x14ac:dyDescent="0.25">
      <c r="A477" s="88" t="s">
        <v>490</v>
      </c>
      <c r="B477" s="106">
        <f>'Прайс для расчета (М)'!E100</f>
        <v>591.92700000000002</v>
      </c>
      <c r="C477" s="62" t="s">
        <v>0</v>
      </c>
    </row>
    <row r="478" spans="1:3" ht="15.6" x14ac:dyDescent="0.25">
      <c r="A478" s="88" t="s">
        <v>491</v>
      </c>
      <c r="B478" s="106">
        <f>'Прайс для расчета (М)'!E101</f>
        <v>1564.5</v>
      </c>
      <c r="C478" s="62" t="s">
        <v>0</v>
      </c>
    </row>
    <row r="479" spans="1:3" ht="15.6" x14ac:dyDescent="0.25">
      <c r="A479" s="88" t="s">
        <v>667</v>
      </c>
      <c r="B479" s="106">
        <f>'Прайс для расчета (М)'!E102</f>
        <v>295.96350000000001</v>
      </c>
      <c r="C479" s="62" t="s">
        <v>0</v>
      </c>
    </row>
    <row r="480" spans="1:3" ht="15.6" x14ac:dyDescent="0.25">
      <c r="A480" s="88" t="s">
        <v>347</v>
      </c>
      <c r="B480" s="106">
        <f>'Прайс для расчета (М)'!E103</f>
        <v>339.20250000000004</v>
      </c>
      <c r="C480" s="62" t="s">
        <v>0</v>
      </c>
    </row>
    <row r="481" spans="1:3" ht="15.6" x14ac:dyDescent="0.25">
      <c r="A481" s="88" t="s">
        <v>348</v>
      </c>
      <c r="B481" s="106">
        <f>'Прайс для расчета (М)'!E104</f>
        <v>424.935</v>
      </c>
      <c r="C481" s="62" t="s">
        <v>0</v>
      </c>
    </row>
    <row r="482" spans="1:3" ht="15.6" x14ac:dyDescent="0.25">
      <c r="A482" s="88" t="s">
        <v>349</v>
      </c>
      <c r="B482" s="106">
        <f>'Прайс для расчета (М)'!E105</f>
        <v>424.935</v>
      </c>
      <c r="C482" s="62" t="s">
        <v>0</v>
      </c>
    </row>
    <row r="483" spans="1:3" ht="15.6" x14ac:dyDescent="0.25">
      <c r="A483" s="88" t="s">
        <v>668</v>
      </c>
      <c r="B483" s="106">
        <f>'Прайс для расчета (М)'!E106</f>
        <v>339.20250000000004</v>
      </c>
      <c r="C483" s="62" t="s">
        <v>0</v>
      </c>
    </row>
    <row r="484" spans="1:3" ht="15.6" x14ac:dyDescent="0.25">
      <c r="A484" s="88" t="s">
        <v>669</v>
      </c>
      <c r="B484" s="106">
        <f>'Прайс для расчета (М)'!E107</f>
        <v>553.16099999999994</v>
      </c>
      <c r="C484" s="62" t="s">
        <v>0</v>
      </c>
    </row>
    <row r="485" spans="1:3" ht="15.6" x14ac:dyDescent="0.25">
      <c r="A485" s="88" t="s">
        <v>670</v>
      </c>
      <c r="B485" s="106">
        <f>'Прайс для расчета (М)'!E108</f>
        <v>446.25</v>
      </c>
      <c r="C485" s="62" t="s">
        <v>0</v>
      </c>
    </row>
    <row r="486" spans="1:3" ht="15.6" x14ac:dyDescent="0.25">
      <c r="A486" s="88" t="s">
        <v>350</v>
      </c>
      <c r="B486" s="106">
        <f>'Прайс для расчета (М)'!E109</f>
        <v>82.004999999999995</v>
      </c>
      <c r="C486" s="62" t="s">
        <v>0</v>
      </c>
    </row>
    <row r="487" spans="1:3" ht="15.6" x14ac:dyDescent="0.25">
      <c r="A487" s="88" t="s">
        <v>351</v>
      </c>
      <c r="B487" s="106">
        <f>'Прайс для расчета (М)'!E110</f>
        <v>51.439499999999995</v>
      </c>
      <c r="C487" s="62" t="s">
        <v>0</v>
      </c>
    </row>
    <row r="488" spans="1:3" ht="15.6" x14ac:dyDescent="0.25">
      <c r="A488" s="88" t="s">
        <v>352</v>
      </c>
      <c r="B488" s="106">
        <f>'Прайс для расчета (М)'!E111</f>
        <v>124.49849999999999</v>
      </c>
      <c r="C488" s="62" t="s">
        <v>3</v>
      </c>
    </row>
    <row r="489" spans="1:3" ht="15.6" x14ac:dyDescent="0.25">
      <c r="A489" s="88" t="s">
        <v>353</v>
      </c>
      <c r="B489" s="106">
        <f>'Прайс для расчета (М)'!E112</f>
        <v>197.55749999999998</v>
      </c>
      <c r="C489" s="62" t="s">
        <v>3</v>
      </c>
    </row>
    <row r="490" spans="1:3" ht="15.6" x14ac:dyDescent="0.25">
      <c r="A490" s="88" t="s">
        <v>492</v>
      </c>
      <c r="B490" s="106">
        <f>'Прайс для расчета (М)'!E113</f>
        <v>489.048</v>
      </c>
      <c r="C490" s="62" t="s">
        <v>3</v>
      </c>
    </row>
    <row r="491" spans="1:3" ht="15.6" x14ac:dyDescent="0.25">
      <c r="A491" s="88" t="s">
        <v>493</v>
      </c>
      <c r="B491" s="106">
        <f>'Прайс для расчета (М)'!E114</f>
        <v>591.92700000000002</v>
      </c>
      <c r="C491" s="62" t="s">
        <v>3</v>
      </c>
    </row>
    <row r="492" spans="1:3" ht="15.6" x14ac:dyDescent="0.25">
      <c r="A492" s="88" t="s">
        <v>354</v>
      </c>
      <c r="B492" s="106">
        <f>'Прайс для расчета (М)'!E115</f>
        <v>73.058999999999997</v>
      </c>
      <c r="C492" s="62" t="s">
        <v>0</v>
      </c>
    </row>
    <row r="493" spans="1:3" ht="15.6" x14ac:dyDescent="0.25">
      <c r="A493" s="88" t="s">
        <v>671</v>
      </c>
      <c r="B493" s="106">
        <f>'Прайс для расчета (М)'!E116</f>
        <v>82.004999999999995</v>
      </c>
      <c r="C493" s="62" t="s">
        <v>0</v>
      </c>
    </row>
    <row r="494" spans="1:3" ht="15.6" x14ac:dyDescent="0.25">
      <c r="A494" s="88" t="s">
        <v>146</v>
      </c>
      <c r="B494" s="106">
        <f>'Прайс для расчета (М)'!E117</f>
        <v>167.73750000000001</v>
      </c>
      <c r="C494" s="62" t="s">
        <v>0</v>
      </c>
    </row>
    <row r="495" spans="1:3" ht="15.6" x14ac:dyDescent="0.25">
      <c r="A495" s="88" t="s">
        <v>64</v>
      </c>
      <c r="B495" s="106">
        <f>'Прайс для расчета (М)'!E118</f>
        <v>510.66749999999996</v>
      </c>
      <c r="C495" s="62" t="s">
        <v>0</v>
      </c>
    </row>
    <row r="496" spans="1:3" ht="15.6" x14ac:dyDescent="0.25">
      <c r="A496" s="88" t="s">
        <v>672</v>
      </c>
      <c r="B496" s="106">
        <f>'Прайс для расчета (М)'!E119</f>
        <v>17.1465</v>
      </c>
      <c r="C496" s="62" t="s">
        <v>645</v>
      </c>
    </row>
    <row r="497" spans="1:3" ht="15.6" x14ac:dyDescent="0.25">
      <c r="A497" s="88" t="s">
        <v>177</v>
      </c>
      <c r="B497" s="106">
        <f>'Прайс для расчета (М)'!E120</f>
        <v>82.004999999999995</v>
      </c>
      <c r="C497" s="62" t="s">
        <v>0</v>
      </c>
    </row>
    <row r="498" spans="1:3" ht="15.6" x14ac:dyDescent="0.25">
      <c r="A498" s="88" t="s">
        <v>355</v>
      </c>
      <c r="B498" s="106">
        <f>'Прайс для расчета (М)'!E121</f>
        <v>300.43650000000002</v>
      </c>
      <c r="C498" s="62" t="s">
        <v>0</v>
      </c>
    </row>
    <row r="499" spans="1:3" ht="15.6" x14ac:dyDescent="0.25">
      <c r="A499" s="88" t="s">
        <v>494</v>
      </c>
      <c r="B499" s="106">
        <f>'Прайс для расчета (М)'!E122</f>
        <v>1968.12</v>
      </c>
      <c r="C499" s="62" t="s">
        <v>0</v>
      </c>
    </row>
    <row r="500" spans="1:3" ht="15.6" x14ac:dyDescent="0.25">
      <c r="A500" s="88" t="s">
        <v>495</v>
      </c>
      <c r="B500" s="106">
        <f>'Прайс для расчета (М)'!E123</f>
        <v>2546.6279999999997</v>
      </c>
      <c r="C500" s="62" t="s">
        <v>0</v>
      </c>
    </row>
    <row r="501" spans="1:3" ht="15.6" x14ac:dyDescent="0.25">
      <c r="A501" s="88" t="s">
        <v>496</v>
      </c>
      <c r="B501" s="106">
        <f>'Прайс для расчета (М)'!E124</f>
        <v>2122.4384999999997</v>
      </c>
      <c r="C501" s="62" t="s">
        <v>0</v>
      </c>
    </row>
    <row r="502" spans="1:3" ht="15.6" x14ac:dyDescent="0.3">
      <c r="A502" s="88" t="s">
        <v>703</v>
      </c>
      <c r="B502" s="106">
        <f>'Прайс для расчета (М)'!E125</f>
        <v>47.25</v>
      </c>
      <c r="C502" s="75" t="s">
        <v>0</v>
      </c>
    </row>
    <row r="503" spans="1:3" ht="15.6" hidden="1" x14ac:dyDescent="0.3">
      <c r="A503" s="103" t="s">
        <v>15</v>
      </c>
      <c r="B503" s="104">
        <f>'Прайс для расчета (М)'!E478</f>
        <v>3354.75</v>
      </c>
      <c r="C503" s="105"/>
    </row>
    <row r="504" spans="1:3" ht="15.6" hidden="1" x14ac:dyDescent="0.3">
      <c r="A504" s="50" t="s">
        <v>576</v>
      </c>
      <c r="B504" s="21">
        <f>'Прайс для расчета (М)'!E479</f>
        <v>4100.25</v>
      </c>
      <c r="C504" s="74"/>
    </row>
    <row r="505" spans="1:3" ht="15.6" hidden="1" x14ac:dyDescent="0.3">
      <c r="A505" s="50" t="s">
        <v>577</v>
      </c>
      <c r="B505" s="21">
        <f>'Прайс для расчета (М)'!E480</f>
        <v>4473</v>
      </c>
      <c r="C505" s="74"/>
    </row>
    <row r="506" spans="1:3" ht="15.6" hidden="1" x14ac:dyDescent="0.3">
      <c r="A506" s="50" t="s">
        <v>578</v>
      </c>
      <c r="B506" s="21">
        <f>'Прайс для расчета (М)'!E481</f>
        <v>3354.75</v>
      </c>
      <c r="C506" s="74"/>
    </row>
    <row r="507" spans="1:3" ht="15.6" hidden="1" x14ac:dyDescent="0.3">
      <c r="A507" s="50" t="s">
        <v>579</v>
      </c>
      <c r="B507" s="21">
        <f>'Прайс для расчета (М)'!E482</f>
        <v>4100.25</v>
      </c>
      <c r="C507" s="74"/>
    </row>
    <row r="508" spans="1:3" ht="15.6" hidden="1" x14ac:dyDescent="0.3">
      <c r="A508" s="50" t="s">
        <v>20</v>
      </c>
      <c r="B508" s="21">
        <f>'Прайс для расчета (М)'!E483</f>
        <v>3354.75</v>
      </c>
      <c r="C508" s="74"/>
    </row>
    <row r="509" spans="1:3" ht="15.6" hidden="1" x14ac:dyDescent="0.3">
      <c r="A509" s="50" t="s">
        <v>21</v>
      </c>
      <c r="B509" s="21">
        <f>'Прайс для расчета (М)'!E484</f>
        <v>5218.5</v>
      </c>
      <c r="C509" s="74"/>
    </row>
    <row r="510" spans="1:3" ht="15.6" hidden="1" x14ac:dyDescent="0.3">
      <c r="A510" s="50" t="s">
        <v>22</v>
      </c>
      <c r="B510" s="21">
        <f>'Прайс для расчета (М)'!E485</f>
        <v>5964</v>
      </c>
      <c r="C510" s="74"/>
    </row>
    <row r="511" spans="1:3" ht="15.6" hidden="1" x14ac:dyDescent="0.3">
      <c r="A511" s="50" t="s">
        <v>23</v>
      </c>
      <c r="B511" s="21">
        <f>'Прайс для расчета (М)'!E486</f>
        <v>149.1</v>
      </c>
      <c r="C511" s="74"/>
    </row>
    <row r="512" spans="1:3" ht="15.6" hidden="1" x14ac:dyDescent="0.3">
      <c r="A512" s="50" t="s">
        <v>721</v>
      </c>
      <c r="B512" s="21">
        <f>'Прайс для расчета (М)'!E487</f>
        <v>186.375</v>
      </c>
      <c r="C512" s="74"/>
    </row>
    <row r="513" spans="1:3" ht="15.6" hidden="1" x14ac:dyDescent="0.3">
      <c r="A513" s="50" t="s">
        <v>24</v>
      </c>
      <c r="B513" s="21">
        <f>'Прайс для расчета (М)'!E488</f>
        <v>484.57500000000005</v>
      </c>
      <c r="C513" s="74"/>
    </row>
    <row r="514" spans="1:3" ht="15.6" hidden="1" x14ac:dyDescent="0.3">
      <c r="A514" s="50" t="s">
        <v>25</v>
      </c>
      <c r="B514" s="21">
        <f>'Прайс для расчета (М)'!E489</f>
        <v>74.55</v>
      </c>
      <c r="C514" s="74"/>
    </row>
    <row r="515" spans="1:3" ht="15.6" hidden="1" x14ac:dyDescent="0.3">
      <c r="A515" s="50" t="s">
        <v>26</v>
      </c>
      <c r="B515" s="21">
        <f>'Прайс для расчета (М)'!E490</f>
        <v>149.1</v>
      </c>
      <c r="C515" s="74"/>
    </row>
    <row r="516" spans="1:3" ht="15.6" hidden="1" x14ac:dyDescent="0.3">
      <c r="A516" s="50" t="s">
        <v>42</v>
      </c>
      <c r="B516" s="21">
        <f>'Прайс для расчета (М)'!E491</f>
        <v>186.375</v>
      </c>
      <c r="C516" s="74"/>
    </row>
    <row r="517" spans="1:3" ht="15.6" hidden="1" x14ac:dyDescent="0.3">
      <c r="A517" s="50" t="s">
        <v>27</v>
      </c>
      <c r="B517" s="21">
        <f>'Прайс для расчета (М)'!E492</f>
        <v>1640.1000000000001</v>
      </c>
      <c r="C517" s="74"/>
    </row>
    <row r="518" spans="1:3" ht="15.6" hidden="1" x14ac:dyDescent="0.3">
      <c r="A518" s="50" t="s">
        <v>28</v>
      </c>
      <c r="B518" s="21">
        <f>'Прайс для расчета (М)'!E493</f>
        <v>1938.3000000000002</v>
      </c>
      <c r="C518" s="74"/>
    </row>
    <row r="519" spans="1:3" ht="15.6" hidden="1" x14ac:dyDescent="0.3">
      <c r="A519" s="50" t="s">
        <v>722</v>
      </c>
      <c r="B519" s="21">
        <f>'Прайс для расчета (М)'!E494</f>
        <v>1416.45</v>
      </c>
      <c r="C519" s="74"/>
    </row>
    <row r="520" spans="1:3" hidden="1" x14ac:dyDescent="0.25">
      <c r="A520" s="50" t="s">
        <v>29</v>
      </c>
      <c r="B520" s="21">
        <f>'Прайс для расчета (М)'!E495</f>
        <v>1714.65</v>
      </c>
      <c r="C520" s="80"/>
    </row>
    <row r="521" spans="1:3" hidden="1" x14ac:dyDescent="0.25">
      <c r="A521" s="50" t="s">
        <v>30</v>
      </c>
      <c r="B521" s="21">
        <f>'Прайс для расчета (М)'!E496</f>
        <v>596.4</v>
      </c>
    </row>
    <row r="522" spans="1:3" hidden="1" x14ac:dyDescent="0.25">
      <c r="A522" s="50" t="s">
        <v>31</v>
      </c>
      <c r="B522" s="21">
        <f>'Прайс для расчета (М)'!E497</f>
        <v>596.4</v>
      </c>
    </row>
    <row r="523" spans="1:3" ht="26.4" hidden="1" x14ac:dyDescent="0.25">
      <c r="A523" s="50" t="s">
        <v>32</v>
      </c>
      <c r="B523" s="21">
        <f>'Прайс для расчета (М)'!E498</f>
        <v>74.55</v>
      </c>
    </row>
    <row r="524" spans="1:3" ht="26.4" hidden="1" x14ac:dyDescent="0.25">
      <c r="A524" s="50" t="s">
        <v>33</v>
      </c>
      <c r="B524" s="21">
        <f>'Прайс для расчета (М)'!E499</f>
        <v>260.92500000000001</v>
      </c>
    </row>
    <row r="525" spans="1:3" ht="26.4" hidden="1" x14ac:dyDescent="0.25">
      <c r="A525" s="50" t="s">
        <v>34</v>
      </c>
      <c r="B525" s="21">
        <f>'Прайс для расчета (М)'!E500</f>
        <v>447.3</v>
      </c>
    </row>
    <row r="526" spans="1:3" hidden="1" x14ac:dyDescent="0.25">
      <c r="A526" s="50" t="s">
        <v>35</v>
      </c>
      <c r="B526" s="21">
        <f>'Прайс для расчета (М)'!E501</f>
        <v>536.76</v>
      </c>
    </row>
    <row r="527" spans="1:3" hidden="1" x14ac:dyDescent="0.25">
      <c r="A527" s="50" t="s">
        <v>36</v>
      </c>
      <c r="B527" s="21">
        <f>'Прайс для расчета (М)'!E502</f>
        <v>111.825</v>
      </c>
    </row>
    <row r="528" spans="1:3" hidden="1" x14ac:dyDescent="0.25">
      <c r="A528" s="50" t="s">
        <v>37</v>
      </c>
      <c r="B528" s="21">
        <f>'Прайс для расчета (М)'!E503</f>
        <v>260.92500000000001</v>
      </c>
    </row>
    <row r="529" spans="1:2" hidden="1" x14ac:dyDescent="0.25">
      <c r="A529" s="50" t="s">
        <v>38</v>
      </c>
      <c r="B529" s="21">
        <f>'Прайс для расчета (М)'!E504</f>
        <v>111.825</v>
      </c>
    </row>
    <row r="530" spans="1:2" hidden="1" x14ac:dyDescent="0.25">
      <c r="A530" s="50" t="s">
        <v>39</v>
      </c>
      <c r="B530" s="21">
        <f>'Прайс для расчета (М)'!E505</f>
        <v>186.375</v>
      </c>
    </row>
    <row r="531" spans="1:2" hidden="1" x14ac:dyDescent="0.25">
      <c r="A531" s="50" t="s">
        <v>40</v>
      </c>
      <c r="B531" s="21">
        <f>'Прайс для расчета (М)'!E506</f>
        <v>745.5</v>
      </c>
    </row>
    <row r="532" spans="1:2" hidden="1" x14ac:dyDescent="0.25">
      <c r="A532" s="50" t="s">
        <v>580</v>
      </c>
      <c r="B532" s="21">
        <f>'Прайс для расчета (М)'!E507</f>
        <v>1043.7</v>
      </c>
    </row>
    <row r="533" spans="1:2" hidden="1" x14ac:dyDescent="0.25">
      <c r="A533" s="50" t="s">
        <v>581</v>
      </c>
      <c r="B533" s="21">
        <f>'Прайс для расчета (М)'!E508</f>
        <v>223.65</v>
      </c>
    </row>
    <row r="534" spans="1:2" hidden="1" x14ac:dyDescent="0.25">
      <c r="A534" s="50" t="s">
        <v>582</v>
      </c>
      <c r="B534" s="21">
        <f>'Прайс для расчета (М)'!E509</f>
        <v>596.4</v>
      </c>
    </row>
    <row r="535" spans="1:2" hidden="1" x14ac:dyDescent="0.25">
      <c r="A535" s="50" t="s">
        <v>583</v>
      </c>
      <c r="B535" s="21">
        <f>'Прайс для расчета (М)'!E510</f>
        <v>1043.7</v>
      </c>
    </row>
    <row r="536" spans="1:2" hidden="1" x14ac:dyDescent="0.25">
      <c r="A536" s="50" t="s">
        <v>584</v>
      </c>
      <c r="B536" s="21">
        <f>'Прайс для расчета (М)'!E511</f>
        <v>2609.25</v>
      </c>
    </row>
    <row r="537" spans="1:2" hidden="1" x14ac:dyDescent="0.25">
      <c r="A537" s="50" t="s">
        <v>585</v>
      </c>
      <c r="B537" s="21">
        <f>'Прайс для расчета (М)'!E512</f>
        <v>4100.25</v>
      </c>
    </row>
    <row r="538" spans="1:2" hidden="1" x14ac:dyDescent="0.25">
      <c r="A538" s="50" t="s">
        <v>586</v>
      </c>
      <c r="B538" s="21">
        <f>'Прайс для расчета (М)'!E513</f>
        <v>5591.25</v>
      </c>
    </row>
    <row r="539" spans="1:2" hidden="1" x14ac:dyDescent="0.25">
      <c r="A539" s="45" t="s">
        <v>762</v>
      </c>
      <c r="B539" s="21">
        <f>'Прайс для расчета (М)'!E514</f>
        <v>745.5</v>
      </c>
    </row>
    <row r="540" spans="1:2" hidden="1" x14ac:dyDescent="0.25">
      <c r="A540" s="50" t="s">
        <v>726</v>
      </c>
      <c r="B540" s="21">
        <f>'Прайс для расчета (М)'!E515</f>
        <v>1118.25</v>
      </c>
    </row>
    <row r="541" spans="1:2" hidden="1" x14ac:dyDescent="0.25">
      <c r="A541" s="50" t="s">
        <v>587</v>
      </c>
      <c r="B541" s="21">
        <f>'Прайс для расчета (М)'!E516</f>
        <v>223.65</v>
      </c>
    </row>
    <row r="542" spans="1:2" hidden="1" x14ac:dyDescent="0.25">
      <c r="A542" s="50" t="s">
        <v>588</v>
      </c>
      <c r="B542" s="21">
        <f>'Прайс для расчета (М)'!E517</f>
        <v>372.75</v>
      </c>
    </row>
    <row r="543" spans="1:2" hidden="1" x14ac:dyDescent="0.25">
      <c r="A543" s="50" t="s">
        <v>723</v>
      </c>
      <c r="B543" s="21">
        <f>'Прайс для расчета (М)'!E518</f>
        <v>1453.7250000000001</v>
      </c>
    </row>
    <row r="544" spans="1:2" hidden="1" x14ac:dyDescent="0.25">
      <c r="A544" s="45" t="s">
        <v>763</v>
      </c>
      <c r="B544" s="21">
        <f>'Прайс для расчета (М)'!E519</f>
        <v>894.6</v>
      </c>
    </row>
    <row r="545" spans="1:2" hidden="1" x14ac:dyDescent="0.25">
      <c r="A545" s="50" t="s">
        <v>589</v>
      </c>
      <c r="B545" s="21">
        <f>'Прайс для расчета (М)'!E520</f>
        <v>357.84</v>
      </c>
    </row>
    <row r="546" spans="1:2" hidden="1" x14ac:dyDescent="0.25">
      <c r="A546" s="50" t="s">
        <v>174</v>
      </c>
      <c r="B546" s="21">
        <f>'Прайс для расчета (М)'!E521</f>
        <v>279.5625</v>
      </c>
    </row>
    <row r="547" spans="1:2" hidden="1" x14ac:dyDescent="0.25">
      <c r="A547" s="50" t="s">
        <v>175</v>
      </c>
      <c r="B547" s="21">
        <f>'Прайс для расчета (М)'!E522</f>
        <v>447.3</v>
      </c>
    </row>
    <row r="548" spans="1:2" ht="26.4" hidden="1" x14ac:dyDescent="0.25">
      <c r="A548" s="45" t="s">
        <v>767</v>
      </c>
      <c r="B548" s="21">
        <f>'Прайс для расчета (М)'!E523</f>
        <v>670.95</v>
      </c>
    </row>
    <row r="549" spans="1:2" hidden="1" x14ac:dyDescent="0.25">
      <c r="A549" s="45" t="s">
        <v>768</v>
      </c>
      <c r="B549" s="21">
        <f>'Прайс для расчета (М)'!E524</f>
        <v>820.05000000000007</v>
      </c>
    </row>
    <row r="550" spans="1:2" hidden="1" x14ac:dyDescent="0.25">
      <c r="A550" s="45" t="s">
        <v>769</v>
      </c>
      <c r="B550" s="21">
        <f>'Прайс для расчета (М)'!E525</f>
        <v>1118.25</v>
      </c>
    </row>
    <row r="551" spans="1:2" hidden="1" x14ac:dyDescent="0.25">
      <c r="A551" s="45" t="s">
        <v>770</v>
      </c>
      <c r="B551" s="21">
        <f>'Прайс для расчета (М)'!E526</f>
        <v>1491</v>
      </c>
    </row>
    <row r="552" spans="1:2" hidden="1" x14ac:dyDescent="0.25">
      <c r="A552" s="52" t="s">
        <v>771</v>
      </c>
      <c r="B552" s="21">
        <f>'Прайс для расчета (М)'!E527</f>
        <v>1863.75</v>
      </c>
    </row>
    <row r="553" spans="1:2" hidden="1" x14ac:dyDescent="0.25">
      <c r="A553" s="53" t="s">
        <v>772</v>
      </c>
      <c r="B553" s="21">
        <f>'Прайс для расчета (М)'!E528</f>
        <v>242.28750000000002</v>
      </c>
    </row>
    <row r="554" spans="1:2" hidden="1" x14ac:dyDescent="0.25">
      <c r="A554" s="45" t="s">
        <v>773</v>
      </c>
      <c r="B554" s="21">
        <f>'Прайс для расчета (М)'!E529</f>
        <v>335.47500000000002</v>
      </c>
    </row>
    <row r="555" spans="1:2" hidden="1" x14ac:dyDescent="0.25">
      <c r="A555" s="45" t="s">
        <v>774</v>
      </c>
      <c r="B555" s="21">
        <f>'Прайс для расчета (М)'!E530</f>
        <v>37.274999999999999</v>
      </c>
    </row>
    <row r="556" spans="1:2" hidden="1" x14ac:dyDescent="0.25">
      <c r="A556" s="45" t="s">
        <v>775</v>
      </c>
      <c r="B556" s="21">
        <f>'Прайс для расчета (М)'!E531</f>
        <v>149.1</v>
      </c>
    </row>
    <row r="557" spans="1:2" hidden="1" x14ac:dyDescent="0.25">
      <c r="A557" s="45" t="s">
        <v>776</v>
      </c>
      <c r="B557" s="21">
        <f>'Прайс для расчета (М)'!E532</f>
        <v>402.57</v>
      </c>
    </row>
    <row r="558" spans="1:2" hidden="1" x14ac:dyDescent="0.25">
      <c r="A558" s="45" t="s">
        <v>777</v>
      </c>
      <c r="B558" s="21">
        <f>'Прайс для расчета (М)'!E533</f>
        <v>186.375</v>
      </c>
    </row>
    <row r="559" spans="1:2" hidden="1" x14ac:dyDescent="0.25">
      <c r="A559" s="45" t="s">
        <v>778</v>
      </c>
      <c r="B559" s="21">
        <f>'Прайс для расчета (М)'!E534</f>
        <v>74.55</v>
      </c>
    </row>
    <row r="560" spans="1:2" hidden="1" x14ac:dyDescent="0.25">
      <c r="A560" s="45" t="s">
        <v>779</v>
      </c>
      <c r="B560" s="21">
        <f>'Прайс для расчета (М)'!E535</f>
        <v>74.55</v>
      </c>
    </row>
    <row r="561" spans="1:2" hidden="1" x14ac:dyDescent="0.25">
      <c r="A561" s="45" t="s">
        <v>780</v>
      </c>
      <c r="B561" s="21">
        <f>'Прайс для расчета (М)'!E536</f>
        <v>372.75</v>
      </c>
    </row>
    <row r="562" spans="1:2" hidden="1" x14ac:dyDescent="0.25">
      <c r="A562" s="45" t="s">
        <v>781</v>
      </c>
      <c r="B562" s="21">
        <f>'Прайс для расчета (М)'!E537</f>
        <v>335.47500000000002</v>
      </c>
    </row>
    <row r="563" spans="1:2" hidden="1" x14ac:dyDescent="0.25">
      <c r="A563" s="45" t="s">
        <v>782</v>
      </c>
      <c r="B563" s="21">
        <f>'Прайс для расчета (М)'!E538</f>
        <v>186.375</v>
      </c>
    </row>
    <row r="564" spans="1:2" hidden="1" x14ac:dyDescent="0.25">
      <c r="A564" s="45" t="s">
        <v>783</v>
      </c>
      <c r="B564" s="21">
        <f>'Прайс для расчета (М)'!E539</f>
        <v>402.57</v>
      </c>
    </row>
    <row r="565" spans="1:2" hidden="1" x14ac:dyDescent="0.25">
      <c r="A565" s="45" t="s">
        <v>784</v>
      </c>
      <c r="B565" s="21">
        <f>'Прайс для расчета (М)'!E540</f>
        <v>626.22</v>
      </c>
    </row>
    <row r="566" spans="1:2" hidden="1" x14ac:dyDescent="0.25">
      <c r="A566" s="45" t="s">
        <v>785</v>
      </c>
      <c r="B566" s="21">
        <f>'Прайс для расчета (М)'!E541</f>
        <v>402.57</v>
      </c>
    </row>
    <row r="567" spans="1:2" hidden="1" x14ac:dyDescent="0.25">
      <c r="A567" s="45" t="s">
        <v>786</v>
      </c>
      <c r="B567" s="21">
        <f>'Прайс для расчета (М)'!E542</f>
        <v>536.76</v>
      </c>
    </row>
    <row r="568" spans="1:2" hidden="1" x14ac:dyDescent="0.25">
      <c r="A568" s="45" t="s">
        <v>787</v>
      </c>
      <c r="B568" s="21">
        <f>'Прайс для расчета (М)'!E543</f>
        <v>123.00749999999999</v>
      </c>
    </row>
    <row r="569" spans="1:2" hidden="1" x14ac:dyDescent="0.25">
      <c r="A569" s="45" t="s">
        <v>788</v>
      </c>
      <c r="B569" s="21">
        <f>'Прайс для расчета (М)'!E544</f>
        <v>402.57</v>
      </c>
    </row>
    <row r="570" spans="1:2" hidden="1" x14ac:dyDescent="0.25">
      <c r="A570" s="45" t="s">
        <v>789</v>
      </c>
      <c r="B570" s="21">
        <f>'Прайс для расчета (М)'!E545</f>
        <v>1341.9</v>
      </c>
    </row>
    <row r="571" spans="1:2" hidden="1" x14ac:dyDescent="0.25">
      <c r="A571" s="45" t="s">
        <v>790</v>
      </c>
      <c r="B571" s="21">
        <f>'Прайс для расчета (М)'!E546</f>
        <v>298.2</v>
      </c>
    </row>
    <row r="572" spans="1:2" hidden="1" x14ac:dyDescent="0.25">
      <c r="A572" s="45" t="s">
        <v>791</v>
      </c>
      <c r="B572" s="21">
        <f>'Прайс для расчета (М)'!E547</f>
        <v>335.47500000000002</v>
      </c>
    </row>
    <row r="573" spans="1:2" hidden="1" x14ac:dyDescent="0.25">
      <c r="A573" s="45" t="s">
        <v>792</v>
      </c>
      <c r="B573" s="21">
        <f>'Прайс для расчета (М)'!E548</f>
        <v>149.1</v>
      </c>
    </row>
    <row r="574" spans="1:2" hidden="1" x14ac:dyDescent="0.25">
      <c r="A574" s="45" t="s">
        <v>793</v>
      </c>
      <c r="B574" s="21">
        <f>'Прайс для расчета (М)'!E549</f>
        <v>74.55</v>
      </c>
    </row>
    <row r="575" spans="1:2" hidden="1" x14ac:dyDescent="0.25">
      <c r="A575" s="45" t="s">
        <v>794</v>
      </c>
      <c r="B575" s="21">
        <f>'Прайс для расчета (М)'!E550</f>
        <v>372.75</v>
      </c>
    </row>
    <row r="576" spans="1:2" hidden="1" x14ac:dyDescent="0.25">
      <c r="A576" s="45" t="s">
        <v>795</v>
      </c>
      <c r="B576" s="21">
        <f>'Прайс для расчета (М)'!E551</f>
        <v>402.57</v>
      </c>
    </row>
    <row r="577" spans="1:2" hidden="1" x14ac:dyDescent="0.25">
      <c r="A577" s="45" t="s">
        <v>796</v>
      </c>
      <c r="B577" s="21">
        <f>'Прайс для расчета (М)'!E552</f>
        <v>134.19</v>
      </c>
    </row>
    <row r="578" spans="1:2" hidden="1" x14ac:dyDescent="0.25">
      <c r="A578" s="45" t="s">
        <v>797</v>
      </c>
      <c r="B578" s="21">
        <f>'Прайс для расчета (М)'!E553</f>
        <v>670.95</v>
      </c>
    </row>
    <row r="579" spans="1:2" hidden="1" x14ac:dyDescent="0.25">
      <c r="A579" s="45" t="s">
        <v>798</v>
      </c>
      <c r="B579" s="21">
        <f>'Прайс для расчета (М)'!E554</f>
        <v>1491</v>
      </c>
    </row>
    <row r="580" spans="1:2" hidden="1" x14ac:dyDescent="0.25">
      <c r="A580" s="45" t="s">
        <v>799</v>
      </c>
      <c r="B580" s="21">
        <f>'Прайс для расчета (М)'!E555</f>
        <v>2236.5</v>
      </c>
    </row>
    <row r="581" spans="1:2" hidden="1" x14ac:dyDescent="0.25">
      <c r="A581" s="45" t="s">
        <v>800</v>
      </c>
      <c r="B581" s="21">
        <f>'Прайс для расчета (М)'!E556</f>
        <v>4025.7000000000003</v>
      </c>
    </row>
    <row r="582" spans="1:2" hidden="1" x14ac:dyDescent="0.25">
      <c r="A582" s="45" t="s">
        <v>801</v>
      </c>
      <c r="B582" s="21">
        <f>'Прайс для расчета (М)'!E557</f>
        <v>1491</v>
      </c>
    </row>
    <row r="583" spans="1:2" hidden="1" x14ac:dyDescent="0.25">
      <c r="A583" s="45" t="s">
        <v>802</v>
      </c>
      <c r="B583" s="21">
        <f>'Прайс для расчета (М)'!E558</f>
        <v>4025.7000000000003</v>
      </c>
    </row>
    <row r="584" spans="1:2" hidden="1" x14ac:dyDescent="0.25">
      <c r="A584" s="45" t="s">
        <v>803</v>
      </c>
      <c r="B584" s="21">
        <f>'Прайс для расчета (М)'!E559</f>
        <v>2534.7000000000003</v>
      </c>
    </row>
    <row r="585" spans="1:2" hidden="1" x14ac:dyDescent="0.25">
      <c r="A585" s="45" t="s">
        <v>804</v>
      </c>
      <c r="B585" s="21">
        <f>'Прайс для расчета (М)'!E560</f>
        <v>3131.1</v>
      </c>
    </row>
    <row r="586" spans="1:2" hidden="1" x14ac:dyDescent="0.25">
      <c r="A586" s="45" t="s">
        <v>724</v>
      </c>
      <c r="B586" s="21">
        <f>'Прайс для расчета (М)'!E561</f>
        <v>3131.1</v>
      </c>
    </row>
    <row r="587" spans="1:2" hidden="1" x14ac:dyDescent="0.25">
      <c r="A587" s="45" t="s">
        <v>805</v>
      </c>
      <c r="B587" s="21">
        <f>'Прайс для расчета (М)'!E562</f>
        <v>4025.7000000000003</v>
      </c>
    </row>
    <row r="588" spans="1:2" hidden="1" x14ac:dyDescent="0.25">
      <c r="A588" s="45" t="s">
        <v>168</v>
      </c>
      <c r="B588" s="21">
        <f>'Прайс для расчета (М)'!E563</f>
        <v>1491</v>
      </c>
    </row>
    <row r="589" spans="1:2" hidden="1" x14ac:dyDescent="0.25">
      <c r="A589" s="45" t="s">
        <v>807</v>
      </c>
      <c r="B589" s="21">
        <f>'Прайс для расчета (М)'!E564</f>
        <v>2236.5</v>
      </c>
    </row>
    <row r="590" spans="1:2" ht="26.4" hidden="1" x14ac:dyDescent="0.25">
      <c r="A590" s="50" t="s">
        <v>590</v>
      </c>
      <c r="B590" s="21">
        <f>'Прайс для расчета (М)'!E565</f>
        <v>1491</v>
      </c>
    </row>
    <row r="591" spans="1:2" ht="26.4" hidden="1" x14ac:dyDescent="0.25">
      <c r="A591" s="50" t="s">
        <v>591</v>
      </c>
      <c r="B591" s="21">
        <f>'Прайс для расчета (М)'!E566</f>
        <v>2236.5</v>
      </c>
    </row>
    <row r="592" spans="1:2" hidden="1" x14ac:dyDescent="0.25">
      <c r="A592" s="50" t="s">
        <v>592</v>
      </c>
      <c r="B592" s="21">
        <f>'Прайс для расчета (М)'!E567</f>
        <v>4025.7000000000003</v>
      </c>
    </row>
    <row r="593" spans="1:2" hidden="1" x14ac:dyDescent="0.25">
      <c r="A593" s="50" t="s">
        <v>246</v>
      </c>
      <c r="B593" s="21">
        <f>'Прайс для расчета (М)'!E568</f>
        <v>4025.7000000000003</v>
      </c>
    </row>
    <row r="594" spans="1:2" hidden="1" x14ac:dyDescent="0.25">
      <c r="A594" s="50" t="s">
        <v>209</v>
      </c>
      <c r="B594" s="21">
        <f>'Прайс для расчета (М)'!E569</f>
        <v>1341.9</v>
      </c>
    </row>
    <row r="595" spans="1:2" hidden="1" x14ac:dyDescent="0.25">
      <c r="A595" s="50" t="s">
        <v>248</v>
      </c>
      <c r="B595" s="21">
        <f>'Прайс для расчета (М)'!E570</f>
        <v>4025.7000000000003</v>
      </c>
    </row>
    <row r="596" spans="1:2" hidden="1" x14ac:dyDescent="0.25">
      <c r="A596" s="50" t="s">
        <v>249</v>
      </c>
      <c r="B596" s="21">
        <f>'Прайс для расчета (М)'!E571</f>
        <v>1341.9</v>
      </c>
    </row>
    <row r="597" spans="1:2" hidden="1" x14ac:dyDescent="0.25">
      <c r="A597" s="50" t="s">
        <v>593</v>
      </c>
      <c r="B597" s="21">
        <f>'Прайс для расчета (М)'!E572</f>
        <v>55.912500000000001</v>
      </c>
    </row>
    <row r="598" spans="1:2" hidden="1" x14ac:dyDescent="0.25">
      <c r="A598" s="50" t="s">
        <v>265</v>
      </c>
      <c r="B598" s="21">
        <f>'Прайс для расчета (М)'!E573</f>
        <v>44.73</v>
      </c>
    </row>
    <row r="599" spans="1:2" hidden="1" x14ac:dyDescent="0.25">
      <c r="A599" s="50" t="s">
        <v>907</v>
      </c>
      <c r="B599" s="21">
        <f>'Прайс для расчета (М)'!E574</f>
        <v>22.364999999999998</v>
      </c>
    </row>
    <row r="600" spans="1:2" hidden="1" x14ac:dyDescent="0.25">
      <c r="A600" s="50" t="s">
        <v>908</v>
      </c>
      <c r="B600" s="21">
        <f>'Прайс для расчета (М)'!E575</f>
        <v>111.825</v>
      </c>
    </row>
    <row r="601" spans="1:2" hidden="1" x14ac:dyDescent="0.25">
      <c r="A601" s="50" t="s">
        <v>909</v>
      </c>
      <c r="B601" s="21">
        <f>'Прайс для расчета (М)'!E576</f>
        <v>1341.9</v>
      </c>
    </row>
    <row r="602" spans="1:2" hidden="1" x14ac:dyDescent="0.25">
      <c r="A602" s="50" t="s">
        <v>910</v>
      </c>
      <c r="B602" s="21">
        <f>'Прайс для расчета (М)'!E577</f>
        <v>745.5</v>
      </c>
    </row>
    <row r="603" spans="1:2" hidden="1" x14ac:dyDescent="0.25">
      <c r="A603" s="50" t="s">
        <v>594</v>
      </c>
      <c r="B603" s="21">
        <f>'Прайс для расчета (М)'!E578</f>
        <v>23296.875</v>
      </c>
    </row>
    <row r="604" spans="1:2" hidden="1" x14ac:dyDescent="0.25">
      <c r="A604" s="50" t="s">
        <v>911</v>
      </c>
      <c r="B604" s="21">
        <f>'Прайс для расчета (М)'!E579</f>
        <v>89.46</v>
      </c>
    </row>
    <row r="605" spans="1:2" hidden="1" x14ac:dyDescent="0.25">
      <c r="A605" s="50" t="s">
        <v>6</v>
      </c>
      <c r="B605" s="21">
        <f>'Прайс для расчета (М)'!E580</f>
        <v>223.65</v>
      </c>
    </row>
    <row r="606" spans="1:2" hidden="1" x14ac:dyDescent="0.25">
      <c r="A606" s="50" t="s">
        <v>7</v>
      </c>
      <c r="B606" s="21">
        <f>'Прайс для расчета (М)'!E581</f>
        <v>5591.25</v>
      </c>
    </row>
    <row r="607" spans="1:2" hidden="1" x14ac:dyDescent="0.25">
      <c r="A607" s="50" t="s">
        <v>912</v>
      </c>
      <c r="B607" s="21">
        <f>'Прайс для расчета (М)'!E591</f>
        <v>521.85</v>
      </c>
    </row>
    <row r="608" spans="1:2" hidden="1" x14ac:dyDescent="0.25">
      <c r="A608" s="50" t="s">
        <v>913</v>
      </c>
      <c r="B608" s="21">
        <f>'Прайс для расчета (М)'!E592</f>
        <v>1453.7250000000001</v>
      </c>
    </row>
    <row r="609" spans="1:2" hidden="1" x14ac:dyDescent="0.25">
      <c r="A609" s="50" t="s">
        <v>9</v>
      </c>
      <c r="B609" s="21">
        <f>'Прайс для расчета (М)'!E593</f>
        <v>745.5</v>
      </c>
    </row>
    <row r="610" spans="1:2" hidden="1" x14ac:dyDescent="0.25">
      <c r="A610" s="50" t="s">
        <v>106</v>
      </c>
      <c r="B610" s="21">
        <f>'Прайс для расчета (М)'!E594</f>
        <v>5964</v>
      </c>
    </row>
    <row r="611" spans="1:2" hidden="1" x14ac:dyDescent="0.25">
      <c r="A611" s="50" t="s">
        <v>595</v>
      </c>
      <c r="B611" s="21">
        <f>'Прайс для расчета (М)'!E595</f>
        <v>1118.25</v>
      </c>
    </row>
    <row r="612" spans="1:2" hidden="1" x14ac:dyDescent="0.25">
      <c r="A612" s="50" t="s">
        <v>596</v>
      </c>
      <c r="B612" s="21">
        <f>'Прайс для расчета (М)'!E582</f>
        <v>9318.75</v>
      </c>
    </row>
    <row r="613" spans="1:2" ht="26.4" hidden="1" x14ac:dyDescent="0.25">
      <c r="A613" s="50" t="s">
        <v>108</v>
      </c>
      <c r="B613" s="21">
        <f>'Прайс для расчета (М)'!E583</f>
        <v>9691.5</v>
      </c>
    </row>
    <row r="614" spans="1:2" hidden="1" x14ac:dyDescent="0.25">
      <c r="A614" s="50" t="s">
        <v>597</v>
      </c>
      <c r="B614" s="21">
        <f>'Прайс для расчета (М)'!E584</f>
        <v>10064.25</v>
      </c>
    </row>
    <row r="615" spans="1:2" hidden="1" x14ac:dyDescent="0.25">
      <c r="A615" s="50" t="s">
        <v>598</v>
      </c>
      <c r="B615" s="21">
        <f>'Прайс для расчета (М)'!E585</f>
        <v>10437</v>
      </c>
    </row>
    <row r="616" spans="1:2" hidden="1" x14ac:dyDescent="0.25">
      <c r="A616" s="50" t="s">
        <v>599</v>
      </c>
      <c r="B616" s="21">
        <f>'Прайс для расчета (М)'!E586</f>
        <v>10064.25</v>
      </c>
    </row>
    <row r="617" spans="1:2" hidden="1" x14ac:dyDescent="0.25">
      <c r="A617" s="50" t="s">
        <v>600</v>
      </c>
      <c r="B617" s="21">
        <f>'Прайс для расчета (М)'!E587</f>
        <v>7455</v>
      </c>
    </row>
    <row r="618" spans="1:2" hidden="1" x14ac:dyDescent="0.25">
      <c r="A618" s="50" t="s">
        <v>601</v>
      </c>
      <c r="B618" s="21">
        <f>'Прайс для расчета (М)'!E588</f>
        <v>5218.5</v>
      </c>
    </row>
    <row r="619" spans="1:2" hidden="1" x14ac:dyDescent="0.25">
      <c r="A619" s="50" t="s">
        <v>914</v>
      </c>
      <c r="B619" s="21">
        <f>'Прайс для расчета (М)'!E589</f>
        <v>1118.25</v>
      </c>
    </row>
    <row r="620" spans="1:2" hidden="1" x14ac:dyDescent="0.25">
      <c r="A620" s="50" t="s">
        <v>915</v>
      </c>
      <c r="B620" s="21">
        <f>'Прайс для расчета (М)'!E590</f>
        <v>521.85</v>
      </c>
    </row>
    <row r="621" spans="1:2" hidden="1" x14ac:dyDescent="0.25">
      <c r="A621" s="50" t="s">
        <v>916</v>
      </c>
      <c r="B621" s="21">
        <f>'Прайс для расчета (М)'!E591</f>
        <v>521.85</v>
      </c>
    </row>
    <row r="622" spans="1:2" hidden="1" x14ac:dyDescent="0.25">
      <c r="A622" s="50" t="s">
        <v>917</v>
      </c>
      <c r="B622" s="21">
        <f>'Прайс для расчета (М)'!E592</f>
        <v>1453.7250000000001</v>
      </c>
    </row>
    <row r="623" spans="1:2" hidden="1" x14ac:dyDescent="0.25">
      <c r="A623" s="50" t="s">
        <v>918</v>
      </c>
      <c r="B623" s="21">
        <f>'Прайс для расчета (М)'!E593</f>
        <v>745.5</v>
      </c>
    </row>
    <row r="624" spans="1:2" hidden="1" x14ac:dyDescent="0.25">
      <c r="A624" s="50" t="s">
        <v>278</v>
      </c>
      <c r="B624" s="21">
        <f>'Прайс для расчета (М)'!E594</f>
        <v>5964</v>
      </c>
    </row>
    <row r="625" spans="1:2" hidden="1" x14ac:dyDescent="0.25">
      <c r="A625" s="50" t="s">
        <v>602</v>
      </c>
      <c r="B625" s="21">
        <f>'Прайс для расчета (М)'!E595</f>
        <v>1118.25</v>
      </c>
    </row>
    <row r="626" spans="1:2" hidden="1" x14ac:dyDescent="0.25">
      <c r="A626" s="50" t="s">
        <v>243</v>
      </c>
      <c r="B626" s="21">
        <f>'Прайс для расчета (М)'!E596</f>
        <v>447.3</v>
      </c>
    </row>
    <row r="627" spans="1:2" hidden="1" x14ac:dyDescent="0.25">
      <c r="A627" s="50" t="s">
        <v>244</v>
      </c>
      <c r="B627" s="21">
        <f>'Прайс для расчета (М)'!E597</f>
        <v>11182.5</v>
      </c>
    </row>
    <row r="628" spans="1:2" hidden="1" x14ac:dyDescent="0.25">
      <c r="A628" s="50" t="s">
        <v>725</v>
      </c>
      <c r="B628" s="21">
        <f>'Прайс для расчета (М)'!E598</f>
        <v>1118.25</v>
      </c>
    </row>
    <row r="629" spans="1:2" hidden="1" x14ac:dyDescent="0.25">
      <c r="A629" s="50" t="s">
        <v>66</v>
      </c>
      <c r="B629" s="21">
        <f>'Прайс для расчета (М)'!E599</f>
        <v>447.3</v>
      </c>
    </row>
    <row r="630" spans="1:2" hidden="1" x14ac:dyDescent="0.25">
      <c r="A630" s="50" t="s">
        <v>67</v>
      </c>
      <c r="B630" s="21">
        <f>'Прайс для расчета (М)'!E600</f>
        <v>559.125</v>
      </c>
    </row>
    <row r="631" spans="1:2" hidden="1" x14ac:dyDescent="0.25">
      <c r="A631" s="50" t="s">
        <v>603</v>
      </c>
      <c r="B631" s="21">
        <f>'Прайс для расчета (М)'!E601</f>
        <v>4845.75</v>
      </c>
    </row>
    <row r="632" spans="1:2" hidden="1" x14ac:dyDescent="0.25">
      <c r="A632" s="50" t="s">
        <v>273</v>
      </c>
      <c r="B632" s="21">
        <f>'Прайс для расчета (М)'!E602</f>
        <v>4100.25</v>
      </c>
    </row>
    <row r="633" spans="1:2" hidden="1" x14ac:dyDescent="0.25">
      <c r="A633" s="50" t="s">
        <v>211</v>
      </c>
      <c r="B633" s="21">
        <f>'Прайс для расчета (М)'!E603</f>
        <v>5218.5</v>
      </c>
    </row>
    <row r="634" spans="1:2" hidden="1" x14ac:dyDescent="0.25">
      <c r="A634" s="50" t="s">
        <v>604</v>
      </c>
      <c r="B634" s="21">
        <f>'Прайс для расчета (М)'!E604</f>
        <v>4473</v>
      </c>
    </row>
    <row r="635" spans="1:2" hidden="1" x14ac:dyDescent="0.25">
      <c r="A635" s="50" t="s">
        <v>605</v>
      </c>
      <c r="B635" s="21">
        <f>'Прайс для расчета (М)'!E605</f>
        <v>3354.75</v>
      </c>
    </row>
    <row r="636" spans="1:2" hidden="1" x14ac:dyDescent="0.25">
      <c r="A636" s="50" t="s">
        <v>606</v>
      </c>
      <c r="B636" s="21">
        <f>'Прайс для расчета (М)'!E606</f>
        <v>3354.75</v>
      </c>
    </row>
    <row r="637" spans="1:2" hidden="1" x14ac:dyDescent="0.25">
      <c r="A637" s="50" t="s">
        <v>607</v>
      </c>
      <c r="B637" s="21">
        <f>'Прайс для расчета (М)'!E607</f>
        <v>1118.25</v>
      </c>
    </row>
    <row r="638" spans="1:2" hidden="1" x14ac:dyDescent="0.25">
      <c r="A638" s="50" t="s">
        <v>608</v>
      </c>
      <c r="B638" s="21">
        <f>'Прайс для расчета (М)'!E608</f>
        <v>670.95</v>
      </c>
    </row>
    <row r="639" spans="1:2" hidden="1" x14ac:dyDescent="0.25">
      <c r="A639" s="50" t="s">
        <v>68</v>
      </c>
      <c r="B639" s="21">
        <f>'Прайс для расчета (М)'!E609</f>
        <v>559.125</v>
      </c>
    </row>
    <row r="640" spans="1:2" hidden="1" x14ac:dyDescent="0.25">
      <c r="A640" s="50" t="s">
        <v>69</v>
      </c>
      <c r="B640" s="21">
        <f>'Прайс для расчета (М)'!E610</f>
        <v>984.06</v>
      </c>
    </row>
    <row r="641" spans="1:2" hidden="1" x14ac:dyDescent="0.25">
      <c r="A641" s="50" t="s">
        <v>70</v>
      </c>
      <c r="B641" s="21">
        <f>'Прайс для расчета (М)'!E611</f>
        <v>715.68</v>
      </c>
    </row>
    <row r="642" spans="1:2" hidden="1" x14ac:dyDescent="0.25">
      <c r="A642" s="50" t="s">
        <v>609</v>
      </c>
      <c r="B642" s="21">
        <f>'Прайс для расчета (М)'!E612</f>
        <v>447.3</v>
      </c>
    </row>
    <row r="643" spans="1:2" hidden="1" x14ac:dyDescent="0.25">
      <c r="A643" s="50" t="s">
        <v>610</v>
      </c>
      <c r="B643" s="21">
        <f>'Прайс для расчета (М)'!E613</f>
        <v>1789.2</v>
      </c>
    </row>
    <row r="644" spans="1:2" hidden="1" x14ac:dyDescent="0.25">
      <c r="A644" s="50" t="s">
        <v>611</v>
      </c>
      <c r="B644" s="21">
        <f>'Прайс для расчета (М)'!E614</f>
        <v>894.6</v>
      </c>
    </row>
    <row r="645" spans="1:2" hidden="1" x14ac:dyDescent="0.25">
      <c r="A645" s="50" t="s">
        <v>612</v>
      </c>
      <c r="B645" s="21">
        <f>'Прайс для расчета (М)'!E615</f>
        <v>521.85</v>
      </c>
    </row>
    <row r="646" spans="1:2" hidden="1" x14ac:dyDescent="0.25">
      <c r="A646" s="50" t="s">
        <v>613</v>
      </c>
      <c r="B646" s="21">
        <f>'Прайс для расчета (М)'!E616</f>
        <v>1491</v>
      </c>
    </row>
    <row r="647" spans="1:2" hidden="1" x14ac:dyDescent="0.25">
      <c r="A647" s="50" t="s">
        <v>614</v>
      </c>
      <c r="B647" s="21">
        <f>'Прайс для расчета (М)'!E617</f>
        <v>745.5</v>
      </c>
    </row>
    <row r="648" spans="1:2" hidden="1" x14ac:dyDescent="0.25">
      <c r="A648" s="50" t="s">
        <v>615</v>
      </c>
      <c r="B648" s="21">
        <f>'Прайс для расчета (М)'!E618</f>
        <v>298.2</v>
      </c>
    </row>
    <row r="649" spans="1:2" hidden="1" x14ac:dyDescent="0.25">
      <c r="A649" s="50" t="s">
        <v>253</v>
      </c>
      <c r="B649" s="21">
        <f>'Прайс для расчета (М)'!E619</f>
        <v>559.125</v>
      </c>
    </row>
    <row r="650" spans="1:2" hidden="1" x14ac:dyDescent="0.25">
      <c r="A650" s="50" t="s">
        <v>78</v>
      </c>
      <c r="B650" s="21">
        <f>'Прайс для расчета (М)'!E620</f>
        <v>223.65</v>
      </c>
    </row>
    <row r="651" spans="1:2" hidden="1" x14ac:dyDescent="0.25">
      <c r="A651" s="50" t="s">
        <v>616</v>
      </c>
      <c r="B651" s="21">
        <f>'Прайс для расчета (М)'!E621</f>
        <v>298.2</v>
      </c>
    </row>
    <row r="652" spans="1:2" hidden="1" x14ac:dyDescent="0.25">
      <c r="A652" s="50" t="s">
        <v>617</v>
      </c>
      <c r="B652" s="21">
        <f>'Прайс для расчета (М)'!E622</f>
        <v>596.4</v>
      </c>
    </row>
    <row r="653" spans="1:2" hidden="1" x14ac:dyDescent="0.25">
      <c r="A653" s="50" t="s">
        <v>618</v>
      </c>
      <c r="B653" s="21">
        <f>'Прайс для расчета (М)'!E623</f>
        <v>223.65</v>
      </c>
    </row>
    <row r="654" spans="1:2" hidden="1" x14ac:dyDescent="0.25">
      <c r="A654" s="50" t="s">
        <v>619</v>
      </c>
      <c r="B654" s="21">
        <f>'Прайс для расчета (М)'!E624</f>
        <v>178.92</v>
      </c>
    </row>
    <row r="655" spans="1:2" hidden="1" x14ac:dyDescent="0.25">
      <c r="A655" s="50" t="s">
        <v>620</v>
      </c>
      <c r="B655" s="21">
        <f>'Прайс для расчета (М)'!E625</f>
        <v>104.36999999999999</v>
      </c>
    </row>
    <row r="656" spans="1:2" hidden="1" x14ac:dyDescent="0.25">
      <c r="A656" s="50" t="s">
        <v>621</v>
      </c>
      <c r="B656" s="21">
        <f>'Прайс для расчета (М)'!E626</f>
        <v>3354.75</v>
      </c>
    </row>
    <row r="657" spans="1:2" hidden="1" x14ac:dyDescent="0.25">
      <c r="A657" s="50" t="s">
        <v>622</v>
      </c>
      <c r="B657" s="21">
        <f>'Прайс для расчета (М)'!E627</f>
        <v>3727.5</v>
      </c>
    </row>
    <row r="658" spans="1:2" hidden="1" x14ac:dyDescent="0.25">
      <c r="A658" s="50" t="s">
        <v>623</v>
      </c>
      <c r="B658" s="21">
        <f>'Прайс для расчета (М)'!E628</f>
        <v>4100.25</v>
      </c>
    </row>
    <row r="659" spans="1:2" hidden="1" x14ac:dyDescent="0.25">
      <c r="A659" s="50" t="s">
        <v>624</v>
      </c>
      <c r="B659" s="21">
        <f>'Прайс для расчета (М)'!E629</f>
        <v>4473</v>
      </c>
    </row>
    <row r="660" spans="1:2" hidden="1" x14ac:dyDescent="0.25">
      <c r="A660" s="50" t="s">
        <v>625</v>
      </c>
      <c r="B660" s="21">
        <f>'Прайс для расчета (М)'!E630</f>
        <v>4473</v>
      </c>
    </row>
    <row r="661" spans="1:2" hidden="1" x14ac:dyDescent="0.25">
      <c r="A661" s="50" t="s">
        <v>274</v>
      </c>
      <c r="B661" s="21">
        <f>'Прайс для расчета (М)'!E631</f>
        <v>4473</v>
      </c>
    </row>
    <row r="662" spans="1:2" hidden="1" x14ac:dyDescent="0.25">
      <c r="A662" s="50" t="s">
        <v>86</v>
      </c>
      <c r="B662" s="21">
        <f>'Прайс для расчета (М)'!E632</f>
        <v>5367.6</v>
      </c>
    </row>
    <row r="663" spans="1:2" hidden="1" x14ac:dyDescent="0.25">
      <c r="A663" s="50" t="s">
        <v>626</v>
      </c>
      <c r="B663" s="21">
        <f>'Прайс для расчета (М)'!E633</f>
        <v>2609.25</v>
      </c>
    </row>
    <row r="664" spans="1:2" hidden="1" x14ac:dyDescent="0.25">
      <c r="A664" s="50" t="s">
        <v>256</v>
      </c>
      <c r="B664" s="21">
        <f>'Прайс для расчета (М)'!E634</f>
        <v>2609.25</v>
      </c>
    </row>
    <row r="665" spans="1:2" hidden="1" x14ac:dyDescent="0.25">
      <c r="A665" s="50" t="s">
        <v>919</v>
      </c>
      <c r="B665" s="21">
        <f>'Прайс для расчета (М)'!E635</f>
        <v>998.97</v>
      </c>
    </row>
    <row r="666" spans="1:2" ht="26.4" hidden="1" x14ac:dyDescent="0.25">
      <c r="A666" s="50" t="s">
        <v>627</v>
      </c>
      <c r="B666" s="21">
        <f>'Прайс для расчета (М)'!E636</f>
        <v>1267.3500000000001</v>
      </c>
    </row>
    <row r="667" spans="1:2" hidden="1" x14ac:dyDescent="0.25">
      <c r="A667" s="50" t="s">
        <v>213</v>
      </c>
      <c r="B667" s="21">
        <f>'Прайс для расчета (М)'!E637</f>
        <v>7827.75</v>
      </c>
    </row>
    <row r="668" spans="1:2" hidden="1" x14ac:dyDescent="0.25">
      <c r="A668" s="50" t="s">
        <v>214</v>
      </c>
      <c r="B668" s="21">
        <f>'Прайс для расчета (М)'!E638</f>
        <v>8871.4500000000007</v>
      </c>
    </row>
    <row r="669" spans="1:2" ht="26.4" hidden="1" x14ac:dyDescent="0.25">
      <c r="A669" s="50" t="s">
        <v>628</v>
      </c>
      <c r="B669" s="21">
        <f>'Прайс для расчета (М)'!E639</f>
        <v>9840.6</v>
      </c>
    </row>
    <row r="670" spans="1:2" hidden="1" x14ac:dyDescent="0.25">
      <c r="A670" s="50" t="s">
        <v>88</v>
      </c>
      <c r="B670" s="21">
        <f>'Прайс для расчета (М)'!E640</f>
        <v>10735.2</v>
      </c>
    </row>
    <row r="671" spans="1:2" hidden="1" x14ac:dyDescent="0.25">
      <c r="A671" s="50" t="s">
        <v>89</v>
      </c>
      <c r="B671" s="21">
        <f>'Прайс для расчета (М)'!E641</f>
        <v>13419</v>
      </c>
    </row>
    <row r="672" spans="1:2" ht="26.4" hidden="1" x14ac:dyDescent="0.25">
      <c r="A672" s="50" t="s">
        <v>629</v>
      </c>
      <c r="B672" s="21">
        <f>'Прайс для расчета (М)'!E642</f>
        <v>15208.2</v>
      </c>
    </row>
    <row r="673" spans="1:2" ht="26.4" hidden="1" x14ac:dyDescent="0.25">
      <c r="A673" s="50" t="s">
        <v>630</v>
      </c>
      <c r="B673" s="21">
        <f>'Прайс для расчета (М)'!E643</f>
        <v>17892</v>
      </c>
    </row>
    <row r="674" spans="1:2" ht="26.4" hidden="1" x14ac:dyDescent="0.25">
      <c r="A674" s="50" t="s">
        <v>631</v>
      </c>
      <c r="B674" s="21">
        <f>'Прайс для расчета (М)'!E644</f>
        <v>2609.25</v>
      </c>
    </row>
    <row r="675" spans="1:2" ht="26.4" hidden="1" x14ac:dyDescent="0.25">
      <c r="A675" s="50" t="s">
        <v>632</v>
      </c>
      <c r="B675" s="21">
        <f>'Прайс для расчета (М)'!E645</f>
        <v>2236.5</v>
      </c>
    </row>
    <row r="676" spans="1:2" ht="26.4" hidden="1" x14ac:dyDescent="0.25">
      <c r="A676" s="50" t="s">
        <v>633</v>
      </c>
      <c r="B676" s="21">
        <f>'Прайс для расчета (М)'!E646</f>
        <v>5218.5</v>
      </c>
    </row>
    <row r="677" spans="1:2" ht="26.4" hidden="1" x14ac:dyDescent="0.25">
      <c r="A677" s="50" t="s">
        <v>634</v>
      </c>
      <c r="B677" s="21">
        <f>'Прайс для расчета (М)'!E647</f>
        <v>894.6</v>
      </c>
    </row>
    <row r="678" spans="1:2" ht="26.4" hidden="1" x14ac:dyDescent="0.25">
      <c r="A678" s="50" t="s">
        <v>635</v>
      </c>
      <c r="B678" s="21">
        <f>'Прайс для расчета (М)'!E648</f>
        <v>134.19</v>
      </c>
    </row>
    <row r="679" spans="1:2" ht="26.4" hidden="1" x14ac:dyDescent="0.25">
      <c r="A679" s="50" t="s">
        <v>93</v>
      </c>
      <c r="B679" s="21">
        <f>'Прайс для расчета (М)'!E649</f>
        <v>1416.45</v>
      </c>
    </row>
    <row r="680" spans="1:2" hidden="1" x14ac:dyDescent="0.25">
      <c r="A680" s="50" t="s">
        <v>257</v>
      </c>
      <c r="B680" s="21">
        <f>'Прайс для расчета (М)'!E650</f>
        <v>1073.52</v>
      </c>
    </row>
    <row r="681" spans="1:2" hidden="1" x14ac:dyDescent="0.25">
      <c r="A681" s="50" t="s">
        <v>258</v>
      </c>
      <c r="B681" s="21">
        <f>'Прайс для расчета (М)'!E651</f>
        <v>2609.25</v>
      </c>
    </row>
    <row r="682" spans="1:2" ht="39.6" hidden="1" x14ac:dyDescent="0.25">
      <c r="A682" s="50" t="s">
        <v>636</v>
      </c>
      <c r="B682" s="21">
        <f>'Прайс для расчета (М)'!E652</f>
        <v>1491</v>
      </c>
    </row>
    <row r="683" spans="1:2" hidden="1" x14ac:dyDescent="0.25">
      <c r="A683" s="50" t="s">
        <v>637</v>
      </c>
      <c r="B683" s="21">
        <f>'Прайс для расчета (М)'!E653</f>
        <v>3354.75</v>
      </c>
    </row>
    <row r="684" spans="1:2" hidden="1" x14ac:dyDescent="0.25">
      <c r="A684" s="50" t="s">
        <v>638</v>
      </c>
      <c r="B684" s="21">
        <f>'Прайс для расчета (М)'!E654</f>
        <v>2982</v>
      </c>
    </row>
    <row r="685" spans="1:2" hidden="1" x14ac:dyDescent="0.25">
      <c r="A685" s="50" t="s">
        <v>639</v>
      </c>
      <c r="B685" s="21">
        <f>'Прайс для расчета (М)'!E655</f>
        <v>2982</v>
      </c>
    </row>
    <row r="686" spans="1:2" hidden="1" x14ac:dyDescent="0.25">
      <c r="A686" s="50" t="s">
        <v>640</v>
      </c>
      <c r="B686" s="21">
        <f>'Прайс для расчета (М)'!E656</f>
        <v>402.57</v>
      </c>
    </row>
    <row r="687" spans="1:2" hidden="1" x14ac:dyDescent="0.25">
      <c r="A687" s="50" t="s">
        <v>98</v>
      </c>
      <c r="B687" s="21">
        <f>'Прайс для расчета (М)'!E657</f>
        <v>447.3</v>
      </c>
    </row>
    <row r="688" spans="1:2" hidden="1" x14ac:dyDescent="0.25">
      <c r="A688" s="50" t="s">
        <v>99</v>
      </c>
      <c r="B688" s="21">
        <f>'Прайс для расчета (М)'!E658</f>
        <v>149.1</v>
      </c>
    </row>
    <row r="689" spans="1:2" hidden="1" x14ac:dyDescent="0.25">
      <c r="A689" s="50" t="s">
        <v>100</v>
      </c>
      <c r="B689" s="21">
        <f>'Прайс для расчета (М)'!E659</f>
        <v>104.36999999999999</v>
      </c>
    </row>
    <row r="690" spans="1:2" hidden="1" x14ac:dyDescent="0.25">
      <c r="A690" s="50" t="s">
        <v>641</v>
      </c>
      <c r="B690" s="21">
        <f>'Прайс для расчета (М)'!E660</f>
        <v>1267.3500000000001</v>
      </c>
    </row>
    <row r="691" spans="1:2" hidden="1" x14ac:dyDescent="0.25">
      <c r="A691" s="50" t="s">
        <v>920</v>
      </c>
      <c r="B691" s="21">
        <f>'Прайс для расчета (М)'!E661</f>
        <v>2609.25</v>
      </c>
    </row>
    <row r="692" spans="1:2" hidden="1" x14ac:dyDescent="0.25">
      <c r="A692" s="50" t="s">
        <v>921</v>
      </c>
      <c r="B692" s="21">
        <f>'Прайс для расчета (М)'!E662</f>
        <v>2311.0500000000002</v>
      </c>
    </row>
    <row r="693" spans="1:2" hidden="1" x14ac:dyDescent="0.25">
      <c r="A693" s="50" t="s">
        <v>642</v>
      </c>
      <c r="B693" s="21">
        <f>'Прайс для расчета (М)'!E663</f>
        <v>894.6</v>
      </c>
    </row>
    <row r="694" spans="1:2" hidden="1" x14ac:dyDescent="0.25">
      <c r="A694" s="50" t="s">
        <v>643</v>
      </c>
      <c r="B694" s="21">
        <f>'Прайс для расчета (М)'!E664</f>
        <v>1103.3399999999999</v>
      </c>
    </row>
    <row r="695" spans="1:2" hidden="1" x14ac:dyDescent="0.25">
      <c r="A695" s="50" t="s">
        <v>262</v>
      </c>
      <c r="B695" s="21">
        <f>'Прайс для расчета (М)'!E665</f>
        <v>1252.44</v>
      </c>
    </row>
    <row r="696" spans="1:2" hidden="1" x14ac:dyDescent="0.25">
      <c r="A696" s="50" t="s">
        <v>263</v>
      </c>
      <c r="B696" s="21">
        <f>'Прайс для расчета (М)'!E666</f>
        <v>1162.98</v>
      </c>
    </row>
    <row r="697" spans="1:2" hidden="1" x14ac:dyDescent="0.25">
      <c r="A697" s="50" t="s">
        <v>264</v>
      </c>
      <c r="B697" s="21">
        <f>'Прайс для расчета (М)'!E667</f>
        <v>2460.15</v>
      </c>
    </row>
    <row r="698" spans="1:2" hidden="1" x14ac:dyDescent="0.25">
      <c r="A698" s="50" t="s">
        <v>102</v>
      </c>
      <c r="B698" s="21">
        <f>'Прайс для расчета (М)'!E668</f>
        <v>2683.8</v>
      </c>
    </row>
    <row r="699" spans="1:2" ht="26.4" hidden="1" x14ac:dyDescent="0.25">
      <c r="A699" s="50" t="s">
        <v>644</v>
      </c>
      <c r="B699" s="21">
        <f>'Прайс для расчета (М)'!E669</f>
        <v>1118.25</v>
      </c>
    </row>
    <row r="700" spans="1:2" ht="41.4" x14ac:dyDescent="0.25">
      <c r="A700" s="92" t="s">
        <v>961</v>
      </c>
    </row>
  </sheetData>
  <mergeCells count="16">
    <mergeCell ref="A1:C1"/>
    <mergeCell ref="B8:C8"/>
    <mergeCell ref="B11:C11"/>
    <mergeCell ref="A4:C4"/>
    <mergeCell ref="B5:C5"/>
    <mergeCell ref="B6:C6"/>
    <mergeCell ref="B10:C10"/>
    <mergeCell ref="A20:C20"/>
    <mergeCell ref="A7:C7"/>
    <mergeCell ref="A3:C3"/>
    <mergeCell ref="A14:C14"/>
    <mergeCell ref="A2:C2"/>
    <mergeCell ref="B15:C15"/>
    <mergeCell ref="B16:C16"/>
    <mergeCell ref="B13:C13"/>
    <mergeCell ref="B12:C12"/>
  </mergeCells>
  <conditionalFormatting sqref="B92:B100 B102:B127 B129:B164 B166:B209 B211:B217 B219:B231 B233:B259 B261:B306 B308:B380 B503:B699 B23:B47 B49:B90">
    <cfRule type="expression" dxfId="57" priority="71" stopIfTrue="1">
      <formula>#REF!=0</formula>
    </cfRule>
  </conditionalFormatting>
  <conditionalFormatting sqref="B22">
    <cfRule type="expression" dxfId="56" priority="70">
      <formula>#REF!=0</formula>
    </cfRule>
  </conditionalFormatting>
  <conditionalFormatting sqref="C325:C346 C350:C365 C368:C380 C502">
    <cfRule type="expression" dxfId="55" priority="69">
      <formula>$B325=0</formula>
    </cfRule>
  </conditionalFormatting>
  <conditionalFormatting sqref="C24:C47">
    <cfRule type="expression" dxfId="54" priority="56">
      <formula>$B24=0</formula>
    </cfRule>
  </conditionalFormatting>
  <conditionalFormatting sqref="C49:C90 C92:C93">
    <cfRule type="expression" dxfId="53" priority="55">
      <formula>$B49=0</formula>
    </cfRule>
  </conditionalFormatting>
  <conditionalFormatting sqref="C94:C100">
    <cfRule type="expression" dxfId="52" priority="54">
      <formula>$B94=0</formula>
    </cfRule>
  </conditionalFormatting>
  <conditionalFormatting sqref="C102:C127">
    <cfRule type="expression" dxfId="51" priority="53">
      <formula>$B102=0</formula>
    </cfRule>
  </conditionalFormatting>
  <conditionalFormatting sqref="C129:C147">
    <cfRule type="expression" dxfId="50" priority="51">
      <formula>$B129=0</formula>
    </cfRule>
  </conditionalFormatting>
  <conditionalFormatting sqref="C148:C164">
    <cfRule type="expression" dxfId="49" priority="52">
      <formula>$B148=0</formula>
    </cfRule>
  </conditionalFormatting>
  <conditionalFormatting sqref="C166:C208">
    <cfRule type="expression" dxfId="48" priority="50">
      <formula>$B166=0</formula>
    </cfRule>
  </conditionalFormatting>
  <conditionalFormatting sqref="C209">
    <cfRule type="expression" dxfId="47" priority="49">
      <formula>$B209=0</formula>
    </cfRule>
  </conditionalFormatting>
  <conditionalFormatting sqref="C211:C217">
    <cfRule type="expression" dxfId="46" priority="48">
      <formula>$B211=0</formula>
    </cfRule>
  </conditionalFormatting>
  <conditionalFormatting sqref="C219:C231">
    <cfRule type="expression" dxfId="45" priority="47">
      <formula>$B219=0</formula>
    </cfRule>
  </conditionalFormatting>
  <conditionalFormatting sqref="C261">
    <cfRule type="expression" dxfId="44" priority="46">
      <formula>$B261=0</formula>
    </cfRule>
  </conditionalFormatting>
  <conditionalFormatting sqref="C262:C306">
    <cfRule type="expression" dxfId="43" priority="45">
      <formula>$B262=0</formula>
    </cfRule>
  </conditionalFormatting>
  <conditionalFormatting sqref="C316:C323">
    <cfRule type="expression" dxfId="42" priority="44">
      <formula>$B316=0</formula>
    </cfRule>
  </conditionalFormatting>
  <conditionalFormatting sqref="C347:C348 C366 C503:C507">
    <cfRule type="expression" dxfId="41" priority="102">
      <formula>$B348=0</formula>
    </cfRule>
  </conditionalFormatting>
  <conditionalFormatting sqref="C349">
    <cfRule type="expression" dxfId="40" priority="42">
      <formula>$B349=0</formula>
    </cfRule>
  </conditionalFormatting>
  <conditionalFormatting sqref="C509">
    <cfRule type="expression" dxfId="39" priority="41">
      <formula>$B509=0</formula>
    </cfRule>
  </conditionalFormatting>
  <conditionalFormatting sqref="C508">
    <cfRule type="expression" dxfId="38" priority="40">
      <formula>$B509=0</formula>
    </cfRule>
  </conditionalFormatting>
  <conditionalFormatting sqref="C510">
    <cfRule type="expression" dxfId="37" priority="39">
      <formula>$B510=0</formula>
    </cfRule>
  </conditionalFormatting>
  <conditionalFormatting sqref="C511">
    <cfRule type="expression" dxfId="36" priority="38">
      <formula>$B511=0</formula>
    </cfRule>
  </conditionalFormatting>
  <conditionalFormatting sqref="C512">
    <cfRule type="expression" dxfId="35" priority="37">
      <formula>$B512=0</formula>
    </cfRule>
  </conditionalFormatting>
  <conditionalFormatting sqref="C513">
    <cfRule type="expression" dxfId="34" priority="36">
      <formula>$B513=0</formula>
    </cfRule>
  </conditionalFormatting>
  <conditionalFormatting sqref="C514">
    <cfRule type="expression" dxfId="33" priority="35">
      <formula>$B514=0</formula>
    </cfRule>
  </conditionalFormatting>
  <conditionalFormatting sqref="C515">
    <cfRule type="expression" dxfId="32" priority="34">
      <formula>$B515=0</formula>
    </cfRule>
  </conditionalFormatting>
  <conditionalFormatting sqref="C516">
    <cfRule type="expression" dxfId="31" priority="33">
      <formula>$B516=0</formula>
    </cfRule>
  </conditionalFormatting>
  <conditionalFormatting sqref="C517:C519">
    <cfRule type="expression" dxfId="30" priority="31">
      <formula>$B517=0</formula>
    </cfRule>
  </conditionalFormatting>
  <conditionalFormatting sqref="C367">
    <cfRule type="expression" dxfId="29" priority="30">
      <formula>$B367=0</formula>
    </cfRule>
  </conditionalFormatting>
  <conditionalFormatting sqref="C23">
    <cfRule type="expression" dxfId="28" priority="29" stopIfTrue="1">
      <formula>#REF!=0</formula>
    </cfRule>
  </conditionalFormatting>
  <conditionalFormatting sqref="B48:C48">
    <cfRule type="expression" dxfId="27" priority="28" stopIfTrue="1">
      <formula>#REF!=0</formula>
    </cfRule>
  </conditionalFormatting>
  <conditionalFormatting sqref="B91:C91">
    <cfRule type="expression" dxfId="26" priority="27" stopIfTrue="1">
      <formula>#REF!=0</formula>
    </cfRule>
  </conditionalFormatting>
  <conditionalFormatting sqref="B101:C101">
    <cfRule type="expression" dxfId="25" priority="26" stopIfTrue="1">
      <formula>#REF!=0</formula>
    </cfRule>
  </conditionalFormatting>
  <conditionalFormatting sqref="B128:C128">
    <cfRule type="expression" dxfId="24" priority="25" stopIfTrue="1">
      <formula>#REF!=0</formula>
    </cfRule>
  </conditionalFormatting>
  <conditionalFormatting sqref="B165:C165">
    <cfRule type="expression" dxfId="23" priority="24" stopIfTrue="1">
      <formula>#REF!=0</formula>
    </cfRule>
  </conditionalFormatting>
  <conditionalFormatting sqref="B210:C210">
    <cfRule type="expression" dxfId="22" priority="23" stopIfTrue="1">
      <formula>#REF!=0</formula>
    </cfRule>
  </conditionalFormatting>
  <conditionalFormatting sqref="B218:C218">
    <cfRule type="expression" dxfId="21" priority="22" stopIfTrue="1">
      <formula>#REF!=0</formula>
    </cfRule>
  </conditionalFormatting>
  <conditionalFormatting sqref="B232:C232">
    <cfRule type="expression" dxfId="20" priority="21" stopIfTrue="1">
      <formula>#REF!=0</formula>
    </cfRule>
  </conditionalFormatting>
  <conditionalFormatting sqref="B260:C260">
    <cfRule type="expression" dxfId="19" priority="20" stopIfTrue="1">
      <formula>#REF!=0</formula>
    </cfRule>
  </conditionalFormatting>
  <conditionalFormatting sqref="B307:C307">
    <cfRule type="expression" dxfId="18" priority="19" stopIfTrue="1">
      <formula>#REF!=0</formula>
    </cfRule>
  </conditionalFormatting>
  <conditionalFormatting sqref="C492:C501">
    <cfRule type="expression" dxfId="17" priority="6">
      <formula>$B492=0</formula>
    </cfRule>
  </conditionalFormatting>
  <conditionalFormatting sqref="B382:B502">
    <cfRule type="expression" dxfId="16" priority="18" stopIfTrue="1">
      <formula>#REF!=0</formula>
    </cfRule>
  </conditionalFormatting>
  <conditionalFormatting sqref="B381">
    <cfRule type="expression" dxfId="15" priority="17">
      <formula>#REF!=0</formula>
    </cfRule>
  </conditionalFormatting>
  <conditionalFormatting sqref="C382:C402">
    <cfRule type="expression" dxfId="14" priority="16">
      <formula>$B382=0</formula>
    </cfRule>
  </conditionalFormatting>
  <conditionalFormatting sqref="C403:C404">
    <cfRule type="expression" dxfId="13" priority="15">
      <formula>$B403=0</formula>
    </cfRule>
  </conditionalFormatting>
  <conditionalFormatting sqref="C405">
    <cfRule type="expression" dxfId="12" priority="14">
      <formula>$B405=0</formula>
    </cfRule>
  </conditionalFormatting>
  <conditionalFormatting sqref="C406:C430">
    <cfRule type="expression" dxfId="11" priority="13">
      <formula>$B406=0</formula>
    </cfRule>
  </conditionalFormatting>
  <conditionalFormatting sqref="C431">
    <cfRule type="expression" dxfId="10" priority="12">
      <formula>$B431=0</formula>
    </cfRule>
  </conditionalFormatting>
  <conditionalFormatting sqref="C432:C439">
    <cfRule type="expression" dxfId="9" priority="11">
      <formula>$B432=0</formula>
    </cfRule>
  </conditionalFormatting>
  <conditionalFormatting sqref="C440:C455">
    <cfRule type="expression" dxfId="8" priority="10">
      <formula>$B440=0</formula>
    </cfRule>
  </conditionalFormatting>
  <conditionalFormatting sqref="C456:C464">
    <cfRule type="expression" dxfId="7" priority="9">
      <formula>$B456=0</formula>
    </cfRule>
  </conditionalFormatting>
  <conditionalFormatting sqref="C465:C471">
    <cfRule type="expression" dxfId="6" priority="8">
      <formula>$B465=0</formula>
    </cfRule>
  </conditionalFormatting>
  <conditionalFormatting sqref="C472:C491">
    <cfRule type="expression" dxfId="5" priority="7">
      <formula>$B472=0</formula>
    </cfRule>
  </conditionalFormatting>
  <conditionalFormatting sqref="A124:A126">
    <cfRule type="expression" dxfId="4" priority="1">
      <formula>$B124=0</formula>
    </cfRule>
  </conditionalFormatting>
  <conditionalFormatting sqref="A50:A55">
    <cfRule type="expression" dxfId="3" priority="5">
      <formula>$B50=0</formula>
    </cfRule>
  </conditionalFormatting>
  <conditionalFormatting sqref="A56">
    <cfRule type="expression" dxfId="2" priority="4">
      <formula>$B56=0</formula>
    </cfRule>
  </conditionalFormatting>
  <conditionalFormatting sqref="A103:A105">
    <cfRule type="expression" dxfId="1" priority="3">
      <formula>$B103=0</formula>
    </cfRule>
  </conditionalFormatting>
  <conditionalFormatting sqref="A114:A118">
    <cfRule type="expression" dxfId="0" priority="2">
      <formula>$B114=0</formula>
    </cfRule>
  </conditionalFormatting>
  <pageMargins left="0.7" right="0.7" top="0.75" bottom="0.75" header="0.3" footer="0.3"/>
  <pageSetup paperSize="9" orientation="portrait" horizontalDpi="0" verticalDpi="0"/>
  <headerFooter>
    <oddFooter>&amp;R&amp;"System Font,обычный"редакция 3.0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14</vt:i4>
      </vt:variant>
    </vt:vector>
  </HeadingPairs>
  <TitlesOfParts>
    <vt:vector size="36" baseType="lpstr">
      <vt:lpstr>Обложка</vt:lpstr>
      <vt:lpstr>Свод для мастеров</vt:lpstr>
      <vt:lpstr>См. для мастеров</vt:lpstr>
      <vt:lpstr>RusName</vt:lpstr>
      <vt:lpstr>xyz</vt:lpstr>
      <vt:lpstr>Комната(база)</vt:lpstr>
      <vt:lpstr>Кухня(база)</vt:lpstr>
      <vt:lpstr>Ванная комната(база)</vt:lpstr>
      <vt:lpstr>Туалет(база)</vt:lpstr>
      <vt:lpstr>Коридор(база)</vt:lpstr>
      <vt:lpstr>Смета по коридору №1</vt:lpstr>
      <vt:lpstr>Кладовая(база)</vt:lpstr>
      <vt:lpstr>Смета по кладовой №1</vt:lpstr>
      <vt:lpstr>Смета по кладовой №2</vt:lpstr>
      <vt:lpstr>Смета по комнате №1</vt:lpstr>
      <vt:lpstr>Лоджия(балкон)(база)</vt:lpstr>
      <vt:lpstr>Электромонтаж(база)</vt:lpstr>
      <vt:lpstr>Спецмонтаж(база)</vt:lpstr>
      <vt:lpstr>Прайс для расчета</vt:lpstr>
      <vt:lpstr>Прайс(заказ.)</vt:lpstr>
      <vt:lpstr>Прайс для расчета (М)</vt:lpstr>
      <vt:lpstr>Прайс(маст.)</vt:lpstr>
      <vt:lpstr>'Ванная комната(база)'!Область_печати</vt:lpstr>
      <vt:lpstr>'Кладовая(база)'!Область_печати</vt:lpstr>
      <vt:lpstr>'Комната(база)'!Область_печати</vt:lpstr>
      <vt:lpstr>'Коридор(база)'!Область_печати</vt:lpstr>
      <vt:lpstr>'Кухня(база)'!Область_печати</vt:lpstr>
      <vt:lpstr>'Лоджия(балкон)(база)'!Область_печати</vt:lpstr>
      <vt:lpstr>'См. для мастеров'!Область_печати</vt:lpstr>
      <vt:lpstr>'Смета по кладовой №1'!Область_печати</vt:lpstr>
      <vt:lpstr>'Смета по кладовой №2'!Область_печати</vt:lpstr>
      <vt:lpstr>'Смета по комнате №1'!Область_печати</vt:lpstr>
      <vt:lpstr>'Смета по коридору №1'!Область_печати</vt:lpstr>
      <vt:lpstr>'Спецмонтаж(база)'!Область_печати</vt:lpstr>
      <vt:lpstr>'Туалет(база)'!Область_печати</vt:lpstr>
      <vt:lpstr>'Электромонтаж(база)'!Область_печати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вверх</dc:creator>
  <cp:lastModifiedBy>*</cp:lastModifiedBy>
  <cp:lastPrinted>2025-06-23T09:55:33Z</cp:lastPrinted>
  <dcterms:created xsi:type="dcterms:W3CDTF">2015-11-18T20:19:43Z</dcterms:created>
  <dcterms:modified xsi:type="dcterms:W3CDTF">2026-04-05T20:51:30Z</dcterms:modified>
</cp:coreProperties>
</file>