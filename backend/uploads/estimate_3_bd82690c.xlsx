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72"/>
  </bookViews>
  <sheets>
    <sheet name="Смета по видам работ" sheetId="1" r:id="rId1"/>
  </sheets>
  <calcPr calcId="162913"/>
</workbook>
</file>

<file path=xl/calcChain.xml><?xml version="1.0" encoding="utf-8"?>
<calcChain xmlns="http://schemas.openxmlformats.org/spreadsheetml/2006/main">
  <c r="C44" i="1" l="1"/>
  <c r="C32" i="1"/>
  <c r="C22" i="1"/>
  <c r="C14" i="1"/>
  <c r="F37" i="1"/>
  <c r="F66" i="1"/>
  <c r="F65" i="1"/>
  <c r="F64" i="1"/>
  <c r="F63" i="1"/>
  <c r="F62" i="1"/>
  <c r="F61" i="1"/>
  <c r="F60" i="1"/>
  <c r="F59" i="1"/>
  <c r="F58" i="1"/>
  <c r="F57" i="1"/>
  <c r="C67" i="1" s="1"/>
  <c r="F53" i="1"/>
  <c r="F52" i="1"/>
  <c r="F51" i="1"/>
  <c r="F50" i="1"/>
  <c r="F49" i="1"/>
  <c r="F48" i="1"/>
  <c r="F47" i="1"/>
  <c r="F43" i="1"/>
  <c r="F42" i="1"/>
  <c r="F40" i="1"/>
  <c r="F38" i="1"/>
  <c r="E30" i="1"/>
  <c r="E31" i="1" s="1"/>
  <c r="F31" i="1" s="1"/>
  <c r="F29" i="1"/>
  <c r="E21" i="1"/>
  <c r="F21" i="1" s="1"/>
  <c r="E19" i="1"/>
  <c r="F19" i="1" s="1"/>
  <c r="E18" i="1"/>
  <c r="F18" i="1" s="1"/>
  <c r="F17" i="1"/>
  <c r="E13" i="1"/>
  <c r="F13" i="1" s="1"/>
  <c r="F12" i="1"/>
  <c r="F11" i="1"/>
  <c r="F10" i="1"/>
  <c r="F9" i="1"/>
  <c r="F8" i="1"/>
  <c r="F6" i="1"/>
  <c r="E5" i="1"/>
  <c r="E7" i="1" s="1"/>
  <c r="C54" i="1" l="1"/>
  <c r="E20" i="1"/>
  <c r="F20" i="1" s="1"/>
  <c r="F7" i="1"/>
  <c r="E25" i="1"/>
  <c r="F30" i="1"/>
  <c r="F5" i="1"/>
  <c r="E36" i="1"/>
  <c r="F36" i="1" l="1"/>
  <c r="E41" i="1"/>
  <c r="C68" i="1"/>
  <c r="E26" i="1"/>
  <c r="F25" i="1"/>
  <c r="E27" i="1" l="1"/>
  <c r="F27" i="1" s="1"/>
  <c r="E28" i="1"/>
  <c r="F28" i="1" s="1"/>
  <c r="F26" i="1"/>
  <c r="F41" i="1"/>
  <c r="E39" i="1"/>
  <c r="F39" i="1" s="1"/>
</calcChain>
</file>

<file path=xl/sharedStrings.xml><?xml version="1.0" encoding="utf-8"?>
<sst xmlns="http://schemas.openxmlformats.org/spreadsheetml/2006/main" count="189" uniqueCount="132">
  <si>
    <t>Приложение №1 №_____________</t>
  </si>
  <si>
    <t>Отделочные работы</t>
  </si>
  <si>
    <t>1. Черновые работы</t>
  </si>
  <si>
    <t>№</t>
  </si>
  <si>
    <t>Наименование работ</t>
  </si>
  <si>
    <t>Ед.изм.</t>
  </si>
  <si>
    <t>Цена</t>
  </si>
  <si>
    <t>Кол-во</t>
  </si>
  <si>
    <t>Сумма</t>
  </si>
  <si>
    <t>1.1</t>
  </si>
  <si>
    <t>Выравнивание стен (штукатурка по маякам)</t>
  </si>
  <si>
    <r>
      <rPr>
        <sz val="18"/>
        <color rgb="FF000000"/>
        <rFont val="Calibri"/>
        <family val="2"/>
        <charset val="204"/>
      </rPr>
      <t>м</t>
    </r>
    <r>
      <rPr>
        <vertAlign val="superscript"/>
        <sz val="18"/>
        <color rgb="FF000000"/>
        <rFont val="Calibri"/>
        <family val="2"/>
        <charset val="204"/>
      </rPr>
      <t>2</t>
    </r>
  </si>
  <si>
    <t>1.2</t>
  </si>
  <si>
    <t>Выравнивание откосов (штукатурка или ГВЛ)</t>
  </si>
  <si>
    <t>м.п.</t>
  </si>
  <si>
    <t>1.3</t>
  </si>
  <si>
    <t>Грунтовка стен (акриловая)</t>
  </si>
  <si>
    <r>
      <rPr>
        <sz val="18"/>
        <color rgb="FF000000"/>
        <rFont val="Calibri"/>
        <family val="2"/>
        <charset val="204"/>
      </rPr>
      <t>м</t>
    </r>
    <r>
      <rPr>
        <vertAlign val="superscript"/>
        <sz val="18"/>
        <color rgb="FF000000"/>
        <rFont val="Calibri"/>
        <family val="2"/>
        <charset val="204"/>
      </rPr>
      <t>2</t>
    </r>
  </si>
  <si>
    <t>1.4</t>
  </si>
  <si>
    <t>Монтаж дверного проема</t>
  </si>
  <si>
    <t>шт.</t>
  </si>
  <si>
    <t>1.5</t>
  </si>
  <si>
    <t>Штукатурка дверного проема</t>
  </si>
  <si>
    <t>1.6</t>
  </si>
  <si>
    <t>Пароизоляция окон герметиком</t>
  </si>
  <si>
    <t>1.7</t>
  </si>
  <si>
    <t>Проверка: основание стен (штукатурка)</t>
  </si>
  <si>
    <t>выезд</t>
  </si>
  <si>
    <t>1.8</t>
  </si>
  <si>
    <t>Гидроизоляция обмазочная</t>
  </si>
  <si>
    <r>
      <rPr>
        <sz val="18"/>
        <color rgb="FF000000"/>
        <rFont val="Calibri"/>
        <family val="2"/>
        <charset val="204"/>
      </rPr>
      <t>м</t>
    </r>
    <r>
      <rPr>
        <vertAlign val="superscript"/>
        <sz val="18"/>
        <color rgb="FF000000"/>
        <rFont val="Calibri"/>
        <family val="2"/>
        <charset val="204"/>
      </rPr>
      <t>2</t>
    </r>
  </si>
  <si>
    <t>1.9</t>
  </si>
  <si>
    <t>Монтаж короба ГКЛ</t>
  </si>
  <si>
    <t>ИТОГО ЗА ЧЕРНОВЫЕ РАБОТЫ:</t>
  </si>
  <si>
    <t>2. Плиточные работы</t>
  </si>
  <si>
    <t>2.1</t>
  </si>
  <si>
    <r>
      <rPr>
        <sz val="18"/>
        <color rgb="FF000000"/>
        <rFont val="Calibri"/>
        <family val="2"/>
        <charset val="204"/>
      </rPr>
      <t>м</t>
    </r>
    <r>
      <rPr>
        <vertAlign val="superscript"/>
        <sz val="18"/>
        <color rgb="FF000000"/>
        <rFont val="Calibri"/>
        <family val="2"/>
        <charset val="204"/>
      </rPr>
      <t>2</t>
    </r>
  </si>
  <si>
    <t>2.2</t>
  </si>
  <si>
    <t xml:space="preserve">Укладка керамической плитки (керамогранита) на пол </t>
  </si>
  <si>
    <r>
      <rPr>
        <sz val="18"/>
        <color rgb="FF000000"/>
        <rFont val="Calibri"/>
        <family val="2"/>
        <charset val="204"/>
      </rPr>
      <t>м</t>
    </r>
    <r>
      <rPr>
        <vertAlign val="superscript"/>
        <sz val="18"/>
        <color rgb="FF000000"/>
        <rFont val="Calibri"/>
        <family val="2"/>
        <charset val="204"/>
      </rPr>
      <t>2</t>
    </r>
  </si>
  <si>
    <t>2.3</t>
  </si>
  <si>
    <t>Оформление торца керамической плитки (стыковочный профиль)</t>
  </si>
  <si>
    <t>2.4</t>
  </si>
  <si>
    <t>Затирка швов (на цементной основе)</t>
  </si>
  <si>
    <r>
      <rPr>
        <sz val="18"/>
        <color rgb="FF000000"/>
        <rFont val="Calibri"/>
        <family val="2"/>
        <charset val="204"/>
      </rPr>
      <t>м</t>
    </r>
    <r>
      <rPr>
        <vertAlign val="superscript"/>
        <sz val="18"/>
        <color rgb="FF000000"/>
        <rFont val="Calibri"/>
        <family val="2"/>
        <charset val="204"/>
      </rPr>
      <t>2</t>
    </r>
  </si>
  <si>
    <t>2.5</t>
  </si>
  <si>
    <t>Облицовка откосов керамической плиткой (короба)</t>
  </si>
  <si>
    <t>ИТОГО ЗА РАБОТЫ ПО ПЛИТКЕ:</t>
  </si>
  <si>
    <t xml:space="preserve">3. Малярные работы </t>
  </si>
  <si>
    <t>3.1</t>
  </si>
  <si>
    <t>Грунтовка стен</t>
  </si>
  <si>
    <r>
      <rPr>
        <sz val="18"/>
        <color rgb="FF000000"/>
        <rFont val="Calibri"/>
        <family val="2"/>
        <charset val="204"/>
      </rPr>
      <t>м</t>
    </r>
    <r>
      <rPr>
        <vertAlign val="superscript"/>
        <sz val="18"/>
        <color rgb="FF000000"/>
        <rFont val="Calibri"/>
        <family val="2"/>
        <charset val="204"/>
      </rPr>
      <t>2</t>
    </r>
  </si>
  <si>
    <t>3.2</t>
  </si>
  <si>
    <t xml:space="preserve">Подготовка стен под обои (2сл. База по сетке, шлифовка 120-180) </t>
  </si>
  <si>
    <r>
      <rPr>
        <sz val="18"/>
        <color rgb="FF000000"/>
        <rFont val="Calibri"/>
        <family val="2"/>
        <charset val="204"/>
      </rPr>
      <t>м</t>
    </r>
    <r>
      <rPr>
        <vertAlign val="superscript"/>
        <sz val="18"/>
        <color rgb="FF000000"/>
        <rFont val="Calibri"/>
        <family val="2"/>
        <charset val="204"/>
      </rPr>
      <t>2</t>
    </r>
  </si>
  <si>
    <t>3.3</t>
  </si>
  <si>
    <t>Оклейка стен обоями (толстые под покраску, ширина 1 м)</t>
  </si>
  <si>
    <r>
      <rPr>
        <sz val="18"/>
        <color rgb="FF000000"/>
        <rFont val="Calibri"/>
        <family val="2"/>
        <charset val="204"/>
      </rPr>
      <t>м</t>
    </r>
    <r>
      <rPr>
        <vertAlign val="superscript"/>
        <sz val="18"/>
        <color rgb="FF000000"/>
        <rFont val="Calibri"/>
        <family val="2"/>
        <charset val="204"/>
      </rPr>
      <t>2</t>
    </r>
  </si>
  <si>
    <t>3.4</t>
  </si>
  <si>
    <t>Стены окраска по обоям</t>
  </si>
  <si>
    <r>
      <rPr>
        <sz val="18"/>
        <color rgb="FF000000"/>
        <rFont val="Calibri"/>
        <family val="2"/>
        <charset val="204"/>
      </rPr>
      <t>м</t>
    </r>
    <r>
      <rPr>
        <vertAlign val="superscript"/>
        <sz val="18"/>
        <color rgb="FF000000"/>
        <rFont val="Calibri"/>
        <family val="2"/>
        <charset val="204"/>
      </rPr>
      <t>2</t>
    </r>
  </si>
  <si>
    <t>3.5</t>
  </si>
  <si>
    <t>Покраска стояков отопления</t>
  </si>
  <si>
    <t>3.6</t>
  </si>
  <si>
    <t>Проемы (откосы) подготовка под окрашивание</t>
  </si>
  <si>
    <t>3.7</t>
  </si>
  <si>
    <t>Проемы (откосы) покраска</t>
  </si>
  <si>
    <t>ИТОГО ЗА МАЛЯРНЫЕ РАБОТЫ:</t>
  </si>
  <si>
    <t>Прочие работы</t>
  </si>
  <si>
    <t>4. Плотницкие работы</t>
  </si>
  <si>
    <t>4.1</t>
  </si>
  <si>
    <r>
      <rPr>
        <sz val="18"/>
        <color rgb="FF000000"/>
        <rFont val="Calibri"/>
        <family val="2"/>
        <charset val="204"/>
      </rPr>
      <t>м</t>
    </r>
    <r>
      <rPr>
        <vertAlign val="superscript"/>
        <sz val="18"/>
        <color rgb="FF000000"/>
        <rFont val="Calibri"/>
        <family val="2"/>
        <charset val="204"/>
      </rPr>
      <t>2</t>
    </r>
  </si>
  <si>
    <t>4.2</t>
  </si>
  <si>
    <t>4.3</t>
  </si>
  <si>
    <r>
      <rPr>
        <sz val="18"/>
        <color rgb="FF000000"/>
        <rFont val="Calibri"/>
        <family val="2"/>
        <charset val="204"/>
      </rPr>
      <t>м</t>
    </r>
    <r>
      <rPr>
        <vertAlign val="superscript"/>
        <sz val="18"/>
        <color rgb="FF000000"/>
        <rFont val="Calibri"/>
        <family val="2"/>
        <charset val="204"/>
      </rPr>
      <t>2</t>
    </r>
  </si>
  <si>
    <t>4.4</t>
  </si>
  <si>
    <t>Установка лючка скрытого (под покраску, под плитку)</t>
  </si>
  <si>
    <t>4.5</t>
  </si>
  <si>
    <t>Монтаж ламината на подложку (прямой)</t>
  </si>
  <si>
    <r>
      <rPr>
        <sz val="18"/>
        <color rgb="FF000000"/>
        <rFont val="Calibri"/>
        <family val="2"/>
        <charset val="204"/>
      </rPr>
      <t>м</t>
    </r>
    <r>
      <rPr>
        <vertAlign val="superscript"/>
        <sz val="18"/>
        <color rgb="FF000000"/>
        <rFont val="Calibri"/>
        <family val="2"/>
        <charset val="204"/>
      </rPr>
      <t>2</t>
    </r>
  </si>
  <si>
    <t>4.7</t>
  </si>
  <si>
    <t>Монтаж плинтуса ПВХ</t>
  </si>
  <si>
    <t>4.8</t>
  </si>
  <si>
    <t>Монтаж стыковочного профиля пола (до 1200мм)</t>
  </si>
  <si>
    <t>ИТОГО ЗА ПЛОТНИЦКИЕ РАБОТЫ:</t>
  </si>
  <si>
    <t>5. Электромонтажные работы</t>
  </si>
  <si>
    <t>5.1</t>
  </si>
  <si>
    <t>Установка розеток / выключателей</t>
  </si>
  <si>
    <t>5.2</t>
  </si>
  <si>
    <t>Монтаж подрозетников в бетоне/кирпиче/пгп/гкл/блоках (со штроблением)</t>
  </si>
  <si>
    <t>5.3</t>
  </si>
  <si>
    <t>Разводка электрических линий (через потолок или пол)</t>
  </si>
  <si>
    <t>5.4</t>
  </si>
  <si>
    <t>Монтаж кабеля для электропитания конечных устройств (вентиляция, кондиционирование, освещение)</t>
  </si>
  <si>
    <t>5.5</t>
  </si>
  <si>
    <t>5.6</t>
  </si>
  <si>
    <t>Установка вентиляторов</t>
  </si>
  <si>
    <t>5.7</t>
  </si>
  <si>
    <t>Монтаж светильника настенного (без учета сборки)</t>
  </si>
  <si>
    <t>ИТОГО ЗА ЭЛЕКТРОМОНТАЖНЫЕ  РАБОТЫ:</t>
  </si>
  <si>
    <t>6. Сантехнические работы</t>
  </si>
  <si>
    <t>6.1</t>
  </si>
  <si>
    <t>6.2</t>
  </si>
  <si>
    <t>Установка накопительного водонагревателя</t>
  </si>
  <si>
    <t>6.3</t>
  </si>
  <si>
    <t>Установка системы защиты от протечек (до 5 датчиков)</t>
  </si>
  <si>
    <t>компл.</t>
  </si>
  <si>
    <t>6.5</t>
  </si>
  <si>
    <t>Монтаж ванны с учетом слива-перелива</t>
  </si>
  <si>
    <t>6.6</t>
  </si>
  <si>
    <t>Установка смесителя с душевой лейкой</t>
  </si>
  <si>
    <t>6.7</t>
  </si>
  <si>
    <t xml:space="preserve">Установка инсталляции </t>
  </si>
  <si>
    <t>6.8</t>
  </si>
  <si>
    <t>Установка унитаза подвесного</t>
  </si>
  <si>
    <t>6.9</t>
  </si>
  <si>
    <t>Установка раковины (с тумбой, без сборки или подвесной)</t>
  </si>
  <si>
    <t>6.10</t>
  </si>
  <si>
    <t>Установка сифона и слива раковины</t>
  </si>
  <si>
    <t>6.15</t>
  </si>
  <si>
    <t>Установка смесителя на раковины</t>
  </si>
  <si>
    <t>ИТОГО ЗА САНТЕХНИЧЕСКИЕ РАБОТЫ:</t>
  </si>
  <si>
    <t xml:space="preserve">ИТОГОВАЯ СТОИМОСТЬ РАБОТ:    </t>
  </si>
  <si>
    <t>Облицовка стен керамической плиткой (от 600*600мм до 300*300мм)</t>
  </si>
  <si>
    <t>м2</t>
  </si>
  <si>
    <t>Устройство стяжки по маякам до 20мм</t>
  </si>
  <si>
    <t xml:space="preserve">Подготовка существующего основания пола (очистка, грунтовка) </t>
  </si>
  <si>
    <t>Монтаж экрана из ГКЛ под ванну</t>
  </si>
  <si>
    <t>Укладка подложки под ламинат с проклейкой стыков</t>
  </si>
  <si>
    <t>мпог</t>
  </si>
  <si>
    <t>Монтаж КУП (коробка уравнивания потенциалов)</t>
  </si>
  <si>
    <t>Сборка вводного узла (грязевой фильтр, водосчетчик, фильтр тонкой очистки, коллектор) на холодную и горячую линии водоснабжения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</si>
</sst>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&quot;р.&quot;"/>
    <numFmt numFmtId="165" formatCode="#,##0&quot;р.&quot;;[Red]\-#,##0&quot;р.&quot;"/>
    <numFmt numFmtId="166" formatCode="#,##0&quot;р.&quot;"/>
  </numFmts>
  <fonts count="12" x14ac:knownFonts="1">
    <font>
      <sz val="11"/>
      <name val="Calibri"/>
      <scheme val="minor"/>
    </font>
    <font>
      <b/>
      <sz val="18"/>
      <color rgb="FF000000"/>
      <name val="Calibri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</font>
    <font>
      <b/>
      <sz val="18"/>
      <name val="Calibri"/>
      <family val="2"/>
      <charset val="204"/>
    </font>
    <font>
      <sz val="18"/>
      <name val="Calibri"/>
      <family val="2"/>
      <charset val="204"/>
    </font>
    <font>
      <sz val="18"/>
      <color rgb="FF000000"/>
      <name val="Calibri"/>
      <family val="2"/>
      <charset val="204"/>
    </font>
    <font>
      <sz val="18"/>
      <name val="Calibri"/>
      <family val="2"/>
      <charset val="204"/>
    </font>
    <font>
      <b/>
      <sz val="18"/>
      <name val="Calibri"/>
      <family val="2"/>
      <charset val="204"/>
    </font>
    <font>
      <b/>
      <sz val="10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  <font>
      <vertAlign val="superscript"/>
      <sz val="18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3" fillId="0" borderId="0" xfId="0" applyFont="1"/>
    <xf numFmtId="1" fontId="5" fillId="0" borderId="4" xfId="0" applyNumberFormat="1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4" fontId="4" fillId="0" borderId="4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5" fillId="0" borderId="4" xfId="0" quotePrefix="1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 wrapText="1"/>
    </xf>
    <xf numFmtId="2" fontId="5" fillId="0" borderId="4" xfId="0" applyNumberFormat="1" applyFont="1" applyBorder="1"/>
    <xf numFmtId="164" fontId="5" fillId="0" borderId="4" xfId="0" applyNumberFormat="1" applyFont="1" applyBorder="1"/>
    <xf numFmtId="0" fontId="5" fillId="0" borderId="4" xfId="0" applyFont="1" applyBorder="1" applyAlignment="1">
      <alignment vertical="top" wrapText="1"/>
    </xf>
    <xf numFmtId="0" fontId="6" fillId="0" borderId="4" xfId="0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right" vertical="center" wrapText="1"/>
    </xf>
    <xf numFmtId="16" fontId="5" fillId="0" borderId="4" xfId="0" quotePrefix="1" applyNumberFormat="1" applyFont="1" applyBorder="1" applyAlignment="1">
      <alignment vertical="center"/>
    </xf>
    <xf numFmtId="0" fontId="5" fillId="0" borderId="4" xfId="0" quotePrefix="1" applyFont="1" applyBorder="1"/>
    <xf numFmtId="4" fontId="5" fillId="0" borderId="4" xfId="0" applyNumberFormat="1" applyFont="1" applyBorder="1" applyAlignment="1">
      <alignment horizontal="right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wrapText="1"/>
    </xf>
    <xf numFmtId="164" fontId="5" fillId="0" borderId="4" xfId="0" applyNumberFormat="1" applyFont="1" applyBorder="1" applyAlignment="1">
      <alignment vertical="center" wrapText="1"/>
    </xf>
    <xf numFmtId="2" fontId="7" fillId="0" borderId="4" xfId="0" applyNumberFormat="1" applyFont="1" applyBorder="1"/>
    <xf numFmtId="0" fontId="5" fillId="0" borderId="5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4" xfId="0" quotePrefix="1" applyFont="1" applyBorder="1" applyAlignment="1">
      <alignment wrapText="1"/>
    </xf>
    <xf numFmtId="4" fontId="5" fillId="0" borderId="4" xfId="0" applyNumberFormat="1" applyFont="1" applyBorder="1" applyAlignment="1">
      <alignment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4" fontId="10" fillId="0" borderId="0" xfId="0" applyNumberFormat="1" applyFont="1"/>
    <xf numFmtId="164" fontId="4" fillId="0" borderId="1" xfId="0" applyNumberFormat="1" applyFont="1" applyBorder="1" applyAlignment="1">
      <alignment horizontal="right" vertical="center" wrapText="1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right" vertical="center" wrapText="1"/>
    </xf>
    <xf numFmtId="164" fontId="8" fillId="0" borderId="1" xfId="0" applyNumberFormat="1" applyFont="1" applyBorder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Font="1" applyAlignment="1"/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4"/>
  <sheetViews>
    <sheetView tabSelected="1" topLeftCell="A58" zoomScale="79" zoomScaleNormal="79" workbookViewId="0">
      <selection activeCell="D75" sqref="D75"/>
    </sheetView>
  </sheetViews>
  <sheetFormatPr defaultColWidth="12.6640625" defaultRowHeight="15" customHeight="1" x14ac:dyDescent="0.3"/>
  <cols>
    <col min="1" max="1" width="7.109375" customWidth="1"/>
    <col min="2" max="2" width="59.109375" customWidth="1"/>
    <col min="3" max="3" width="9.77734375" customWidth="1"/>
    <col min="4" max="4" width="16.21875" customWidth="1"/>
    <col min="5" max="5" width="15.109375" customWidth="1"/>
    <col min="6" max="6" width="17.109375" customWidth="1"/>
    <col min="7" max="7" width="29.88671875" customWidth="1"/>
    <col min="8" max="11" width="7.77734375" customWidth="1"/>
  </cols>
  <sheetData>
    <row r="1" spans="1:11" ht="14.4" x14ac:dyDescent="0.3">
      <c r="A1" s="41" t="s">
        <v>0</v>
      </c>
      <c r="B1" s="34"/>
      <c r="C1" s="34"/>
      <c r="D1" s="34"/>
      <c r="E1" s="34"/>
      <c r="F1" s="35"/>
      <c r="G1" s="1"/>
      <c r="H1" s="1"/>
      <c r="I1" s="1"/>
      <c r="J1" s="1"/>
      <c r="K1" s="1"/>
    </row>
    <row r="2" spans="1:11" ht="14.4" x14ac:dyDescent="0.3">
      <c r="A2" s="40" t="s">
        <v>1</v>
      </c>
      <c r="B2" s="34"/>
      <c r="C2" s="34"/>
      <c r="D2" s="34"/>
      <c r="E2" s="34"/>
      <c r="F2" s="35"/>
      <c r="G2" s="1"/>
      <c r="H2" s="1"/>
      <c r="I2" s="1"/>
      <c r="J2" s="1"/>
      <c r="K2" s="1"/>
    </row>
    <row r="3" spans="1:11" ht="13.5" customHeight="1" x14ac:dyDescent="0.3">
      <c r="A3" s="40" t="s">
        <v>2</v>
      </c>
      <c r="B3" s="34"/>
      <c r="C3" s="34"/>
      <c r="D3" s="34"/>
      <c r="E3" s="34"/>
      <c r="F3" s="35"/>
      <c r="G3" s="1"/>
      <c r="H3" s="1"/>
      <c r="I3" s="1"/>
      <c r="J3" s="1"/>
      <c r="K3" s="1"/>
    </row>
    <row r="4" spans="1:11" ht="70.2" x14ac:dyDescent="0.3">
      <c r="A4" s="2" t="s">
        <v>3</v>
      </c>
      <c r="B4" s="3" t="s">
        <v>4</v>
      </c>
      <c r="C4" s="3" t="s">
        <v>5</v>
      </c>
      <c r="D4" s="3" t="s">
        <v>6</v>
      </c>
      <c r="E4" s="4" t="s">
        <v>7</v>
      </c>
      <c r="F4" s="5" t="s">
        <v>8</v>
      </c>
      <c r="G4" s="1"/>
      <c r="H4" s="1"/>
      <c r="I4" s="1"/>
      <c r="J4" s="1"/>
      <c r="K4" s="1"/>
    </row>
    <row r="5" spans="1:11" ht="46.8" x14ac:dyDescent="0.45">
      <c r="A5" s="6" t="s">
        <v>9</v>
      </c>
      <c r="B5" s="7" t="s">
        <v>10</v>
      </c>
      <c r="C5" s="8" t="s">
        <v>11</v>
      </c>
      <c r="D5" s="9">
        <v>850</v>
      </c>
      <c r="E5" s="10">
        <f>113.8*0.9</f>
        <v>102.42</v>
      </c>
      <c r="F5" s="11">
        <f t="shared" ref="F5:F13" si="0">E5*D5</f>
        <v>87057</v>
      </c>
      <c r="G5" s="1"/>
      <c r="H5" s="1"/>
      <c r="I5" s="1"/>
      <c r="J5" s="1"/>
      <c r="K5" s="1"/>
    </row>
    <row r="6" spans="1:11" ht="46.8" x14ac:dyDescent="0.45">
      <c r="A6" s="6" t="s">
        <v>12</v>
      </c>
      <c r="B6" s="12" t="s">
        <v>13</v>
      </c>
      <c r="C6" s="13" t="s">
        <v>14</v>
      </c>
      <c r="D6" s="14">
        <v>850</v>
      </c>
      <c r="E6" s="10">
        <v>15</v>
      </c>
      <c r="F6" s="11">
        <f t="shared" si="0"/>
        <v>12750</v>
      </c>
      <c r="G6" s="1"/>
      <c r="H6" s="1"/>
      <c r="I6" s="1"/>
      <c r="J6" s="1"/>
      <c r="K6" s="1"/>
    </row>
    <row r="7" spans="1:11" ht="26.4" x14ac:dyDescent="0.45">
      <c r="A7" s="6" t="s">
        <v>15</v>
      </c>
      <c r="B7" s="12" t="s">
        <v>16</v>
      </c>
      <c r="C7" s="8" t="s">
        <v>17</v>
      </c>
      <c r="D7" s="14">
        <v>100</v>
      </c>
      <c r="E7" s="10">
        <f>E5+12</f>
        <v>114.42</v>
      </c>
      <c r="F7" s="11">
        <f t="shared" si="0"/>
        <v>11442</v>
      </c>
      <c r="G7" s="1"/>
      <c r="H7" s="1"/>
      <c r="I7" s="1"/>
      <c r="J7" s="1"/>
      <c r="K7" s="1"/>
    </row>
    <row r="8" spans="1:11" ht="23.4" x14ac:dyDescent="0.45">
      <c r="A8" s="6" t="s">
        <v>18</v>
      </c>
      <c r="B8" s="12" t="s">
        <v>19</v>
      </c>
      <c r="C8" s="8" t="s">
        <v>20</v>
      </c>
      <c r="D8" s="14">
        <v>3000</v>
      </c>
      <c r="E8" s="10">
        <v>1</v>
      </c>
      <c r="F8" s="11">
        <f t="shared" si="0"/>
        <v>3000</v>
      </c>
      <c r="G8" s="1"/>
      <c r="H8" s="1"/>
      <c r="I8" s="1"/>
      <c r="J8" s="1"/>
      <c r="K8" s="1"/>
    </row>
    <row r="9" spans="1:11" ht="44.4" customHeight="1" x14ac:dyDescent="0.45">
      <c r="A9" s="6" t="s">
        <v>21</v>
      </c>
      <c r="B9" s="12" t="s">
        <v>22</v>
      </c>
      <c r="C9" s="8" t="s">
        <v>129</v>
      </c>
      <c r="D9" s="14">
        <v>5</v>
      </c>
      <c r="E9" s="10">
        <v>850</v>
      </c>
      <c r="F9" s="11">
        <f t="shared" si="0"/>
        <v>4250</v>
      </c>
      <c r="G9" s="1"/>
      <c r="H9" s="1"/>
      <c r="I9" s="1"/>
      <c r="J9" s="1"/>
      <c r="K9" s="1"/>
    </row>
    <row r="10" spans="1:11" ht="23.4" x14ac:dyDescent="0.45">
      <c r="A10" s="6" t="s">
        <v>23</v>
      </c>
      <c r="B10" s="12" t="s">
        <v>24</v>
      </c>
      <c r="C10" s="8" t="s">
        <v>20</v>
      </c>
      <c r="D10" s="14">
        <v>1000</v>
      </c>
      <c r="E10" s="10">
        <v>2</v>
      </c>
      <c r="F10" s="11">
        <f t="shared" si="0"/>
        <v>2000</v>
      </c>
      <c r="G10" s="1"/>
      <c r="H10" s="1"/>
      <c r="I10" s="1"/>
      <c r="J10" s="1"/>
      <c r="K10" s="1"/>
    </row>
    <row r="11" spans="1:11" ht="46.8" x14ac:dyDescent="0.45">
      <c r="A11" s="6" t="s">
        <v>25</v>
      </c>
      <c r="B11" s="7" t="s">
        <v>26</v>
      </c>
      <c r="C11" s="8" t="s">
        <v>27</v>
      </c>
      <c r="D11" s="9">
        <v>2000</v>
      </c>
      <c r="E11" s="10">
        <v>1</v>
      </c>
      <c r="F11" s="11">
        <f t="shared" si="0"/>
        <v>2000</v>
      </c>
      <c r="G11" s="1"/>
      <c r="H11" s="1"/>
      <c r="I11" s="1"/>
      <c r="J11" s="1"/>
      <c r="K11" s="1"/>
    </row>
    <row r="12" spans="1:11" ht="26.4" x14ac:dyDescent="0.45">
      <c r="A12" s="6" t="s">
        <v>28</v>
      </c>
      <c r="B12" s="7" t="s">
        <v>29</v>
      </c>
      <c r="C12" s="8" t="s">
        <v>30</v>
      </c>
      <c r="D12" s="9">
        <v>400</v>
      </c>
      <c r="E12" s="10">
        <v>6</v>
      </c>
      <c r="F12" s="11">
        <f t="shared" si="0"/>
        <v>2400</v>
      </c>
      <c r="G12" s="1"/>
      <c r="H12" s="1"/>
      <c r="I12" s="1"/>
      <c r="J12" s="1"/>
      <c r="K12" s="1"/>
    </row>
    <row r="13" spans="1:11" ht="23.4" x14ac:dyDescent="0.45">
      <c r="A13" s="6" t="s">
        <v>31</v>
      </c>
      <c r="B13" s="15" t="s">
        <v>32</v>
      </c>
      <c r="C13" s="13" t="s">
        <v>14</v>
      </c>
      <c r="D13" s="9">
        <v>1800</v>
      </c>
      <c r="E13" s="10">
        <f>2.66+2.66+1.5</f>
        <v>6.82</v>
      </c>
      <c r="F13" s="11">
        <f t="shared" si="0"/>
        <v>12276</v>
      </c>
      <c r="G13" s="1"/>
      <c r="H13" s="1"/>
      <c r="I13" s="1"/>
      <c r="J13" s="1"/>
      <c r="K13" s="1"/>
    </row>
    <row r="14" spans="1:11" ht="23.4" x14ac:dyDescent="0.3">
      <c r="A14" s="2"/>
      <c r="B14" s="16" t="s">
        <v>33</v>
      </c>
      <c r="C14" s="33">
        <f>SUM(F5:F13)</f>
        <v>137175</v>
      </c>
      <c r="D14" s="34"/>
      <c r="E14" s="34"/>
      <c r="F14" s="35"/>
      <c r="G14" s="1"/>
      <c r="H14" s="1"/>
      <c r="I14" s="1"/>
      <c r="J14" s="1"/>
      <c r="K14" s="1"/>
    </row>
    <row r="15" spans="1:11" ht="14.4" x14ac:dyDescent="0.3">
      <c r="A15" s="40" t="s">
        <v>34</v>
      </c>
      <c r="B15" s="34"/>
      <c r="C15" s="34"/>
      <c r="D15" s="34"/>
      <c r="E15" s="34"/>
      <c r="F15" s="35"/>
      <c r="G15" s="1"/>
      <c r="H15" s="1"/>
      <c r="I15" s="1"/>
      <c r="J15" s="1"/>
      <c r="K15" s="1"/>
    </row>
    <row r="16" spans="1:11" ht="70.2" x14ac:dyDescent="0.3">
      <c r="A16" s="2" t="s">
        <v>3</v>
      </c>
      <c r="B16" s="3" t="s">
        <v>4</v>
      </c>
      <c r="C16" s="3" t="s">
        <v>5</v>
      </c>
      <c r="D16" s="3" t="s">
        <v>6</v>
      </c>
      <c r="E16" s="4" t="s">
        <v>7</v>
      </c>
      <c r="F16" s="5" t="s">
        <v>8</v>
      </c>
      <c r="G16" s="1"/>
      <c r="H16" s="1"/>
      <c r="I16" s="1"/>
      <c r="J16" s="1"/>
      <c r="K16" s="1"/>
    </row>
    <row r="17" spans="1:11" ht="70.2" x14ac:dyDescent="0.45">
      <c r="A17" s="17" t="s">
        <v>35</v>
      </c>
      <c r="B17" s="7" t="s">
        <v>123</v>
      </c>
      <c r="C17" s="8" t="s">
        <v>36</v>
      </c>
      <c r="D17" s="9">
        <v>3000</v>
      </c>
      <c r="E17" s="10">
        <v>8</v>
      </c>
      <c r="F17" s="11">
        <f t="shared" ref="F17:F21" si="1">E17*D17</f>
        <v>24000</v>
      </c>
      <c r="G17" s="1"/>
      <c r="H17" s="1"/>
      <c r="I17" s="1"/>
      <c r="J17" s="1"/>
      <c r="K17" s="1"/>
    </row>
    <row r="18" spans="1:11" ht="46.8" x14ac:dyDescent="0.45">
      <c r="A18" s="17" t="s">
        <v>37</v>
      </c>
      <c r="B18" s="7" t="s">
        <v>38</v>
      </c>
      <c r="C18" s="8" t="s">
        <v>39</v>
      </c>
      <c r="D18" s="9">
        <v>3000</v>
      </c>
      <c r="E18" s="10">
        <f>9.3+3.8+6.7</f>
        <v>19.8</v>
      </c>
      <c r="F18" s="11">
        <f t="shared" si="1"/>
        <v>59400</v>
      </c>
      <c r="G18" s="1"/>
      <c r="H18" s="1"/>
      <c r="I18" s="1"/>
      <c r="J18" s="1"/>
      <c r="K18" s="1"/>
    </row>
    <row r="19" spans="1:11" ht="46.8" x14ac:dyDescent="0.45">
      <c r="A19" s="17" t="s">
        <v>40</v>
      </c>
      <c r="B19" s="7" t="s">
        <v>41</v>
      </c>
      <c r="C19" s="8" t="s">
        <v>14</v>
      </c>
      <c r="D19" s="9">
        <v>600</v>
      </c>
      <c r="E19" s="10">
        <f>2.66*2+1.5</f>
        <v>6.82</v>
      </c>
      <c r="F19" s="11">
        <f t="shared" si="1"/>
        <v>4092</v>
      </c>
      <c r="G19" s="1"/>
      <c r="H19" s="1"/>
      <c r="I19" s="1"/>
      <c r="J19" s="1"/>
      <c r="K19" s="1"/>
    </row>
    <row r="20" spans="1:11" ht="46.8" x14ac:dyDescent="0.45">
      <c r="A20" s="17" t="s">
        <v>42</v>
      </c>
      <c r="B20" s="7" t="s">
        <v>43</v>
      </c>
      <c r="C20" s="8" t="s">
        <v>44</v>
      </c>
      <c r="D20" s="9">
        <v>400</v>
      </c>
      <c r="E20" s="10">
        <f>E18+E17+12</f>
        <v>39.799999999999997</v>
      </c>
      <c r="F20" s="11">
        <f t="shared" si="1"/>
        <v>15919.999999999998</v>
      </c>
      <c r="G20" s="1"/>
      <c r="H20" s="1"/>
      <c r="I20" s="1"/>
      <c r="J20" s="1"/>
      <c r="K20" s="1"/>
    </row>
    <row r="21" spans="1:11" ht="51" customHeight="1" x14ac:dyDescent="0.45">
      <c r="A21" s="17" t="s">
        <v>45</v>
      </c>
      <c r="B21" s="7" t="s">
        <v>46</v>
      </c>
      <c r="C21" s="8" t="s">
        <v>14</v>
      </c>
      <c r="D21" s="9">
        <v>2200</v>
      </c>
      <c r="E21" s="10">
        <f>2.66*2*2+1.5*2</f>
        <v>13.64</v>
      </c>
      <c r="F21" s="11">
        <f t="shared" si="1"/>
        <v>30008</v>
      </c>
      <c r="G21" s="1"/>
      <c r="H21" s="1"/>
      <c r="I21" s="1"/>
      <c r="J21" s="1"/>
      <c r="K21" s="1"/>
    </row>
    <row r="22" spans="1:11" ht="26.4" customHeight="1" x14ac:dyDescent="0.3">
      <c r="A22" s="2"/>
      <c r="B22" s="16" t="s">
        <v>47</v>
      </c>
      <c r="C22" s="33">
        <f>SUM(F17:F21)</f>
        <v>133420</v>
      </c>
      <c r="D22" s="34"/>
      <c r="E22" s="34"/>
      <c r="F22" s="35"/>
      <c r="G22" s="1"/>
      <c r="H22" s="1"/>
      <c r="I22" s="1"/>
      <c r="J22" s="1"/>
      <c r="K22" s="1"/>
    </row>
    <row r="23" spans="1:11" ht="15.75" customHeight="1" x14ac:dyDescent="0.3">
      <c r="A23" s="40" t="s">
        <v>48</v>
      </c>
      <c r="B23" s="34"/>
      <c r="C23" s="34"/>
      <c r="D23" s="34"/>
      <c r="E23" s="34"/>
      <c r="F23" s="35"/>
      <c r="G23" s="1"/>
      <c r="H23" s="1"/>
      <c r="I23" s="1"/>
      <c r="J23" s="1"/>
      <c r="K23" s="1"/>
    </row>
    <row r="24" spans="1:11" ht="27.6" customHeight="1" x14ac:dyDescent="0.3">
      <c r="A24" s="2" t="s">
        <v>3</v>
      </c>
      <c r="B24" s="3" t="s">
        <v>4</v>
      </c>
      <c r="C24" s="3" t="s">
        <v>5</v>
      </c>
      <c r="D24" s="3" t="s">
        <v>6</v>
      </c>
      <c r="E24" s="4" t="s">
        <v>7</v>
      </c>
      <c r="F24" s="5" t="s">
        <v>8</v>
      </c>
      <c r="G24" s="1"/>
      <c r="H24" s="1"/>
      <c r="I24" s="1"/>
      <c r="J24" s="1"/>
      <c r="K24" s="1"/>
    </row>
    <row r="25" spans="1:11" ht="25.2" customHeight="1" x14ac:dyDescent="0.45">
      <c r="A25" s="18" t="s">
        <v>49</v>
      </c>
      <c r="B25" s="7" t="s">
        <v>50</v>
      </c>
      <c r="C25" s="8" t="s">
        <v>51</v>
      </c>
      <c r="D25" s="9">
        <v>100</v>
      </c>
      <c r="E25" s="10">
        <f>E7-12</f>
        <v>102.42</v>
      </c>
      <c r="F25" s="11">
        <f t="shared" ref="F25:F31" si="2">E25*D25</f>
        <v>10242</v>
      </c>
      <c r="G25" s="1"/>
      <c r="H25" s="1"/>
      <c r="I25" s="1"/>
      <c r="J25" s="1"/>
      <c r="K25" s="1"/>
    </row>
    <row r="26" spans="1:11" ht="52.8" customHeight="1" x14ac:dyDescent="0.45">
      <c r="A26" s="18" t="s">
        <v>52</v>
      </c>
      <c r="B26" s="7" t="s">
        <v>53</v>
      </c>
      <c r="C26" s="8" t="s">
        <v>54</v>
      </c>
      <c r="D26" s="9">
        <v>540</v>
      </c>
      <c r="E26" s="10">
        <f>E25</f>
        <v>102.42</v>
      </c>
      <c r="F26" s="11">
        <f t="shared" si="2"/>
        <v>55306.8</v>
      </c>
      <c r="G26" s="1"/>
      <c r="H26" s="1"/>
      <c r="I26" s="1"/>
      <c r="J26" s="1"/>
      <c r="K26" s="1"/>
    </row>
    <row r="27" spans="1:11" ht="46.2" customHeight="1" x14ac:dyDescent="0.45">
      <c r="A27" s="18" t="s">
        <v>55</v>
      </c>
      <c r="B27" s="7" t="s">
        <v>56</v>
      </c>
      <c r="C27" s="8" t="s">
        <v>57</v>
      </c>
      <c r="D27" s="9">
        <v>700</v>
      </c>
      <c r="E27" s="10">
        <f>E26/0.9</f>
        <v>113.8</v>
      </c>
      <c r="F27" s="11">
        <f t="shared" si="2"/>
        <v>79660</v>
      </c>
      <c r="G27" s="1"/>
      <c r="H27" s="1"/>
      <c r="I27" s="1"/>
      <c r="J27" s="1"/>
      <c r="K27" s="1"/>
    </row>
    <row r="28" spans="1:11" ht="30" customHeight="1" x14ac:dyDescent="0.45">
      <c r="A28" s="18" t="s">
        <v>58</v>
      </c>
      <c r="B28" s="7" t="s">
        <v>59</v>
      </c>
      <c r="C28" s="8" t="s">
        <v>60</v>
      </c>
      <c r="D28" s="9">
        <v>300</v>
      </c>
      <c r="E28" s="10">
        <f>E26</f>
        <v>102.42</v>
      </c>
      <c r="F28" s="11">
        <f t="shared" si="2"/>
        <v>30726</v>
      </c>
      <c r="G28" s="1"/>
      <c r="H28" s="1"/>
      <c r="I28" s="1"/>
      <c r="J28" s="1"/>
      <c r="K28" s="1"/>
    </row>
    <row r="29" spans="1:11" ht="29.4" customHeight="1" x14ac:dyDescent="0.45">
      <c r="A29" s="18" t="s">
        <v>61</v>
      </c>
      <c r="B29" s="7" t="s">
        <v>62</v>
      </c>
      <c r="C29" s="8" t="s">
        <v>20</v>
      </c>
      <c r="D29" s="9">
        <v>1000</v>
      </c>
      <c r="E29" s="10">
        <v>2</v>
      </c>
      <c r="F29" s="11">
        <f t="shared" si="2"/>
        <v>2000</v>
      </c>
      <c r="G29" s="1"/>
      <c r="H29" s="1"/>
      <c r="I29" s="1"/>
      <c r="J29" s="1"/>
      <c r="K29" s="1"/>
    </row>
    <row r="30" spans="1:11" ht="52.2" customHeight="1" x14ac:dyDescent="0.45">
      <c r="A30" s="18" t="s">
        <v>63</v>
      </c>
      <c r="B30" s="7" t="s">
        <v>64</v>
      </c>
      <c r="C30" s="8" t="s">
        <v>14</v>
      </c>
      <c r="D30" s="9">
        <v>1100</v>
      </c>
      <c r="E30" s="10">
        <f>E6</f>
        <v>15</v>
      </c>
      <c r="F30" s="11">
        <f t="shared" si="2"/>
        <v>16500</v>
      </c>
      <c r="G30" s="1"/>
      <c r="H30" s="1"/>
      <c r="I30" s="1"/>
      <c r="J30" s="1"/>
      <c r="K30" s="1"/>
    </row>
    <row r="31" spans="1:11" ht="36.6" customHeight="1" x14ac:dyDescent="0.45">
      <c r="A31" s="18" t="s">
        <v>65</v>
      </c>
      <c r="B31" s="7" t="s">
        <v>66</v>
      </c>
      <c r="C31" s="8" t="s">
        <v>14</v>
      </c>
      <c r="D31" s="9">
        <v>300</v>
      </c>
      <c r="E31" s="10">
        <f>E30</f>
        <v>15</v>
      </c>
      <c r="F31" s="11">
        <f t="shared" si="2"/>
        <v>4500</v>
      </c>
      <c r="G31" s="1"/>
      <c r="H31" s="1"/>
      <c r="I31" s="1"/>
      <c r="J31" s="1"/>
      <c r="K31" s="1"/>
    </row>
    <row r="32" spans="1:11" ht="27" customHeight="1" x14ac:dyDescent="0.3">
      <c r="A32" s="2"/>
      <c r="B32" s="16" t="s">
        <v>67</v>
      </c>
      <c r="C32" s="33">
        <f>SUM(F25:F31)</f>
        <v>198934.8</v>
      </c>
      <c r="D32" s="34"/>
      <c r="E32" s="34"/>
      <c r="F32" s="35"/>
      <c r="G32" s="1"/>
      <c r="H32" s="1"/>
      <c r="I32" s="1"/>
      <c r="J32" s="1"/>
      <c r="K32" s="1"/>
    </row>
    <row r="33" spans="1:11" ht="15.75" customHeight="1" x14ac:dyDescent="0.3">
      <c r="A33" s="40" t="s">
        <v>68</v>
      </c>
      <c r="B33" s="34"/>
      <c r="C33" s="34"/>
      <c r="D33" s="34"/>
      <c r="E33" s="34"/>
      <c r="F33" s="35"/>
      <c r="G33" s="1"/>
      <c r="H33" s="1"/>
      <c r="I33" s="1"/>
      <c r="J33" s="1"/>
      <c r="K33" s="1"/>
    </row>
    <row r="34" spans="1:11" ht="15.75" customHeight="1" x14ac:dyDescent="0.3">
      <c r="A34" s="40" t="s">
        <v>69</v>
      </c>
      <c r="B34" s="34"/>
      <c r="C34" s="34"/>
      <c r="D34" s="34"/>
      <c r="E34" s="34"/>
      <c r="F34" s="35"/>
      <c r="G34" s="1"/>
      <c r="H34" s="1"/>
      <c r="I34" s="1"/>
      <c r="J34" s="1"/>
      <c r="K34" s="1"/>
    </row>
    <row r="35" spans="1:11" ht="15.75" customHeight="1" x14ac:dyDescent="0.3">
      <c r="A35" s="2" t="s">
        <v>3</v>
      </c>
      <c r="B35" s="3" t="s">
        <v>4</v>
      </c>
      <c r="C35" s="3" t="s">
        <v>5</v>
      </c>
      <c r="D35" s="3" t="s">
        <v>6</v>
      </c>
      <c r="E35" s="4" t="s">
        <v>7</v>
      </c>
      <c r="F35" s="5" t="s">
        <v>8</v>
      </c>
      <c r="G35" s="1"/>
      <c r="H35" s="1"/>
      <c r="I35" s="1"/>
      <c r="J35" s="1"/>
      <c r="K35" s="1"/>
    </row>
    <row r="36" spans="1:11" ht="46.8" x14ac:dyDescent="0.45">
      <c r="A36" s="18" t="s">
        <v>70</v>
      </c>
      <c r="B36" s="15" t="s">
        <v>126</v>
      </c>
      <c r="C36" s="8" t="s">
        <v>71</v>
      </c>
      <c r="D36" s="14">
        <v>140</v>
      </c>
      <c r="E36" s="19">
        <f>17.7+E18</f>
        <v>37.5</v>
      </c>
      <c r="F36" s="20">
        <f t="shared" ref="F36:F43" si="3">E36*D36</f>
        <v>5250</v>
      </c>
      <c r="G36" s="1"/>
      <c r="H36" s="1"/>
      <c r="I36" s="1"/>
      <c r="J36" s="1"/>
      <c r="K36" s="1"/>
    </row>
    <row r="37" spans="1:11" ht="23.4" x14ac:dyDescent="0.45">
      <c r="A37" s="18"/>
      <c r="B37" s="15" t="s">
        <v>125</v>
      </c>
      <c r="C37" s="8" t="s">
        <v>124</v>
      </c>
      <c r="D37" s="14">
        <v>800</v>
      </c>
      <c r="E37" s="19">
        <v>37.5</v>
      </c>
      <c r="F37" s="20">
        <f t="shared" si="3"/>
        <v>30000</v>
      </c>
      <c r="G37" s="1"/>
      <c r="H37" s="1"/>
      <c r="I37" s="1"/>
      <c r="J37" s="1"/>
      <c r="K37" s="1"/>
    </row>
    <row r="38" spans="1:11" ht="23.4" x14ac:dyDescent="0.45">
      <c r="A38" s="18" t="s">
        <v>72</v>
      </c>
      <c r="B38" s="15" t="s">
        <v>127</v>
      </c>
      <c r="C38" s="8" t="s">
        <v>20</v>
      </c>
      <c r="D38" s="14">
        <v>3500</v>
      </c>
      <c r="E38" s="19">
        <v>1</v>
      </c>
      <c r="F38" s="20">
        <f t="shared" si="3"/>
        <v>3500</v>
      </c>
      <c r="G38" s="1"/>
      <c r="H38" s="1"/>
      <c r="I38" s="1"/>
      <c r="J38" s="1"/>
      <c r="K38" s="1"/>
    </row>
    <row r="39" spans="1:11" ht="46.8" x14ac:dyDescent="0.45">
      <c r="A39" s="18" t="s">
        <v>73</v>
      </c>
      <c r="B39" s="15" t="s">
        <v>128</v>
      </c>
      <c r="C39" s="8" t="s">
        <v>74</v>
      </c>
      <c r="D39" s="14">
        <v>160</v>
      </c>
      <c r="E39" s="19">
        <f>E41</f>
        <v>17.7</v>
      </c>
      <c r="F39" s="20">
        <f t="shared" si="3"/>
        <v>2832</v>
      </c>
      <c r="G39" s="1"/>
      <c r="H39" s="1"/>
      <c r="I39" s="1"/>
      <c r="J39" s="1"/>
      <c r="K39" s="1"/>
    </row>
    <row r="40" spans="1:11" ht="46.8" x14ac:dyDescent="0.45">
      <c r="A40" s="18" t="s">
        <v>75</v>
      </c>
      <c r="B40" s="15" t="s">
        <v>76</v>
      </c>
      <c r="C40" s="21" t="s">
        <v>20</v>
      </c>
      <c r="D40" s="14">
        <v>2500</v>
      </c>
      <c r="E40" s="19">
        <v>1</v>
      </c>
      <c r="F40" s="20">
        <f t="shared" si="3"/>
        <v>2500</v>
      </c>
      <c r="G40" s="1"/>
      <c r="H40" s="1"/>
      <c r="I40" s="1"/>
      <c r="J40" s="1"/>
      <c r="K40" s="1"/>
    </row>
    <row r="41" spans="1:11" ht="46.8" x14ac:dyDescent="0.45">
      <c r="A41" s="18" t="s">
        <v>77</v>
      </c>
      <c r="B41" s="22" t="s">
        <v>78</v>
      </c>
      <c r="C41" s="8" t="s">
        <v>79</v>
      </c>
      <c r="D41" s="14">
        <v>750</v>
      </c>
      <c r="E41" s="19">
        <f>E36-E18</f>
        <v>17.7</v>
      </c>
      <c r="F41" s="20">
        <f t="shared" si="3"/>
        <v>13275</v>
      </c>
      <c r="G41" s="1"/>
      <c r="H41" s="1"/>
      <c r="I41" s="1"/>
      <c r="J41" s="1"/>
      <c r="K41" s="1"/>
    </row>
    <row r="42" spans="1:11" ht="23.4" x14ac:dyDescent="0.45">
      <c r="A42" s="18" t="s">
        <v>80</v>
      </c>
      <c r="B42" s="7" t="s">
        <v>81</v>
      </c>
      <c r="C42" s="13" t="s">
        <v>14</v>
      </c>
      <c r="D42" s="9">
        <v>340</v>
      </c>
      <c r="E42" s="10">
        <v>30</v>
      </c>
      <c r="F42" s="20">
        <f t="shared" si="3"/>
        <v>10200</v>
      </c>
      <c r="G42" s="1"/>
      <c r="H42" s="1"/>
      <c r="I42" s="1"/>
      <c r="J42" s="1"/>
      <c r="K42" s="1"/>
    </row>
    <row r="43" spans="1:11" ht="46.8" x14ac:dyDescent="0.45">
      <c r="A43" s="18" t="s">
        <v>82</v>
      </c>
      <c r="B43" s="12" t="s">
        <v>83</v>
      </c>
      <c r="C43" s="13" t="s">
        <v>20</v>
      </c>
      <c r="D43" s="14">
        <v>1200</v>
      </c>
      <c r="E43" s="19">
        <v>1</v>
      </c>
      <c r="F43" s="20">
        <f t="shared" si="3"/>
        <v>1200</v>
      </c>
      <c r="G43" s="1"/>
      <c r="H43" s="1"/>
      <c r="I43" s="1"/>
      <c r="J43" s="1"/>
      <c r="K43" s="1"/>
    </row>
    <row r="44" spans="1:11" ht="24" customHeight="1" x14ac:dyDescent="0.3">
      <c r="A44" s="2"/>
      <c r="B44" s="16" t="s">
        <v>84</v>
      </c>
      <c r="C44" s="33">
        <f>SUM(F36:F43)</f>
        <v>68757</v>
      </c>
      <c r="D44" s="34"/>
      <c r="E44" s="34"/>
      <c r="F44" s="35"/>
      <c r="G44" s="1"/>
      <c r="H44" s="1"/>
      <c r="I44" s="1"/>
      <c r="J44" s="1"/>
      <c r="K44" s="1"/>
    </row>
    <row r="45" spans="1:11" ht="22.2" customHeight="1" x14ac:dyDescent="0.3">
      <c r="A45" s="40" t="s">
        <v>85</v>
      </c>
      <c r="B45" s="34"/>
      <c r="C45" s="34"/>
      <c r="D45" s="34"/>
      <c r="E45" s="34"/>
      <c r="F45" s="35"/>
      <c r="G45" s="1"/>
      <c r="H45" s="1"/>
      <c r="I45" s="1"/>
      <c r="J45" s="1"/>
      <c r="K45" s="1"/>
    </row>
    <row r="46" spans="1:11" ht="46.8" x14ac:dyDescent="0.3">
      <c r="A46" s="2" t="s">
        <v>3</v>
      </c>
      <c r="B46" s="3" t="s">
        <v>4</v>
      </c>
      <c r="C46" s="3" t="s">
        <v>5</v>
      </c>
      <c r="D46" s="3" t="s">
        <v>6</v>
      </c>
      <c r="E46" s="4" t="s">
        <v>7</v>
      </c>
      <c r="F46" s="5" t="s">
        <v>8</v>
      </c>
      <c r="G46" s="1"/>
      <c r="H46" s="1"/>
      <c r="I46" s="1"/>
      <c r="J46" s="1"/>
      <c r="K46" s="1"/>
    </row>
    <row r="47" spans="1:11" ht="23.4" x14ac:dyDescent="0.45">
      <c r="A47" s="18" t="s">
        <v>86</v>
      </c>
      <c r="B47" s="7" t="s">
        <v>87</v>
      </c>
      <c r="C47" s="8" t="s">
        <v>20</v>
      </c>
      <c r="D47" s="9">
        <v>560</v>
      </c>
      <c r="E47" s="10">
        <v>30</v>
      </c>
      <c r="F47" s="23">
        <f t="shared" ref="F47:F53" si="4">E47*D47</f>
        <v>16800</v>
      </c>
      <c r="G47" s="1"/>
      <c r="H47" s="1"/>
      <c r="I47" s="1"/>
      <c r="J47" s="1"/>
      <c r="K47" s="1"/>
    </row>
    <row r="48" spans="1:11" ht="70.2" x14ac:dyDescent="0.45">
      <c r="A48" s="18" t="s">
        <v>88</v>
      </c>
      <c r="B48" s="7" t="s">
        <v>89</v>
      </c>
      <c r="C48" s="8" t="s">
        <v>20</v>
      </c>
      <c r="D48" s="9">
        <v>600</v>
      </c>
      <c r="E48" s="10">
        <v>2</v>
      </c>
      <c r="F48" s="23">
        <f t="shared" si="4"/>
        <v>1200</v>
      </c>
      <c r="G48" s="1"/>
      <c r="H48" s="1"/>
      <c r="I48" s="1"/>
      <c r="J48" s="1"/>
      <c r="K48" s="1"/>
    </row>
    <row r="49" spans="1:11" ht="46.8" x14ac:dyDescent="0.45">
      <c r="A49" s="18" t="s">
        <v>90</v>
      </c>
      <c r="B49" s="7" t="s">
        <v>91</v>
      </c>
      <c r="C49" s="8" t="s">
        <v>129</v>
      </c>
      <c r="D49" s="9">
        <v>240</v>
      </c>
      <c r="E49" s="10">
        <v>30</v>
      </c>
      <c r="F49" s="23">
        <f t="shared" si="4"/>
        <v>7200</v>
      </c>
      <c r="G49" s="1"/>
      <c r="H49" s="1"/>
      <c r="I49" s="1"/>
      <c r="J49" s="1"/>
      <c r="K49" s="1"/>
    </row>
    <row r="50" spans="1:11" ht="70.2" x14ac:dyDescent="0.45">
      <c r="A50" s="18" t="s">
        <v>92</v>
      </c>
      <c r="B50" s="7" t="s">
        <v>93</v>
      </c>
      <c r="C50" s="8" t="s">
        <v>129</v>
      </c>
      <c r="D50" s="9">
        <v>150</v>
      </c>
      <c r="E50" s="10">
        <v>10</v>
      </c>
      <c r="F50" s="23">
        <f t="shared" si="4"/>
        <v>1500</v>
      </c>
      <c r="G50" s="1"/>
      <c r="H50" s="1"/>
      <c r="I50" s="1"/>
      <c r="J50" s="1"/>
      <c r="K50" s="1"/>
    </row>
    <row r="51" spans="1:11" ht="46.8" x14ac:dyDescent="0.45">
      <c r="A51" s="18" t="s">
        <v>94</v>
      </c>
      <c r="B51" s="7" t="s">
        <v>130</v>
      </c>
      <c r="C51" s="13" t="s">
        <v>20</v>
      </c>
      <c r="D51" s="9">
        <v>4000</v>
      </c>
      <c r="E51" s="24">
        <v>1</v>
      </c>
      <c r="F51" s="23">
        <f t="shared" si="4"/>
        <v>4000</v>
      </c>
      <c r="G51" s="1"/>
      <c r="H51" s="1"/>
      <c r="I51" s="1"/>
      <c r="J51" s="1"/>
      <c r="K51" s="1"/>
    </row>
    <row r="52" spans="1:11" ht="23.4" x14ac:dyDescent="0.45">
      <c r="A52" s="18" t="s">
        <v>95</v>
      </c>
      <c r="B52" s="7" t="s">
        <v>96</v>
      </c>
      <c r="C52" s="8" t="s">
        <v>20</v>
      </c>
      <c r="D52" s="9">
        <v>1500</v>
      </c>
      <c r="E52" s="10">
        <v>1</v>
      </c>
      <c r="F52" s="23">
        <f t="shared" si="4"/>
        <v>1500</v>
      </c>
      <c r="G52" s="1"/>
      <c r="H52" s="1"/>
      <c r="I52" s="1"/>
      <c r="J52" s="1"/>
      <c r="K52" s="1"/>
    </row>
    <row r="53" spans="1:11" ht="46.8" x14ac:dyDescent="0.45">
      <c r="A53" s="18" t="s">
        <v>97</v>
      </c>
      <c r="B53" s="25" t="s">
        <v>98</v>
      </c>
      <c r="C53" s="26" t="s">
        <v>20</v>
      </c>
      <c r="D53" s="9">
        <v>1500</v>
      </c>
      <c r="E53" s="10">
        <v>0</v>
      </c>
      <c r="F53" s="23">
        <f t="shared" si="4"/>
        <v>0</v>
      </c>
      <c r="G53" s="1"/>
      <c r="H53" s="1"/>
      <c r="I53" s="1"/>
      <c r="J53" s="1"/>
      <c r="K53" s="1"/>
    </row>
    <row r="54" spans="1:11" ht="46.8" x14ac:dyDescent="0.3">
      <c r="A54" s="2"/>
      <c r="B54" s="16" t="s">
        <v>99</v>
      </c>
      <c r="C54" s="33">
        <f>SUM(F47:F53)</f>
        <v>32200</v>
      </c>
      <c r="D54" s="34"/>
      <c r="E54" s="34"/>
      <c r="F54" s="35"/>
      <c r="G54" s="1"/>
      <c r="H54" s="1"/>
      <c r="I54" s="1"/>
      <c r="J54" s="1"/>
      <c r="K54" s="1"/>
    </row>
    <row r="55" spans="1:11" ht="23.4" customHeight="1" x14ac:dyDescent="0.3">
      <c r="A55" s="40" t="s">
        <v>100</v>
      </c>
      <c r="B55" s="34"/>
      <c r="C55" s="34"/>
      <c r="D55" s="34"/>
      <c r="E55" s="34"/>
      <c r="F55" s="35"/>
      <c r="G55" s="1"/>
      <c r="H55" s="1"/>
      <c r="I55" s="1"/>
      <c r="J55" s="1"/>
      <c r="K55" s="1"/>
    </row>
    <row r="56" spans="1:11" ht="46.8" x14ac:dyDescent="0.3">
      <c r="A56" s="2" t="s">
        <v>3</v>
      </c>
      <c r="B56" s="3" t="s">
        <v>4</v>
      </c>
      <c r="C56" s="3" t="s">
        <v>5</v>
      </c>
      <c r="D56" s="3" t="s">
        <v>6</v>
      </c>
      <c r="E56" s="4" t="s">
        <v>7</v>
      </c>
      <c r="F56" s="5" t="s">
        <v>8</v>
      </c>
      <c r="G56" s="1"/>
      <c r="H56" s="1"/>
      <c r="I56" s="1"/>
      <c r="J56" s="1"/>
      <c r="K56" s="1"/>
    </row>
    <row r="57" spans="1:11" ht="106.8" customHeight="1" x14ac:dyDescent="0.45">
      <c r="A57" s="27" t="s">
        <v>101</v>
      </c>
      <c r="B57" s="7" t="s">
        <v>131</v>
      </c>
      <c r="C57" s="8" t="s">
        <v>20</v>
      </c>
      <c r="D57" s="9">
        <v>18000</v>
      </c>
      <c r="E57" s="28">
        <v>1</v>
      </c>
      <c r="F57" s="23">
        <f t="shared" ref="F57:F66" si="5">E57*D57</f>
        <v>18000</v>
      </c>
      <c r="G57" s="1"/>
      <c r="H57" s="1"/>
      <c r="I57" s="1"/>
      <c r="J57" s="1"/>
      <c r="K57" s="1"/>
    </row>
    <row r="58" spans="1:11" ht="46.8" x14ac:dyDescent="0.45">
      <c r="A58" s="27" t="s">
        <v>102</v>
      </c>
      <c r="B58" s="7" t="s">
        <v>103</v>
      </c>
      <c r="C58" s="8" t="s">
        <v>20</v>
      </c>
      <c r="D58" s="9">
        <v>3500</v>
      </c>
      <c r="E58" s="28">
        <v>1</v>
      </c>
      <c r="F58" s="23">
        <f t="shared" si="5"/>
        <v>3500</v>
      </c>
      <c r="G58" s="1"/>
      <c r="H58" s="1"/>
      <c r="I58" s="1"/>
      <c r="J58" s="1"/>
      <c r="K58" s="1"/>
    </row>
    <row r="59" spans="1:11" ht="46.8" x14ac:dyDescent="0.45">
      <c r="A59" s="27" t="s">
        <v>104</v>
      </c>
      <c r="B59" s="7" t="s">
        <v>105</v>
      </c>
      <c r="C59" s="8" t="s">
        <v>106</v>
      </c>
      <c r="D59" s="9">
        <v>5000</v>
      </c>
      <c r="E59" s="28">
        <v>1</v>
      </c>
      <c r="F59" s="23">
        <f t="shared" si="5"/>
        <v>5000</v>
      </c>
      <c r="G59" s="1"/>
      <c r="H59" s="1"/>
      <c r="I59" s="1"/>
      <c r="J59" s="1"/>
      <c r="K59" s="1"/>
    </row>
    <row r="60" spans="1:11" ht="46.8" x14ac:dyDescent="0.45">
      <c r="A60" s="27" t="s">
        <v>107</v>
      </c>
      <c r="B60" s="7" t="s">
        <v>108</v>
      </c>
      <c r="C60" s="8" t="s">
        <v>20</v>
      </c>
      <c r="D60" s="9">
        <v>4500</v>
      </c>
      <c r="E60" s="28">
        <v>1</v>
      </c>
      <c r="F60" s="23">
        <f t="shared" si="5"/>
        <v>4500</v>
      </c>
      <c r="G60" s="1"/>
      <c r="H60" s="1"/>
      <c r="I60" s="1"/>
      <c r="J60" s="1"/>
      <c r="K60" s="1"/>
    </row>
    <row r="61" spans="1:11" ht="46.8" x14ac:dyDescent="0.45">
      <c r="A61" s="27" t="s">
        <v>109</v>
      </c>
      <c r="B61" s="7" t="s">
        <v>110</v>
      </c>
      <c r="C61" s="8" t="s">
        <v>20</v>
      </c>
      <c r="D61" s="9">
        <v>2500</v>
      </c>
      <c r="E61" s="28">
        <v>1</v>
      </c>
      <c r="F61" s="23">
        <f t="shared" si="5"/>
        <v>2500</v>
      </c>
      <c r="G61" s="1"/>
      <c r="H61" s="1"/>
      <c r="I61" s="1"/>
      <c r="J61" s="1"/>
      <c r="K61" s="1"/>
    </row>
    <row r="62" spans="1:11" ht="23.4" x14ac:dyDescent="0.45">
      <c r="A62" s="27" t="s">
        <v>111</v>
      </c>
      <c r="B62" s="12" t="s">
        <v>112</v>
      </c>
      <c r="C62" s="8" t="s">
        <v>20</v>
      </c>
      <c r="D62" s="9">
        <v>11000</v>
      </c>
      <c r="E62" s="28">
        <v>1</v>
      </c>
      <c r="F62" s="23">
        <f t="shared" si="5"/>
        <v>11000</v>
      </c>
      <c r="G62" s="1"/>
      <c r="H62" s="1"/>
      <c r="I62" s="1"/>
      <c r="J62" s="1"/>
      <c r="K62" s="1"/>
    </row>
    <row r="63" spans="1:11" ht="23.4" x14ac:dyDescent="0.45">
      <c r="A63" s="27" t="s">
        <v>113</v>
      </c>
      <c r="B63" s="12" t="s">
        <v>114</v>
      </c>
      <c r="C63" s="8" t="s">
        <v>20</v>
      </c>
      <c r="D63" s="9">
        <v>3500</v>
      </c>
      <c r="E63" s="28">
        <v>1</v>
      </c>
      <c r="F63" s="23">
        <f t="shared" si="5"/>
        <v>3500</v>
      </c>
      <c r="G63" s="1"/>
      <c r="H63" s="1"/>
      <c r="I63" s="1"/>
      <c r="J63" s="1"/>
      <c r="K63" s="1"/>
    </row>
    <row r="64" spans="1:11" ht="46.8" x14ac:dyDescent="0.45">
      <c r="A64" s="27" t="s">
        <v>115</v>
      </c>
      <c r="B64" s="7" t="s">
        <v>116</v>
      </c>
      <c r="C64" s="8" t="s">
        <v>20</v>
      </c>
      <c r="D64" s="29">
        <v>4000</v>
      </c>
      <c r="E64" s="28">
        <v>1</v>
      </c>
      <c r="F64" s="23">
        <f t="shared" si="5"/>
        <v>4000</v>
      </c>
      <c r="G64" s="1"/>
      <c r="H64" s="1"/>
      <c r="I64" s="1"/>
      <c r="J64" s="1"/>
      <c r="K64" s="1"/>
    </row>
    <row r="65" spans="1:11" ht="23.4" x14ac:dyDescent="0.45">
      <c r="A65" s="27" t="s">
        <v>117</v>
      </c>
      <c r="B65" s="7" t="s">
        <v>118</v>
      </c>
      <c r="C65" s="8" t="s">
        <v>20</v>
      </c>
      <c r="D65" s="29">
        <v>1500</v>
      </c>
      <c r="E65" s="28">
        <v>1</v>
      </c>
      <c r="F65" s="23">
        <f t="shared" si="5"/>
        <v>1500</v>
      </c>
      <c r="G65" s="1"/>
      <c r="H65" s="1"/>
      <c r="I65" s="1"/>
      <c r="J65" s="1"/>
      <c r="K65" s="1"/>
    </row>
    <row r="66" spans="1:11" ht="23.4" x14ac:dyDescent="0.45">
      <c r="A66" s="27" t="s">
        <v>119</v>
      </c>
      <c r="B66" s="7" t="s">
        <v>120</v>
      </c>
      <c r="C66" s="8" t="s">
        <v>20</v>
      </c>
      <c r="D66" s="29">
        <v>1500</v>
      </c>
      <c r="E66" s="28">
        <v>1</v>
      </c>
      <c r="F66" s="23">
        <f t="shared" si="5"/>
        <v>1500</v>
      </c>
      <c r="G66" s="1"/>
      <c r="H66" s="1"/>
      <c r="I66" s="1"/>
      <c r="J66" s="1"/>
      <c r="K66" s="1"/>
    </row>
    <row r="67" spans="1:11" ht="23.4" x14ac:dyDescent="0.45">
      <c r="A67" s="22"/>
      <c r="B67" s="16" t="s">
        <v>121</v>
      </c>
      <c r="C67" s="33">
        <f>SUM(F57:F66)</f>
        <v>55000</v>
      </c>
      <c r="D67" s="34"/>
      <c r="E67" s="34"/>
      <c r="F67" s="35"/>
      <c r="G67" s="1"/>
      <c r="H67" s="1"/>
      <c r="I67" s="1"/>
      <c r="J67" s="1"/>
      <c r="K67" s="1"/>
    </row>
    <row r="68" spans="1:11" ht="28.8" customHeight="1" x14ac:dyDescent="0.3">
      <c r="A68" s="36" t="s">
        <v>122</v>
      </c>
      <c r="B68" s="35"/>
      <c r="C68" s="37">
        <f>C67+C54+C44+C32+C22+C14</f>
        <v>625486.80000000005</v>
      </c>
      <c r="D68" s="34"/>
      <c r="E68" s="34"/>
      <c r="F68" s="35"/>
      <c r="G68" s="1"/>
      <c r="H68" s="1"/>
      <c r="I68" s="1"/>
      <c r="J68" s="1"/>
      <c r="K68" s="1"/>
    </row>
    <row r="69" spans="1:11" ht="15.75" customHeight="1" x14ac:dyDescent="0.3">
      <c r="A69" s="38"/>
      <c r="B69" s="39"/>
      <c r="C69" s="39"/>
      <c r="D69" s="39"/>
      <c r="E69" s="39"/>
      <c r="F69" s="39"/>
      <c r="G69" s="1"/>
      <c r="H69" s="1"/>
      <c r="I69" s="1"/>
      <c r="J69" s="1"/>
      <c r="K69" s="1"/>
    </row>
    <row r="70" spans="1:11" ht="56.25" customHeight="1" x14ac:dyDescent="0.3">
      <c r="A70" s="39"/>
      <c r="B70" s="39"/>
      <c r="C70" s="39"/>
      <c r="D70" s="39"/>
      <c r="E70" s="39"/>
      <c r="F70" s="39"/>
      <c r="G70" s="1"/>
      <c r="H70" s="1"/>
      <c r="I70" s="1"/>
      <c r="J70" s="1"/>
      <c r="K70" s="1"/>
    </row>
    <row r="71" spans="1:11" ht="15.75" customHeight="1" x14ac:dyDescent="0.3">
      <c r="A71" s="1"/>
      <c r="B71" s="30"/>
      <c r="C71" s="31"/>
      <c r="D71" s="31"/>
      <c r="E71" s="1"/>
      <c r="F71" s="1"/>
      <c r="G71" s="1"/>
      <c r="H71" s="1"/>
      <c r="I71" s="1"/>
      <c r="J71" s="1"/>
      <c r="K71" s="1"/>
    </row>
    <row r="72" spans="1:11" ht="15.75" customHeight="1" x14ac:dyDescent="0.3">
      <c r="A72" s="1"/>
      <c r="B72" s="30"/>
      <c r="C72" s="31"/>
      <c r="D72" s="31"/>
      <c r="E72" s="1"/>
      <c r="F72" s="32"/>
      <c r="G72" s="1"/>
      <c r="H72" s="1"/>
      <c r="I72" s="1"/>
      <c r="J72" s="1"/>
      <c r="K72" s="1"/>
    </row>
    <row r="73" spans="1:11" ht="15.75" customHeight="1" x14ac:dyDescent="0.3">
      <c r="A73" s="1"/>
      <c r="B73" s="1"/>
      <c r="C73" s="31"/>
      <c r="D73" s="31"/>
      <c r="E73" s="1"/>
      <c r="F73" s="1"/>
      <c r="G73" s="1"/>
      <c r="H73" s="1"/>
      <c r="I73" s="1"/>
      <c r="J73" s="1"/>
      <c r="K73" s="1"/>
    </row>
    <row r="74" spans="1:11" ht="15.75" customHeight="1" x14ac:dyDescent="0.3">
      <c r="A74" s="1"/>
      <c r="B74" s="1"/>
      <c r="C74" s="31"/>
      <c r="D74" s="31"/>
      <c r="E74" s="1"/>
      <c r="F74" s="1"/>
      <c r="G74" s="1"/>
      <c r="H74" s="1"/>
      <c r="I74" s="1"/>
      <c r="J74" s="1"/>
      <c r="K74" s="1"/>
    </row>
    <row r="75" spans="1:11" ht="15.75" customHeight="1" x14ac:dyDescent="0.3">
      <c r="A75" s="1"/>
      <c r="B75" s="1"/>
      <c r="C75" s="31"/>
      <c r="D75" s="31"/>
      <c r="E75" s="1"/>
      <c r="F75" s="1"/>
      <c r="G75" s="1"/>
      <c r="H75" s="1"/>
      <c r="I75" s="1"/>
      <c r="J75" s="1"/>
      <c r="K75" s="1"/>
    </row>
    <row r="76" spans="1:11" ht="15.75" customHeight="1" x14ac:dyDescent="0.3">
      <c r="A76" s="1"/>
      <c r="B76" s="1"/>
      <c r="C76" s="31"/>
      <c r="D76" s="31"/>
      <c r="E76" s="1"/>
      <c r="F76" s="1"/>
      <c r="G76" s="1"/>
      <c r="H76" s="1"/>
      <c r="I76" s="1"/>
      <c r="J76" s="1"/>
      <c r="K76" s="1"/>
    </row>
    <row r="77" spans="1:11" ht="15.75" customHeight="1" x14ac:dyDescent="0.3">
      <c r="A77" s="1"/>
      <c r="B77" s="1"/>
      <c r="C77" s="31"/>
      <c r="D77" s="31"/>
      <c r="E77" s="1"/>
      <c r="F77" s="1"/>
      <c r="G77" s="1"/>
      <c r="H77" s="1"/>
      <c r="I77" s="1"/>
      <c r="J77" s="1"/>
      <c r="K77" s="1"/>
    </row>
    <row r="78" spans="1:11" ht="15.75" customHeight="1" x14ac:dyDescent="0.3">
      <c r="A78" s="1"/>
      <c r="B78" s="1"/>
      <c r="C78" s="31"/>
      <c r="D78" s="31"/>
      <c r="E78" s="1"/>
      <c r="F78" s="1"/>
      <c r="G78" s="1"/>
      <c r="H78" s="1"/>
      <c r="I78" s="1"/>
      <c r="J78" s="1"/>
      <c r="K78" s="1"/>
    </row>
    <row r="79" spans="1:11" ht="15.75" customHeight="1" x14ac:dyDescent="0.3">
      <c r="A79" s="1"/>
      <c r="B79" s="1"/>
      <c r="C79" s="31"/>
      <c r="D79" s="31"/>
      <c r="E79" s="1"/>
      <c r="F79" s="1"/>
      <c r="G79" s="1"/>
      <c r="H79" s="1"/>
      <c r="I79" s="1"/>
      <c r="J79" s="1"/>
      <c r="K79" s="1"/>
    </row>
    <row r="80" spans="1:11" ht="15.75" customHeight="1" x14ac:dyDescent="0.3">
      <c r="A80" s="1"/>
      <c r="B80" s="1"/>
      <c r="C80" s="31"/>
      <c r="D80" s="31"/>
      <c r="E80" s="1"/>
      <c r="F80" s="1"/>
      <c r="G80" s="1"/>
      <c r="H80" s="1"/>
      <c r="I80" s="1"/>
      <c r="J80" s="1"/>
      <c r="K80" s="1"/>
    </row>
    <row r="81" spans="1:11" ht="15.75" customHeight="1" x14ac:dyDescent="0.3">
      <c r="A81" s="1"/>
      <c r="B81" s="1"/>
      <c r="C81" s="31"/>
      <c r="D81" s="31"/>
      <c r="E81" s="1"/>
      <c r="F81" s="1"/>
      <c r="G81" s="1"/>
      <c r="H81" s="1"/>
      <c r="I81" s="1"/>
      <c r="J81" s="1"/>
      <c r="K81" s="1"/>
    </row>
    <row r="82" spans="1:11" ht="15.75" customHeight="1" x14ac:dyDescent="0.3">
      <c r="A82" s="1"/>
      <c r="B82" s="1"/>
      <c r="C82" s="31"/>
      <c r="D82" s="31"/>
      <c r="E82" s="1"/>
      <c r="F82" s="1"/>
      <c r="G82" s="1"/>
      <c r="H82" s="1"/>
      <c r="I82" s="1"/>
      <c r="J82" s="1"/>
      <c r="K82" s="1"/>
    </row>
    <row r="83" spans="1:11" ht="15.75" customHeight="1" x14ac:dyDescent="0.3">
      <c r="A83" s="1"/>
      <c r="B83" s="1"/>
      <c r="C83" s="31"/>
      <c r="D83" s="31"/>
      <c r="E83" s="1"/>
      <c r="F83" s="1"/>
      <c r="G83" s="1"/>
      <c r="H83" s="1"/>
      <c r="I83" s="1"/>
      <c r="J83" s="1"/>
      <c r="K83" s="1"/>
    </row>
    <row r="84" spans="1:11" ht="15.75" customHeight="1" x14ac:dyDescent="0.3">
      <c r="A84" s="1"/>
      <c r="B84" s="1"/>
      <c r="C84" s="31"/>
      <c r="D84" s="31"/>
      <c r="E84" s="1"/>
      <c r="F84" s="1"/>
      <c r="G84" s="1"/>
      <c r="H84" s="1"/>
      <c r="I84" s="1"/>
      <c r="J84" s="1"/>
      <c r="K84" s="1"/>
    </row>
    <row r="85" spans="1:11" ht="15.75" customHeight="1" x14ac:dyDescent="0.3">
      <c r="A85" s="1"/>
      <c r="B85" s="1"/>
      <c r="C85" s="31"/>
      <c r="D85" s="31"/>
      <c r="E85" s="1"/>
      <c r="F85" s="1"/>
      <c r="G85" s="1"/>
      <c r="H85" s="1"/>
      <c r="I85" s="1"/>
      <c r="J85" s="1"/>
      <c r="K85" s="1"/>
    </row>
    <row r="86" spans="1:11" ht="15.75" customHeight="1" x14ac:dyDescent="0.3">
      <c r="A86" s="1"/>
      <c r="B86" s="1"/>
      <c r="C86" s="31"/>
      <c r="D86" s="31"/>
      <c r="E86" s="1"/>
      <c r="F86" s="1"/>
      <c r="G86" s="1"/>
      <c r="H86" s="1"/>
      <c r="I86" s="1"/>
      <c r="J86" s="1"/>
      <c r="K86" s="1"/>
    </row>
    <row r="87" spans="1:11" ht="34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.75" customHeight="1" x14ac:dyDescent="0.3">
      <c r="A88" s="1"/>
      <c r="B88" s="1"/>
      <c r="C88" s="31"/>
      <c r="D88" s="31"/>
      <c r="E88" s="1"/>
      <c r="F88" s="1"/>
      <c r="G88" s="1"/>
      <c r="H88" s="1"/>
      <c r="I88" s="1"/>
      <c r="J88" s="1"/>
      <c r="K88" s="1"/>
    </row>
    <row r="89" spans="1:11" ht="15.75" customHeight="1" x14ac:dyDescent="0.3">
      <c r="A89" s="1"/>
      <c r="B89" s="1"/>
      <c r="C89" s="31"/>
      <c r="D89" s="31"/>
      <c r="E89" s="1"/>
      <c r="F89" s="1"/>
      <c r="G89" s="1"/>
      <c r="H89" s="1"/>
      <c r="I89" s="1"/>
      <c r="J89" s="1"/>
      <c r="K89" s="1"/>
    </row>
    <row r="90" spans="1:11" ht="15.75" customHeight="1" x14ac:dyDescent="0.3">
      <c r="A90" s="1"/>
      <c r="B90" s="1"/>
      <c r="C90" s="31"/>
      <c r="D90" s="31"/>
      <c r="E90" s="1"/>
      <c r="F90" s="1"/>
      <c r="G90" s="1"/>
      <c r="H90" s="1"/>
      <c r="I90" s="1"/>
      <c r="J90" s="1"/>
      <c r="K90" s="1"/>
    </row>
    <row r="91" spans="1:11" ht="15.75" customHeight="1" x14ac:dyDescent="0.3">
      <c r="A91" s="1"/>
      <c r="B91" s="1"/>
      <c r="C91" s="31"/>
      <c r="D91" s="31"/>
      <c r="E91" s="1"/>
      <c r="F91" s="1"/>
      <c r="G91" s="1"/>
      <c r="H91" s="1"/>
      <c r="I91" s="1"/>
      <c r="J91" s="1"/>
      <c r="K91" s="1"/>
    </row>
    <row r="92" spans="1:11" ht="15.75" customHeight="1" x14ac:dyDescent="0.3">
      <c r="A92" s="1"/>
      <c r="B92" s="1"/>
      <c r="C92" s="31"/>
      <c r="D92" s="31"/>
      <c r="E92" s="1"/>
      <c r="F92" s="1"/>
      <c r="G92" s="1"/>
      <c r="H92" s="1"/>
      <c r="I92" s="1"/>
      <c r="J92" s="1"/>
      <c r="K92" s="1"/>
    </row>
    <row r="93" spans="1:11" ht="15.75" customHeight="1" x14ac:dyDescent="0.3">
      <c r="A93" s="1"/>
      <c r="B93" s="1"/>
      <c r="C93" s="31"/>
      <c r="D93" s="31"/>
      <c r="E93" s="1"/>
      <c r="F93" s="1"/>
      <c r="G93" s="1"/>
      <c r="H93" s="1"/>
      <c r="I93" s="1"/>
      <c r="J93" s="1"/>
      <c r="K93" s="1"/>
    </row>
    <row r="94" spans="1:11" ht="15.75" customHeight="1" x14ac:dyDescent="0.3">
      <c r="A94" s="1"/>
      <c r="B94" s="1"/>
      <c r="C94" s="31"/>
      <c r="D94" s="31"/>
      <c r="E94" s="1"/>
      <c r="F94" s="1"/>
      <c r="G94" s="1"/>
      <c r="H94" s="1"/>
      <c r="I94" s="1"/>
      <c r="J94" s="1"/>
      <c r="K94" s="1"/>
    </row>
    <row r="95" spans="1:11" ht="15.75" customHeight="1" x14ac:dyDescent="0.3">
      <c r="A95" s="1"/>
      <c r="B95" s="1"/>
      <c r="C95" s="31"/>
      <c r="D95" s="31"/>
      <c r="E95" s="1"/>
      <c r="F95" s="1"/>
      <c r="G95" s="1"/>
      <c r="H95" s="1"/>
      <c r="I95" s="1"/>
      <c r="J95" s="1"/>
      <c r="K95" s="1"/>
    </row>
    <row r="96" spans="1:11" ht="15.75" customHeight="1" x14ac:dyDescent="0.3">
      <c r="A96" s="1"/>
      <c r="B96" s="1"/>
      <c r="C96" s="31"/>
      <c r="D96" s="31"/>
      <c r="E96" s="1"/>
      <c r="F96" s="1"/>
      <c r="G96" s="1"/>
      <c r="H96" s="1"/>
      <c r="I96" s="1"/>
      <c r="J96" s="1"/>
      <c r="K96" s="1"/>
    </row>
    <row r="97" spans="1:11" ht="15.75" customHeight="1" x14ac:dyDescent="0.3">
      <c r="A97" s="1"/>
      <c r="B97" s="1"/>
      <c r="C97" s="31"/>
      <c r="D97" s="31"/>
      <c r="E97" s="1"/>
      <c r="F97" s="1"/>
      <c r="G97" s="1"/>
      <c r="H97" s="1"/>
      <c r="I97" s="1"/>
      <c r="J97" s="1"/>
      <c r="K97" s="1"/>
    </row>
    <row r="98" spans="1:11" ht="15.75" customHeight="1" x14ac:dyDescent="0.3">
      <c r="A98" s="1"/>
      <c r="B98" s="1"/>
      <c r="C98" s="31"/>
      <c r="D98" s="31"/>
      <c r="E98" s="1"/>
      <c r="F98" s="1"/>
      <c r="G98" s="1"/>
      <c r="H98" s="1"/>
      <c r="I98" s="1"/>
      <c r="J98" s="1"/>
      <c r="K98" s="1"/>
    </row>
    <row r="99" spans="1:11" ht="15.75" customHeight="1" x14ac:dyDescent="0.3">
      <c r="A99" s="1"/>
      <c r="B99" s="1"/>
      <c r="C99" s="31"/>
      <c r="D99" s="31"/>
      <c r="E99" s="1"/>
      <c r="F99" s="1"/>
      <c r="G99" s="1"/>
      <c r="H99" s="1"/>
      <c r="I99" s="1"/>
      <c r="J99" s="1"/>
      <c r="K99" s="1"/>
    </row>
    <row r="100" spans="1:11" ht="15.75" customHeight="1" x14ac:dyDescent="0.3">
      <c r="A100" s="1"/>
      <c r="B100" s="1"/>
      <c r="C100" s="31"/>
      <c r="D100" s="31"/>
      <c r="E100" s="1"/>
      <c r="F100" s="1"/>
      <c r="G100" s="1"/>
      <c r="H100" s="1"/>
      <c r="I100" s="1"/>
      <c r="J100" s="1"/>
      <c r="K100" s="1"/>
    </row>
    <row r="101" spans="1:11" ht="15.75" customHeight="1" x14ac:dyDescent="0.3">
      <c r="A101" s="1"/>
      <c r="B101" s="1"/>
      <c r="C101" s="31"/>
      <c r="D101" s="31"/>
      <c r="E101" s="1"/>
      <c r="F101" s="1"/>
      <c r="G101" s="1"/>
      <c r="H101" s="1"/>
      <c r="I101" s="1"/>
      <c r="J101" s="1"/>
      <c r="K101" s="1"/>
    </row>
    <row r="102" spans="1:11" ht="15.75" customHeight="1" x14ac:dyDescent="0.3">
      <c r="A102" s="1"/>
      <c r="B102" s="1"/>
      <c r="C102" s="31"/>
      <c r="D102" s="31"/>
      <c r="E102" s="1"/>
      <c r="F102" s="1"/>
      <c r="G102" s="1"/>
      <c r="H102" s="1"/>
      <c r="I102" s="1"/>
      <c r="J102" s="1"/>
      <c r="K102" s="1"/>
    </row>
    <row r="103" spans="1:11" ht="37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8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</sheetData>
  <mergeCells count="18">
    <mergeCell ref="A1:F1"/>
    <mergeCell ref="A33:F33"/>
    <mergeCell ref="A3:F3"/>
    <mergeCell ref="A34:F34"/>
    <mergeCell ref="A45:F45"/>
    <mergeCell ref="C44:F44"/>
    <mergeCell ref="C22:F22"/>
    <mergeCell ref="A23:F23"/>
    <mergeCell ref="A2:F2"/>
    <mergeCell ref="C14:F14"/>
    <mergeCell ref="C32:F32"/>
    <mergeCell ref="A15:F15"/>
    <mergeCell ref="C54:F54"/>
    <mergeCell ref="C67:F67"/>
    <mergeCell ref="A68:B68"/>
    <mergeCell ref="C68:F68"/>
    <mergeCell ref="A69:F70"/>
    <mergeCell ref="A55:F55"/>
  </mergeCells>
  <pageMargins left="0.7" right="0.7" top="0.3" bottom="0.2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Смета по видам работ</vt:lpstr>
    </vt:vector>
  </TitlesOfParts>
  <Company>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Холодилова</dc:creator>
  <cp:lastModifiedBy>*</cp:lastModifiedBy>
  <cp:lastPrinted>2019-05-21T17:58:16Z</cp:lastPrinted>
  <dcterms:created xsi:type="dcterms:W3CDTF">2013-09-16T11:31:18Z</dcterms:created>
  <dcterms:modified xsi:type="dcterms:W3CDTF">2025-09-19T11:04:14Z</dcterms:modified>
</cp:coreProperties>
</file>