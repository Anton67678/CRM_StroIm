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Работа\"/>
    </mc:Choice>
  </mc:AlternateContent>
  <bookViews>
    <workbookView xWindow="0" yWindow="0" windowWidth="18996" windowHeight="9072" activeTab="1"/>
  </bookViews>
  <sheets>
    <sheet name="Кухня" sheetId="2" r:id="rId1"/>
    <sheet name="Ванная комната" sheetId="6" r:id="rId2"/>
    <sheet name="Электрика" sheetId="11" r:id="rId3"/>
  </sheets>
  <calcPr calcId="162913"/>
</workbook>
</file>

<file path=xl/calcChain.xml><?xml version="1.0" encoding="utf-8"?>
<calcChain xmlns="http://schemas.openxmlformats.org/spreadsheetml/2006/main">
  <c r="E26" i="6" l="1"/>
  <c r="E18" i="11"/>
  <c r="E6" i="11"/>
  <c r="E7" i="11"/>
  <c r="E8" i="11"/>
  <c r="E9" i="11"/>
  <c r="E10" i="11"/>
  <c r="E11" i="11"/>
  <c r="E12" i="11"/>
  <c r="E13" i="11"/>
  <c r="E14" i="11"/>
  <c r="E15" i="11"/>
  <c r="E16" i="11"/>
  <c r="E5" i="11"/>
  <c r="E38" i="2"/>
  <c r="E37" i="2"/>
  <c r="E39" i="2"/>
  <c r="E40" i="2"/>
  <c r="E41" i="2"/>
  <c r="E36" i="2"/>
  <c r="E49" i="2"/>
  <c r="E47" i="2"/>
  <c r="E28" i="2"/>
  <c r="C25" i="2"/>
  <c r="C24" i="2"/>
  <c r="C23" i="2"/>
  <c r="E8" i="2"/>
  <c r="E17" i="11"/>
  <c r="E44" i="2"/>
  <c r="E51" i="2"/>
</calcChain>
</file>

<file path=xl/sharedStrings.xml><?xml version="1.0" encoding="utf-8"?>
<sst xmlns="http://schemas.openxmlformats.org/spreadsheetml/2006/main" count="193" uniqueCount="173">
  <si>
    <r>
      <rPr>
        <sz val="5"/>
        <rFont val="Times New Roman"/>
        <family val="1"/>
        <charset val="204"/>
      </rPr>
      <t>B,м/п</t>
    </r>
  </si>
  <si>
    <r>
      <rPr>
        <sz val="5"/>
        <rFont val="Times New Roman"/>
        <family val="1"/>
        <charset val="204"/>
      </rPr>
      <t>H,м/п</t>
    </r>
  </si>
  <si>
    <r>
      <rPr>
        <sz val="5"/>
        <rFont val="Times New Roman"/>
        <family val="1"/>
        <charset val="204"/>
      </rPr>
      <t>Проем, м2</t>
    </r>
  </si>
  <si>
    <r>
      <rPr>
        <b/>
        <sz val="7"/>
        <rFont val="Times New Roman"/>
        <family val="1"/>
        <charset val="204"/>
      </rPr>
      <t>Кухня 1. Демонтажные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</si>
  <si>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</si>
  <si>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</si>
  <si>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</si>
  <si>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</si>
  <si>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b/>
        <sz val="7"/>
        <rFont val="Times New Roman"/>
        <family val="1"/>
        <charset val="204"/>
      </rPr>
      <t>Полы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</si>
  <si>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</si>
  <si>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Итого по разделу(демонтажные работы)</t>
    </r>
  </si>
  <si>
    <r>
      <rPr>
        <b/>
        <sz val="7"/>
        <rFont val="Times New Roman"/>
        <family val="1"/>
        <charset val="204"/>
      </rPr>
      <t>Кухня 1. Черновые отделочные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</si>
  <si>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</si>
  <si>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</si>
  <si>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</si>
  <si>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</si>
  <si>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b/>
        <sz val="7"/>
        <rFont val="Times New Roman"/>
        <family val="1"/>
        <charset val="204"/>
      </rPr>
      <t>Полы</t>
    </r>
  </si>
  <si>
    <r>
      <rPr>
        <sz val="7"/>
        <rFont val="Times New Roman"/>
        <family val="1"/>
        <charset val="204"/>
      </rPr>
      <t>Грунтовка пола 1 слой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</si>
  <si>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</si>
  <si>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</si>
  <si>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Стены</t>
    </r>
  </si>
  <si>
    <r>
      <rPr>
        <sz val="7"/>
        <rFont val="Times New Roman"/>
        <family val="1"/>
        <charset val="204"/>
      </rPr>
      <t>Грунтовка стен(бетоноконтактом) 1 слой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</si>
  <si>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</si>
  <si>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Штукатурка стен по маякам улучшенная до 2 см гипсовая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</si>
  <si>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</si>
  <si>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Грунтовка стен 2 слоя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</si>
  <si>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</si>
  <si>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</si>
  <si>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Ошкуривание стен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</si>
  <si>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</si>
  <si>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м/п</t>
    </r>
  </si>
  <si>
    <r>
      <rPr>
        <b/>
        <sz val="7"/>
        <rFont val="Times New Roman"/>
        <family val="1"/>
        <charset val="204"/>
      </rPr>
      <t>Откосы</t>
    </r>
  </si>
  <si>
    <r>
      <rPr>
        <sz val="7"/>
        <rFont val="Times New Roman"/>
        <family val="1"/>
        <charset val="204"/>
      </rPr>
      <t>м/п</t>
    </r>
  </si>
  <si>
    <r>
      <rPr>
        <sz val="7"/>
        <rFont val="Times New Roman"/>
        <family val="1"/>
        <charset val="204"/>
      </rPr>
      <t>м/п</t>
    </r>
  </si>
  <si>
    <r>
      <rPr>
        <sz val="7"/>
        <rFont val="Times New Roman"/>
        <family val="1"/>
        <charset val="204"/>
      </rPr>
      <t>м/п</t>
    </r>
  </si>
  <si>
    <r>
      <rPr>
        <sz val="7"/>
        <rFont val="Times New Roman"/>
        <family val="1"/>
        <charset val="204"/>
      </rPr>
      <t>м/п</t>
    </r>
  </si>
  <si>
    <r>
      <rPr>
        <b/>
        <sz val="7"/>
        <rFont val="Times New Roman"/>
        <family val="1"/>
        <charset val="204"/>
      </rPr>
      <t>Потолки</t>
    </r>
  </si>
  <si>
    <r>
      <rPr>
        <sz val="7"/>
        <rFont val="Times New Roman"/>
        <family val="1"/>
        <charset val="204"/>
      </rPr>
      <t>Штукатурка потолочного откоса под карниз</t>
    </r>
  </si>
  <si>
    <r>
      <rPr>
        <sz val="7"/>
        <rFont val="Times New Roman"/>
        <family val="1"/>
        <charset val="204"/>
      </rPr>
      <t>м/п</t>
    </r>
  </si>
  <si>
    <r>
      <rPr>
        <b/>
        <sz val="7"/>
        <rFont val="Times New Roman"/>
        <family val="1"/>
        <charset val="204"/>
      </rPr>
      <t>Итого по разделу(черновые отделочные работы)</t>
    </r>
  </si>
  <si>
    <r>
      <rPr>
        <b/>
        <sz val="7"/>
        <rFont val="Times New Roman"/>
        <family val="1"/>
        <charset val="204"/>
      </rPr>
      <t>Кухня 1. Чистовые отделочные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</si>
  <si>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</si>
  <si>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</si>
  <si>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</si>
  <si>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</si>
  <si>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b/>
        <sz val="7"/>
        <rFont val="Times New Roman"/>
        <family val="1"/>
        <charset val="204"/>
      </rPr>
      <t>Полы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</si>
  <si>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</si>
  <si>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м2</t>
    </r>
  </si>
  <si>
    <r>
      <rPr>
        <sz val="7"/>
        <rFont val="Times New Roman"/>
        <family val="1"/>
        <charset val="204"/>
      </rPr>
      <t>Подрезка керамогранита</t>
    </r>
  </si>
  <si>
    <r>
      <rPr>
        <sz val="7"/>
        <rFont val="Times New Roman"/>
        <family val="1"/>
        <charset val="204"/>
      </rPr>
      <t>мп</t>
    </r>
  </si>
  <si>
    <r>
      <rPr>
        <sz val="7"/>
        <rFont val="Times New Roman"/>
        <family val="1"/>
        <charset val="204"/>
      </rPr>
      <t>Установка плинтусов деревянных, МДФ</t>
    </r>
  </si>
  <si>
    <r>
      <rPr>
        <sz val="7"/>
        <rFont val="Times New Roman"/>
        <family val="1"/>
        <charset val="204"/>
      </rPr>
      <t>м/п</t>
    </r>
  </si>
  <si>
    <r>
      <rPr>
        <b/>
        <sz val="7"/>
        <rFont val="Times New Roman"/>
        <family val="1"/>
        <charset val="204"/>
      </rPr>
      <t>Стены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</si>
  <si>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</si>
  <si>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Откосы</t>
    </r>
  </si>
  <si>
    <r>
      <rPr>
        <sz val="7"/>
        <rFont val="Times New Roman"/>
        <family val="1"/>
        <charset val="204"/>
      </rPr>
      <t>м/п</t>
    </r>
  </si>
  <si>
    <r>
      <rPr>
        <b/>
        <sz val="7"/>
        <rFont val="Times New Roman"/>
        <family val="1"/>
        <charset val="204"/>
      </rPr>
      <t>Итого по разделу(чистовые отделочные работы)</t>
    </r>
  </si>
  <si>
    <r>
      <rPr>
        <b/>
        <sz val="7"/>
        <rFont val="Times New Roman"/>
        <family val="1"/>
        <charset val="204"/>
      </rPr>
      <t>Кухня 1. Сантехнические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</si>
  <si>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</si>
  <si>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</si>
  <si>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</si>
  <si>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</si>
  <si>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sz val="7"/>
        <rFont val="Times New Roman"/>
        <family val="1"/>
        <charset val="204"/>
      </rPr>
      <t>шт</t>
    </r>
  </si>
  <si>
    <r>
      <rPr>
        <b/>
        <sz val="7"/>
        <rFont val="Times New Roman"/>
        <family val="1"/>
        <charset val="204"/>
      </rPr>
      <t>Итого по разделу(сантехнические работы)</t>
    </r>
  </si>
  <si>
    <r>
      <rPr>
        <b/>
        <sz val="7"/>
        <rFont val="Times New Roman"/>
        <family val="1"/>
        <charset val="204"/>
      </rPr>
      <t>Кухня 1. Подготовительные работы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</si>
  <si>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</si>
  <si>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</si>
  <si>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</si>
  <si>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</si>
  <si>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sz val="7"/>
        <rFont val="Times New Roman"/>
        <family val="1"/>
        <charset val="204"/>
      </rPr>
      <t>Защита поверхностей, двери, ручек, МОПов, укрытие пленкой окон и необходимых поверхностей</t>
    </r>
  </si>
  <si>
    <r>
      <rPr>
        <sz val="7"/>
        <rFont val="Times New Roman"/>
        <family val="1"/>
        <charset val="204"/>
      </rPr>
      <t>м2</t>
    </r>
  </si>
  <si>
    <r>
      <rPr>
        <b/>
        <sz val="7"/>
        <rFont val="Times New Roman"/>
        <family val="1"/>
        <charset val="204"/>
      </rPr>
      <t>Итого по разделу(подготовительные работы)</t>
    </r>
  </si>
  <si>
    <r>
      <rPr>
        <sz val="7"/>
        <rFont val="Times New Roman"/>
        <family val="1"/>
        <charset val="204"/>
      </rPr>
      <t>ИТОГО ПО ПОМЕЩЕНИЮ. СТОИМОСТЬ РАБОТ</t>
    </r>
  </si>
  <si>
    <r>
      <rPr>
        <sz val="7"/>
        <rFont val="Times New Roman"/>
        <family val="1"/>
        <charset val="204"/>
      </rPr>
      <t>Составлено:</t>
    </r>
  </si>
  <si>
    <r>
      <rPr>
        <sz val="7"/>
        <rFont val="Times New Roman"/>
        <family val="1"/>
        <charset val="204"/>
      </rPr>
      <t>Согласовано:</t>
    </r>
  </si>
  <si>
    <r>
      <rPr>
        <sz val="5"/>
        <rFont val="Times New Roman"/>
        <family val="1"/>
        <charset val="204"/>
      </rPr>
      <t>(подпись)</t>
    </r>
  </si>
  <si>
    <r>
      <rPr>
        <sz val="5"/>
        <rFont val="Times New Roman"/>
        <family val="1"/>
        <charset val="204"/>
      </rPr>
      <t>(подпись)</t>
    </r>
  </si>
  <si>
    <r>
      <rPr>
        <sz val="5"/>
        <rFont val="Times New Roman"/>
        <family val="1"/>
        <charset val="204"/>
      </rPr>
      <t>L,м/п</t>
    </r>
  </si>
  <si>
    <r>
      <rPr>
        <sz val="5"/>
        <rFont val="Times New Roman"/>
        <family val="1"/>
        <charset val="204"/>
      </rPr>
      <t>B,м/п</t>
    </r>
  </si>
  <si>
    <r>
      <rPr>
        <sz val="5"/>
        <rFont val="Times New Roman"/>
        <family val="1"/>
        <charset val="204"/>
      </rPr>
      <t>H,м/п</t>
    </r>
  </si>
  <si>
    <r>
      <rPr>
        <sz val="5"/>
        <rFont val="Times New Roman"/>
        <family val="1"/>
        <charset val="204"/>
      </rPr>
      <t>Проем, м2</t>
    </r>
  </si>
  <si>
    <r>
      <rPr>
        <b/>
        <sz val="7"/>
        <rFont val="Times New Roman"/>
        <family val="1"/>
        <charset val="204"/>
      </rPr>
      <t>ед. изм.</t>
    </r>
  </si>
  <si>
    <r>
      <rPr>
        <b/>
        <sz val="7"/>
        <rFont val="Times New Roman"/>
        <family val="1"/>
        <charset val="204"/>
      </rPr>
      <t>кол-во</t>
    </r>
  </si>
  <si>
    <r>
      <rPr>
        <b/>
        <sz val="7"/>
        <rFont val="Times New Roman"/>
        <family val="1"/>
        <charset val="204"/>
      </rPr>
      <t>цена</t>
    </r>
  </si>
  <si>
    <r>
      <rPr>
        <b/>
        <sz val="7"/>
        <rFont val="Times New Roman"/>
        <family val="1"/>
        <charset val="204"/>
      </rPr>
      <t>сумма</t>
    </r>
  </si>
  <si>
    <r>
      <rPr>
        <sz val="7"/>
        <rFont val="Times New Roman"/>
        <family val="1"/>
        <charset val="204"/>
      </rPr>
      <t>Установка ванны(акрил)*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</si>
  <si>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</si>
  <si>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раковины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</si>
  <si>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</si>
  <si>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унитаза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</si>
  <si>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</si>
  <si>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"инсталляции"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</si>
  <si>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</si>
  <si>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гигиенического душа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</si>
  <si>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</si>
  <si>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м/п</t>
    </r>
  </si>
  <si>
    <r>
      <rPr>
        <sz val="7"/>
        <rFont val="Times New Roman"/>
        <family val="1"/>
        <charset val="204"/>
      </rPr>
      <t>Установка коллекторов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</si>
  <si>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</si>
  <si>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фильтра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</si>
  <si>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</si>
  <si>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регулятора давления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</si>
  <si>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</si>
  <si>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полотенцесушителя (электрического)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</si>
  <si>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</si>
  <si>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проточного водонагревателя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</si>
  <si>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</si>
  <si>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Устройство сантехнического короба</t>
    </r>
  </si>
  <si>
    <r>
      <rPr>
        <sz val="7"/>
        <rFont val="Times New Roman"/>
        <family val="1"/>
        <charset val="204"/>
      </rPr>
      <t>м/п</t>
    </r>
  </si>
  <si>
    <r>
      <rPr>
        <sz val="7"/>
        <rFont val="Times New Roman"/>
        <family val="1"/>
        <charset val="204"/>
      </rPr>
      <t>Установка люка("невидимка")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</si>
  <si>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</si>
  <si>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Монтаж экрана под ванну(каркас для плитки)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</si>
  <si>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</si>
  <si>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Монтаж системы водостоп(с одним электромагнитным клапаном)</t>
    </r>
  </si>
  <si>
    <r>
      <rPr>
        <sz val="7"/>
        <rFont val="Times New Roman"/>
        <family val="1"/>
        <charset val="204"/>
      </rPr>
      <t>компл.</t>
    </r>
  </si>
  <si>
    <r>
      <rPr>
        <sz val="7"/>
        <rFont val="Times New Roman"/>
        <family val="1"/>
        <charset val="204"/>
      </rPr>
      <t>Комплексная разводка труб канализации(1 точка)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</si>
  <si>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</si>
  <si>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точки канализации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</si>
  <si>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</si>
  <si>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точки водоснабжения(водорозетки) "Рехау"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</si>
  <si>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</si>
  <si>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Комплексная разводка воздуховодов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</si>
  <si>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</si>
  <si>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Установка вентрешеток</t>
    </r>
  </si>
  <si>
    <r>
      <rPr>
        <sz val="7"/>
        <rFont val="Times New Roman"/>
        <family val="1"/>
        <charset val="204"/>
      </rPr>
      <t>шт</t>
    </r>
  </si>
  <si>
    <r>
      <rPr>
        <sz val="7"/>
        <rFont val="Times New Roman"/>
        <family val="1"/>
        <charset val="204"/>
      </rPr>
      <t>Составлено:</t>
    </r>
  </si>
  <si>
    <r>
      <rPr>
        <sz val="7"/>
        <rFont val="Times New Roman"/>
        <family val="1"/>
        <charset val="204"/>
      </rPr>
      <t>Согласовано:</t>
    </r>
  </si>
  <si>
    <r>
      <rPr>
        <sz val="5"/>
        <rFont val="Times New Roman"/>
        <family val="1"/>
        <charset val="204"/>
      </rPr>
      <t>(подпись)</t>
    </r>
  </si>
  <si>
    <r>
      <rPr>
        <sz val="5"/>
        <rFont val="Times New Roman"/>
        <family val="1"/>
        <charset val="204"/>
      </rPr>
      <t>(подпись)</t>
    </r>
  </si>
  <si>
    <r>
      <rPr>
        <b/>
        <sz val="7"/>
        <rFont val="Times New Roman"/>
        <family val="1"/>
        <charset val="204"/>
      </rPr>
      <t>Электромонтажные работы</t>
    </r>
  </si>
  <si>
    <r>
      <rPr>
        <sz val="7"/>
        <rFont val="Times New Roman"/>
        <family val="1"/>
        <charset val="204"/>
      </rPr>
      <t>Штробление кирпичных, блочных стен под элкабель</t>
    </r>
  </si>
  <si>
    <r>
      <rPr>
        <sz val="7"/>
        <rFont val="Times New Roman"/>
        <family val="1"/>
        <charset val="204"/>
      </rPr>
      <t>Штробление бетонных стен под элкабель</t>
    </r>
  </si>
  <si>
    <r>
      <rPr>
        <sz val="7"/>
        <rFont val="Times New Roman"/>
        <family val="1"/>
        <charset val="204"/>
      </rPr>
      <t>Заделка и грунтовка штроб</t>
    </r>
  </si>
  <si>
    <r>
      <rPr>
        <sz val="7"/>
        <rFont val="Times New Roman"/>
        <family val="1"/>
        <charset val="204"/>
      </rPr>
      <t>Установка механизма, панели электроточки</t>
    </r>
  </si>
  <si>
    <r>
      <rPr>
        <sz val="7"/>
        <rFont val="Times New Roman"/>
        <family val="1"/>
        <charset val="204"/>
      </rPr>
      <t>Установка электроточки в кирпиче, блоке</t>
    </r>
  </si>
  <si>
    <r>
      <rPr>
        <sz val="7"/>
        <rFont val="Times New Roman"/>
        <family val="1"/>
        <charset val="204"/>
      </rPr>
      <t>Установка электроточки в бетоне</t>
    </r>
  </si>
  <si>
    <r>
      <rPr>
        <sz val="7"/>
        <rFont val="Times New Roman"/>
        <family val="1"/>
        <charset val="204"/>
      </rPr>
      <t>Прокладка кабеля</t>
    </r>
  </si>
  <si>
    <r>
      <rPr>
        <sz val="7"/>
        <rFont val="Times New Roman"/>
        <family val="1"/>
        <charset val="204"/>
      </rPr>
      <t>Прокладка кабеля в ПВХ трубе (по потолку)</t>
    </r>
  </si>
  <si>
    <r>
      <rPr>
        <sz val="7"/>
        <rFont val="Times New Roman"/>
        <family val="1"/>
        <charset val="204"/>
      </rPr>
      <t>Установка автоматического выключателя</t>
    </r>
  </si>
  <si>
    <r>
      <rPr>
        <sz val="7"/>
        <rFont val="Times New Roman"/>
        <family val="1"/>
        <charset val="204"/>
      </rPr>
      <t>Установка дифф автоматического выключателя</t>
    </r>
  </si>
  <si>
    <r>
      <rPr>
        <sz val="7"/>
        <rFont val="Times New Roman"/>
        <family val="1"/>
        <charset val="204"/>
      </rPr>
      <t>Установка терморегулятора под теплый пол</t>
    </r>
  </si>
  <si>
    <r>
      <rPr>
        <sz val="7"/>
        <rFont val="Times New Roman"/>
        <family val="1"/>
        <charset val="204"/>
      </rPr>
      <t>Устройство теплого пола из карбоновых матов(кабель)</t>
    </r>
  </si>
  <si>
    <r>
      <rPr>
        <b/>
        <sz val="7"/>
        <rFont val="Times New Roman"/>
        <family val="1"/>
        <charset val="204"/>
      </rPr>
      <t>Итого по разделу(электромонтажные работы)</t>
    </r>
  </si>
  <si>
    <r>
      <rPr>
        <sz val="7"/>
        <rFont val="Times New Roman"/>
        <family val="1"/>
        <charset val="204"/>
      </rPr>
      <t>ИТОГО. СТОИМОСТЬ РАБОТ</t>
    </r>
  </si>
  <si>
    <r>
      <rPr>
        <sz val="7"/>
        <color indexed="8"/>
        <rFont val="Times New Roman"/>
        <family val="1"/>
        <charset val="204"/>
      </rPr>
      <t xml:space="preserve">Составлено:                                                                                                                                                                                                   Согласовано:
</t>
    </r>
    <r>
      <rPr>
        <sz val="5"/>
        <color indexed="8"/>
        <rFont val="Times New Roman"/>
        <family val="1"/>
        <charset val="204"/>
      </rPr>
      <t>(подпись)                                                                                                                                                                                                                                                                                                                             (подпись)</t>
    </r>
  </si>
  <si>
    <t>Шпаклевка стен под оклейку обоями (поверхность качества) К2</t>
  </si>
  <si>
    <t>Грунтовка откосов окон</t>
  </si>
  <si>
    <t>Поелейка малярного флизелина на откосы окон</t>
  </si>
  <si>
    <t>Ошкурка</t>
  </si>
  <si>
    <t>Шпаклевка откосов окон под покраску</t>
  </si>
  <si>
    <t>Оклейка стен обоями с подбором рисунка</t>
  </si>
  <si>
    <t>Комплекс демонтажных работ (демонтаж обоев, внешних уголков, подоконника, наличников, напольных покрытий, карниза, розеток и выключателей)</t>
  </si>
  <si>
    <t>Монтаж конструкции ГКЛ (зона подоконника, зона ТВ)</t>
  </si>
  <si>
    <t>м2</t>
  </si>
  <si>
    <t xml:space="preserve">Облицовка керамогранитом 1200x1200 </t>
  </si>
  <si>
    <t>Запил керамогранита под угол 45 гр</t>
  </si>
  <si>
    <t>Затирка цементная</t>
  </si>
  <si>
    <t>мпог</t>
  </si>
  <si>
    <t>6м</t>
  </si>
  <si>
    <t>Отключение - подключение кухонного крана, сифона.</t>
  </si>
  <si>
    <t xml:space="preserve">Облицовка керамогранитом 1200x1200 (зона ТВ) </t>
  </si>
  <si>
    <t xml:space="preserve">Облицовка керамогранитом плоскостей уже 400мм 1200x1200 (зона ТВ) </t>
  </si>
  <si>
    <t>Затирка эпоксидная внешних углов, швов</t>
  </si>
  <si>
    <t>Окраска откосов красками акриловыми в 2 слоя</t>
  </si>
  <si>
    <t>*Адрес объекта: ул. Дубнинская 27 к.1, кв. 188</t>
  </si>
  <si>
    <t>Устройство стяжки (до 2 см)</t>
  </si>
  <si>
    <t>Прокладка труб водоснабжения (сшитый полиэтилен Rehau)</t>
  </si>
  <si>
    <t>Адрес объекта: ул. Дубнинская 27 к.1, кв. 188</t>
  </si>
  <si>
    <r>
      <rPr>
        <b/>
        <sz val="6"/>
        <color indexed="8"/>
        <rFont val="Times New Roman"/>
        <family val="1"/>
        <charset val="204"/>
      </rPr>
      <t>СМЕТА от "</t>
    </r>
    <r>
      <rPr>
        <u/>
        <sz val="6"/>
        <color indexed="8"/>
        <rFont val="Times New Roman"/>
        <family val="1"/>
        <charset val="204"/>
      </rPr>
      <t>             </t>
    </r>
    <r>
      <rPr>
        <b/>
        <sz val="6"/>
        <color indexed="8"/>
        <rFont val="Times New Roman"/>
        <family val="1"/>
        <charset val="204"/>
      </rPr>
      <t>"</t>
    </r>
    <r>
      <rPr>
        <u/>
        <sz val="6"/>
        <color indexed="8"/>
        <rFont val="Times New Roman"/>
        <family val="1"/>
        <charset val="204"/>
      </rPr>
      <t>                                         </t>
    </r>
    <r>
      <rPr>
        <b/>
        <sz val="6"/>
        <color indexed="8"/>
        <rFont val="Times New Roman"/>
        <family val="1"/>
        <charset val="204"/>
      </rPr>
      <t>2025г.</t>
    </r>
  </si>
  <si>
    <r>
      <rPr>
        <b/>
        <sz val="6"/>
        <color indexed="8"/>
        <rFont val="Times New Roman"/>
        <family val="1"/>
        <charset val="204"/>
      </rPr>
      <t xml:space="preserve">Приложение№1 к договору №КС </t>
    </r>
    <r>
      <rPr>
        <u/>
        <sz val="6"/>
        <color indexed="8"/>
        <rFont val="Times New Roman"/>
        <family val="1"/>
        <charset val="204"/>
      </rPr>
      <t>                           </t>
    </r>
    <r>
      <rPr>
        <b/>
        <sz val="6"/>
        <color indexed="8"/>
        <rFont val="Times New Roman"/>
        <family val="1"/>
        <charset val="204"/>
      </rPr>
      <t xml:space="preserve">от </t>
    </r>
    <r>
      <rPr>
        <u/>
        <sz val="6"/>
        <color indexed="8"/>
        <rFont val="Times New Roman"/>
        <family val="1"/>
        <charset val="204"/>
      </rPr>
      <t>                               </t>
    </r>
    <r>
      <rPr>
        <b/>
        <sz val="6"/>
        <color indexed="8"/>
        <rFont val="Times New Roman"/>
        <family val="1"/>
        <charset val="204"/>
      </rPr>
      <t>2025г.</t>
    </r>
  </si>
  <si>
    <t xml:space="preserve">Адрес объекта: </t>
  </si>
  <si>
    <r>
      <rPr>
        <b/>
        <sz val="6"/>
        <color indexed="8"/>
        <rFont val="Times New Roman"/>
        <family val="1"/>
        <charset val="204"/>
      </rPr>
      <t xml:space="preserve">Смета работ </t>
    </r>
    <r>
      <rPr>
        <u/>
        <sz val="6"/>
        <color indexed="8"/>
        <rFont val="Times New Roman"/>
        <family val="1"/>
        <charset val="204"/>
      </rPr>
      <t>                           </t>
    </r>
    <r>
      <rPr>
        <b/>
        <sz val="6"/>
        <color indexed="8"/>
        <rFont val="Times New Roman"/>
        <family val="1"/>
        <charset val="204"/>
      </rPr>
      <t xml:space="preserve">от </t>
    </r>
    <r>
      <rPr>
        <u/>
        <sz val="6"/>
        <color indexed="8"/>
        <rFont val="Times New Roman"/>
        <family val="1"/>
        <charset val="204"/>
      </rPr>
      <t>                               </t>
    </r>
    <r>
      <rPr>
        <b/>
        <sz val="6"/>
        <color indexed="8"/>
        <rFont val="Times New Roman"/>
        <family val="1"/>
        <charset val="204"/>
      </rPr>
      <t>2026г.</t>
    </r>
  </si>
  <si>
    <t>ИТОГО СТОИМОСТЬ РАБОТ</t>
  </si>
  <si>
    <t>Виды работ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</si>
</sst>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Calibri"/>
      <scheme val="minor"/>
    </font>
    <font>
      <sz val="10"/>
      <name val="Calibri"/>
      <family val="2"/>
      <charset val="204"/>
    </font>
    <font>
      <b/>
      <sz val="7"/>
      <name val="Times New Roman"/>
      <family val="1"/>
      <charset val="204"/>
    </font>
    <font>
      <sz val="5"/>
      <name val="Times New Roman"/>
      <family val="1"/>
      <charset val="204"/>
    </font>
    <font>
      <sz val="5"/>
      <color indexed="8"/>
      <name val="Times New Roman"/>
      <family val="1"/>
      <charset val="204"/>
    </font>
    <font>
      <sz val="7"/>
      <name val="Times New Roman"/>
      <family val="1"/>
      <charset val="204"/>
    </font>
    <font>
      <sz val="7"/>
      <color indexed="8"/>
      <name val="Times New Roman"/>
      <family val="1"/>
      <charset val="204"/>
    </font>
    <font>
      <b/>
      <sz val="6"/>
      <color indexed="8"/>
      <name val="Times New Roman"/>
      <family val="1"/>
      <charset val="204"/>
    </font>
    <font>
      <u/>
      <sz val="6"/>
      <color indexed="8"/>
      <name val="Times New Roman"/>
      <family val="1"/>
      <charset val="204"/>
    </font>
    <font>
      <sz val="6"/>
      <color indexed="8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5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6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E16B09"/>
        <bgColor rgb="FFE16B09"/>
      </patternFill>
    </fill>
    <fill>
      <patternFill patternType="solid">
        <fgColor rgb="FFF9BE8F"/>
        <bgColor rgb="FFF9BE8F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2" fontId="11" fillId="0" borderId="2" xfId="0" applyNumberFormat="1" applyFont="1" applyBorder="1" applyAlignment="1">
      <alignment horizontal="center" vertical="top" shrinkToFit="1"/>
    </xf>
    <xf numFmtId="0" fontId="10" fillId="2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2" fontId="12" fillId="0" borderId="2" xfId="0" applyNumberFormat="1" applyFont="1" applyBorder="1" applyAlignment="1">
      <alignment horizontal="center" vertical="top" shrinkToFit="1"/>
    </xf>
    <xf numFmtId="4" fontId="12" fillId="0" borderId="2" xfId="0" applyNumberFormat="1" applyFont="1" applyBorder="1" applyAlignment="1">
      <alignment horizontal="center" vertical="top" shrinkToFit="1"/>
    </xf>
    <xf numFmtId="4" fontId="12" fillId="0" borderId="2" xfId="0" applyNumberFormat="1" applyFont="1" applyBorder="1" applyAlignment="1">
      <alignment horizontal="right" vertical="top" shrinkToFit="1"/>
    </xf>
    <xf numFmtId="4" fontId="12" fillId="2" borderId="2" xfId="0" applyNumberFormat="1" applyFont="1" applyFill="1" applyBorder="1" applyAlignment="1">
      <alignment horizontal="right" vertical="top" shrinkToFit="1"/>
    </xf>
    <xf numFmtId="2" fontId="12" fillId="0" borderId="2" xfId="0" applyNumberFormat="1" applyFont="1" applyBorder="1" applyAlignment="1">
      <alignment horizontal="right" vertical="top" shrinkToFit="1"/>
    </xf>
    <xf numFmtId="2" fontId="12" fillId="2" borderId="2" xfId="0" applyNumberFormat="1" applyFont="1" applyFill="1" applyBorder="1" applyAlignment="1">
      <alignment horizontal="right" vertical="top" shrinkToFit="1"/>
    </xf>
    <xf numFmtId="4" fontId="12" fillId="3" borderId="2" xfId="0" applyNumberFormat="1" applyFont="1" applyFill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2" fillId="2" borderId="3" xfId="0" applyFont="1" applyFill="1" applyBorder="1" applyAlignment="1">
      <alignment horizontal="right" vertical="top" wrapText="1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/>
    </xf>
    <xf numFmtId="4" fontId="11" fillId="0" borderId="3" xfId="0" applyNumberFormat="1" applyFont="1" applyBorder="1" applyAlignment="1">
      <alignment horizontal="center" vertical="top" shrinkToFit="1"/>
    </xf>
    <xf numFmtId="0" fontId="5" fillId="3" borderId="3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wrapText="1"/>
    </xf>
    <xf numFmtId="0" fontId="0" fillId="0" borderId="0" xfId="0" applyFont="1" applyAlignment="1">
      <alignment horizontal="left" vertical="top"/>
    </xf>
    <xf numFmtId="0" fontId="10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/>
    </xf>
    <xf numFmtId="0" fontId="5" fillId="3" borderId="3" xfId="0" applyFont="1" applyFill="1" applyBorder="1" applyAlignment="1">
      <alignment horizontal="right" vertical="top" wrapText="1"/>
    </xf>
    <xf numFmtId="0" fontId="9" fillId="0" borderId="7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0</xdr:col>
      <xdr:colOff>693420</xdr:colOff>
      <xdr:row>53</xdr:row>
      <xdr:rowOff>0</xdr:rowOff>
    </xdr:to>
    <xdr:sp macro="" textlink="">
      <xdr:nvSpPr>
        <xdr:cNvPr id="2050" name="Shape 14"/>
        <xdr:cNvSpPr>
          <a:spLocks/>
        </xdr:cNvSpPr>
      </xdr:nvSpPr>
      <xdr:spPr bwMode="auto">
        <a:xfrm>
          <a:off x="0" y="6865620"/>
          <a:ext cx="693420" cy="0"/>
        </a:xfrm>
        <a:custGeom>
          <a:avLst/>
          <a:gdLst>
            <a:gd name="T0" fmla="*/ 0 w 699770"/>
            <a:gd name="T1" fmla="*/ 699516 w 699770"/>
            <a:gd name="T2" fmla="*/ 0 w 699770"/>
            <a:gd name="T3" fmla="*/ 699770 w 699770"/>
          </a:gdLst>
          <a:ahLst/>
          <a:cxnLst>
            <a:cxn ang="0">
              <a:pos x="T0" y="0"/>
            </a:cxn>
            <a:cxn ang="0">
              <a:pos x="T1" y="0"/>
            </a:cxn>
          </a:cxnLst>
          <a:rect l="T2" t="0" r="T3" b="0"/>
          <a:pathLst>
            <a:path w="699770">
              <a:moveTo>
                <a:pt x="0" y="0"/>
              </a:moveTo>
              <a:lnTo>
                <a:pt x="699516" y="0"/>
              </a:lnTo>
            </a:path>
          </a:pathLst>
        </a:custGeom>
        <a:noFill/>
        <a:ln w="5088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0</xdr:col>
      <xdr:colOff>693420</xdr:colOff>
      <xdr:row>28</xdr:row>
      <xdr:rowOff>0</xdr:rowOff>
    </xdr:to>
    <xdr:sp macro="" textlink="">
      <xdr:nvSpPr>
        <xdr:cNvPr id="6146" name="Shape 21"/>
        <xdr:cNvSpPr>
          <a:spLocks/>
        </xdr:cNvSpPr>
      </xdr:nvSpPr>
      <xdr:spPr bwMode="auto">
        <a:xfrm>
          <a:off x="0" y="7498080"/>
          <a:ext cx="693420" cy="0"/>
        </a:xfrm>
        <a:custGeom>
          <a:avLst/>
          <a:gdLst>
            <a:gd name="T0" fmla="*/ 0 w 699770"/>
            <a:gd name="T1" fmla="*/ 699516 w 699770"/>
            <a:gd name="T2" fmla="*/ 0 w 699770"/>
            <a:gd name="T3" fmla="*/ 699770 w 699770"/>
          </a:gdLst>
          <a:ahLst/>
          <a:cxnLst>
            <a:cxn ang="0">
              <a:pos x="T0" y="0"/>
            </a:cxn>
            <a:cxn ang="0">
              <a:pos x="T1" y="0"/>
            </a:cxn>
          </a:cxnLst>
          <a:rect l="T2" t="0" r="T3" b="0"/>
          <a:pathLst>
            <a:path w="699770">
              <a:moveTo>
                <a:pt x="0" y="0"/>
              </a:moveTo>
              <a:lnTo>
                <a:pt x="699516" y="0"/>
              </a:lnTo>
            </a:path>
          </a:pathLst>
        </a:custGeom>
        <a:noFill/>
        <a:ln w="5088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18</xdr:row>
      <xdr:rowOff>419100</xdr:rowOff>
    </xdr:from>
    <xdr:to>
      <xdr:col>0</xdr:col>
      <xdr:colOff>716280</xdr:colOff>
      <xdr:row>19</xdr:row>
      <xdr:rowOff>0</xdr:rowOff>
    </xdr:to>
    <xdr:sp macro="" textlink="">
      <xdr:nvSpPr>
        <xdr:cNvPr id="11267" name="Shape 23"/>
        <xdr:cNvSpPr>
          <a:spLocks/>
        </xdr:cNvSpPr>
      </xdr:nvSpPr>
      <xdr:spPr bwMode="auto">
        <a:xfrm>
          <a:off x="22860" y="3368040"/>
          <a:ext cx="693420" cy="0"/>
        </a:xfrm>
        <a:custGeom>
          <a:avLst/>
          <a:gdLst>
            <a:gd name="T0" fmla="*/ 0 w 699770"/>
            <a:gd name="T1" fmla="*/ 699516 w 699770"/>
            <a:gd name="T2" fmla="*/ 0 w 699770"/>
            <a:gd name="T3" fmla="*/ 699770 w 699770"/>
          </a:gdLst>
          <a:ahLst/>
          <a:cxnLst>
            <a:cxn ang="0">
              <a:pos x="T0" y="0"/>
            </a:cxn>
            <a:cxn ang="0">
              <a:pos x="T1" y="0"/>
            </a:cxn>
          </a:cxnLst>
          <a:rect l="T2" t="0" r="T3" b="0"/>
          <a:pathLst>
            <a:path w="699770">
              <a:moveTo>
                <a:pt x="0" y="0"/>
              </a:moveTo>
              <a:lnTo>
                <a:pt x="699516" y="0"/>
              </a:lnTo>
            </a:path>
          </a:pathLst>
        </a:custGeom>
        <a:noFill/>
        <a:ln w="5088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 fLocksWithSheet="0"/>
  </xdr:twoCellAnchor>
  <xdr:twoCellAnchor editAs="oneCell">
    <xdr:from>
      <xdr:col>1</xdr:col>
      <xdr:colOff>609600</xdr:colOff>
      <xdr:row>18</xdr:row>
      <xdr:rowOff>419100</xdr:rowOff>
    </xdr:from>
    <xdr:to>
      <xdr:col>3</xdr:col>
      <xdr:colOff>83820</xdr:colOff>
      <xdr:row>19</xdr:row>
      <xdr:rowOff>0</xdr:rowOff>
    </xdr:to>
    <xdr:sp macro="" textlink="">
      <xdr:nvSpPr>
        <xdr:cNvPr id="11268" name="Shape 24"/>
        <xdr:cNvSpPr>
          <a:spLocks/>
        </xdr:cNvSpPr>
      </xdr:nvSpPr>
      <xdr:spPr bwMode="auto">
        <a:xfrm>
          <a:off x="4480560" y="3368040"/>
          <a:ext cx="693420" cy="0"/>
        </a:xfrm>
        <a:custGeom>
          <a:avLst/>
          <a:gdLst>
            <a:gd name="T0" fmla="*/ 0 w 699770"/>
            <a:gd name="T1" fmla="*/ 699516 w 699770"/>
            <a:gd name="T2" fmla="*/ 0 w 699770"/>
            <a:gd name="T3" fmla="*/ 699770 w 699770"/>
          </a:gdLst>
          <a:ahLst/>
          <a:cxnLst>
            <a:cxn ang="0">
              <a:pos x="T0" y="0"/>
            </a:cxn>
            <a:cxn ang="0">
              <a:pos x="T1" y="0"/>
            </a:cxn>
          </a:cxnLst>
          <a:rect l="T2" t="0" r="T3" b="0"/>
          <a:pathLst>
            <a:path w="699770">
              <a:moveTo>
                <a:pt x="0" y="0"/>
              </a:moveTo>
              <a:lnTo>
                <a:pt x="699516" y="0"/>
              </a:lnTo>
            </a:path>
          </a:pathLst>
        </a:custGeom>
        <a:noFill/>
        <a:ln w="5088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workbookViewId="0">
      <selection activeCell="B3" sqref="B3"/>
    </sheetView>
  </sheetViews>
  <sheetFormatPr defaultColWidth="14.44140625" defaultRowHeight="15" customHeight="1" x14ac:dyDescent="0.3"/>
  <cols>
    <col min="1" max="1" width="81.6640625" customWidth="1"/>
    <col min="2" max="2" width="11.33203125" customWidth="1"/>
    <col min="3" max="4" width="11.6640625" customWidth="1"/>
    <col min="5" max="5" width="11.5546875" customWidth="1"/>
    <col min="6" max="11" width="8.6640625" customWidth="1"/>
  </cols>
  <sheetData>
    <row r="1" spans="1:5" ht="13.5" customHeight="1" x14ac:dyDescent="0.3">
      <c r="A1" s="27" t="s">
        <v>163</v>
      </c>
      <c r="B1" s="25"/>
      <c r="C1" s="25"/>
      <c r="D1" s="25"/>
      <c r="E1" s="26"/>
    </row>
    <row r="2" spans="1:5" ht="13.5" customHeight="1" x14ac:dyDescent="0.3">
      <c r="A2" s="28" t="s">
        <v>168</v>
      </c>
      <c r="B2" s="2"/>
      <c r="C2" s="2" t="s">
        <v>0</v>
      </c>
      <c r="D2" s="2" t="s">
        <v>1</v>
      </c>
      <c r="E2" s="3" t="s">
        <v>2</v>
      </c>
    </row>
    <row r="3" spans="1:5" ht="13.5" customHeight="1" x14ac:dyDescent="0.3">
      <c r="A3" s="29"/>
      <c r="B3" s="4"/>
      <c r="C3" s="4"/>
      <c r="D3" s="4"/>
      <c r="E3" s="4"/>
    </row>
    <row r="4" spans="1:5" ht="8.25" customHeight="1" x14ac:dyDescent="0.3">
      <c r="A4" s="23" t="s">
        <v>167</v>
      </c>
      <c r="B4" s="30"/>
      <c r="C4" s="25"/>
      <c r="D4" s="25"/>
      <c r="E4" s="26"/>
    </row>
    <row r="5" spans="1:5" ht="9.75" customHeight="1" x14ac:dyDescent="0.25">
      <c r="A5" s="5"/>
      <c r="B5" s="5"/>
      <c r="C5" s="5"/>
      <c r="D5" s="5"/>
      <c r="E5" s="5"/>
    </row>
    <row r="6" spans="1:5" ht="9.75" customHeight="1" x14ac:dyDescent="0.3">
      <c r="A6" s="6" t="s">
        <v>3</v>
      </c>
      <c r="B6" s="7" t="s">
        <v>4</v>
      </c>
      <c r="C6" s="8" t="s">
        <v>5</v>
      </c>
      <c r="D6" s="6" t="s">
        <v>6</v>
      </c>
      <c r="E6" s="8" t="s">
        <v>7</v>
      </c>
    </row>
    <row r="7" spans="1:5" ht="9.75" customHeight="1" x14ac:dyDescent="0.25">
      <c r="A7" s="9" t="s">
        <v>8</v>
      </c>
      <c r="B7" s="10"/>
      <c r="C7" s="10"/>
      <c r="D7" s="10"/>
      <c r="E7" s="10"/>
    </row>
    <row r="8" spans="1:5" ht="19.2" x14ac:dyDescent="0.3">
      <c r="A8" s="11" t="s">
        <v>150</v>
      </c>
      <c r="B8" s="11" t="s">
        <v>9</v>
      </c>
      <c r="C8" s="12">
        <v>9</v>
      </c>
      <c r="D8" s="13">
        <v>1500</v>
      </c>
      <c r="E8" s="14">
        <f>C8*D8</f>
        <v>13500</v>
      </c>
    </row>
    <row r="9" spans="1:5" ht="9.75" customHeight="1" x14ac:dyDescent="0.3">
      <c r="A9" s="24" t="s">
        <v>10</v>
      </c>
      <c r="B9" s="25"/>
      <c r="C9" s="25"/>
      <c r="D9" s="26"/>
      <c r="E9" s="15">
        <v>22695</v>
      </c>
    </row>
    <row r="10" spans="1:5" ht="9.75" customHeight="1" x14ac:dyDescent="0.3">
      <c r="A10" s="6" t="s">
        <v>11</v>
      </c>
      <c r="B10" s="7" t="s">
        <v>12</v>
      </c>
      <c r="C10" s="8" t="s">
        <v>13</v>
      </c>
      <c r="D10" s="6" t="s">
        <v>14</v>
      </c>
      <c r="E10" s="8" t="s">
        <v>15</v>
      </c>
    </row>
    <row r="11" spans="1:5" ht="9.75" customHeight="1" x14ac:dyDescent="0.25">
      <c r="A11" s="9" t="s">
        <v>16</v>
      </c>
      <c r="B11" s="10"/>
      <c r="C11" s="10"/>
      <c r="D11" s="10"/>
      <c r="E11" s="10"/>
    </row>
    <row r="12" spans="1:5" ht="9.75" customHeight="1" x14ac:dyDescent="0.3">
      <c r="A12" s="11" t="s">
        <v>17</v>
      </c>
      <c r="B12" s="11" t="s">
        <v>18</v>
      </c>
      <c r="C12" s="12">
        <v>9</v>
      </c>
      <c r="D12" s="12">
        <v>90</v>
      </c>
      <c r="E12" s="16">
        <v>801</v>
      </c>
    </row>
    <row r="13" spans="1:5" ht="9.75" customHeight="1" x14ac:dyDescent="0.3">
      <c r="A13" s="11" t="s">
        <v>164</v>
      </c>
      <c r="B13" s="11" t="s">
        <v>19</v>
      </c>
      <c r="C13" s="12">
        <v>9</v>
      </c>
      <c r="D13" s="12">
        <v>850</v>
      </c>
      <c r="E13" s="14">
        <v>4886.1000000000004</v>
      </c>
    </row>
    <row r="14" spans="1:5" ht="9.75" customHeight="1" x14ac:dyDescent="0.25">
      <c r="A14" s="9" t="s">
        <v>20</v>
      </c>
      <c r="B14" s="10"/>
      <c r="C14" s="10"/>
      <c r="D14" s="10"/>
      <c r="E14" s="10"/>
    </row>
    <row r="15" spans="1:5" ht="9.75" customHeight="1" x14ac:dyDescent="0.3">
      <c r="A15" s="11" t="s">
        <v>21</v>
      </c>
      <c r="B15" s="11" t="s">
        <v>22</v>
      </c>
      <c r="C15" s="12">
        <v>21</v>
      </c>
      <c r="D15" s="12">
        <v>119</v>
      </c>
      <c r="E15" s="14">
        <v>1785</v>
      </c>
    </row>
    <row r="16" spans="1:5" ht="9.75" customHeight="1" x14ac:dyDescent="0.3">
      <c r="A16" s="11" t="s">
        <v>23</v>
      </c>
      <c r="B16" s="11" t="s">
        <v>24</v>
      </c>
      <c r="C16" s="12">
        <v>21</v>
      </c>
      <c r="D16" s="12">
        <v>900</v>
      </c>
      <c r="E16" s="14">
        <v>15868.65</v>
      </c>
    </row>
    <row r="17" spans="1:5" ht="9.75" customHeight="1" x14ac:dyDescent="0.3">
      <c r="A17" s="11" t="s">
        <v>25</v>
      </c>
      <c r="B17" s="11" t="s">
        <v>26</v>
      </c>
      <c r="C17" s="12">
        <v>21</v>
      </c>
      <c r="D17" s="12">
        <v>150</v>
      </c>
      <c r="E17" s="14">
        <v>4000.5</v>
      </c>
    </row>
    <row r="18" spans="1:5" ht="9.75" customHeight="1" x14ac:dyDescent="0.3">
      <c r="A18" s="11" t="s">
        <v>144</v>
      </c>
      <c r="B18" s="11" t="s">
        <v>27</v>
      </c>
      <c r="C18" s="12">
        <v>25</v>
      </c>
      <c r="D18" s="12">
        <v>655</v>
      </c>
      <c r="E18" s="14">
        <v>17468.849999999999</v>
      </c>
    </row>
    <row r="19" spans="1:5" ht="9.75" customHeight="1" x14ac:dyDescent="0.3">
      <c r="A19" s="11" t="s">
        <v>28</v>
      </c>
      <c r="B19" s="11" t="s">
        <v>29</v>
      </c>
      <c r="C19" s="12">
        <v>25</v>
      </c>
      <c r="D19" s="12">
        <v>195</v>
      </c>
      <c r="E19" s="14">
        <v>5200.6499999999996</v>
      </c>
    </row>
    <row r="20" spans="1:5" ht="9.75" customHeight="1" x14ac:dyDescent="0.3">
      <c r="A20" s="11" t="s">
        <v>151</v>
      </c>
      <c r="B20" s="11" t="s">
        <v>152</v>
      </c>
      <c r="C20" s="12">
        <v>6</v>
      </c>
      <c r="D20" s="12">
        <v>1500</v>
      </c>
      <c r="E20" s="14">
        <v>5200.6499999999996</v>
      </c>
    </row>
    <row r="21" spans="1:5" ht="9.75" customHeight="1" x14ac:dyDescent="0.25">
      <c r="A21" s="9" t="s">
        <v>31</v>
      </c>
      <c r="B21" s="10"/>
      <c r="C21" s="10"/>
      <c r="D21" s="10"/>
      <c r="E21" s="10"/>
    </row>
    <row r="22" spans="1:5" ht="9.75" customHeight="1" x14ac:dyDescent="0.3">
      <c r="A22" s="11" t="s">
        <v>145</v>
      </c>
      <c r="B22" s="11" t="s">
        <v>32</v>
      </c>
      <c r="C22" s="12">
        <v>6.5</v>
      </c>
      <c r="D22" s="12">
        <v>80</v>
      </c>
      <c r="E22" s="16">
        <v>360</v>
      </c>
    </row>
    <row r="23" spans="1:5" ht="9.75" customHeight="1" x14ac:dyDescent="0.3">
      <c r="A23" s="11" t="s">
        <v>146</v>
      </c>
      <c r="B23" s="11" t="s">
        <v>33</v>
      </c>
      <c r="C23" s="12">
        <f>C22</f>
        <v>6.5</v>
      </c>
      <c r="D23" s="12">
        <v>750</v>
      </c>
      <c r="E23" s="14">
        <v>3375</v>
      </c>
    </row>
    <row r="24" spans="1:5" ht="9.75" customHeight="1" x14ac:dyDescent="0.3">
      <c r="A24" s="11" t="s">
        <v>148</v>
      </c>
      <c r="B24" s="11" t="s">
        <v>34</v>
      </c>
      <c r="C24" s="12">
        <f>C22</f>
        <v>6.5</v>
      </c>
      <c r="D24" s="12">
        <v>750</v>
      </c>
      <c r="E24" s="14">
        <v>3375</v>
      </c>
    </row>
    <row r="25" spans="1:5" ht="9.75" customHeight="1" x14ac:dyDescent="0.3">
      <c r="A25" s="11" t="s">
        <v>147</v>
      </c>
      <c r="B25" s="11" t="s">
        <v>35</v>
      </c>
      <c r="C25" s="12">
        <f>C22</f>
        <v>6.5</v>
      </c>
      <c r="D25" s="12">
        <v>195</v>
      </c>
      <c r="E25" s="16">
        <v>877.5</v>
      </c>
    </row>
    <row r="26" spans="1:5" ht="9.75" customHeight="1" x14ac:dyDescent="0.25">
      <c r="A26" s="9" t="s">
        <v>36</v>
      </c>
      <c r="B26" s="10"/>
      <c r="C26" s="10"/>
      <c r="D26" s="10"/>
      <c r="E26" s="10"/>
    </row>
    <row r="27" spans="1:5" ht="9.75" customHeight="1" x14ac:dyDescent="0.3">
      <c r="A27" s="11" t="s">
        <v>37</v>
      </c>
      <c r="B27" s="11" t="s">
        <v>38</v>
      </c>
      <c r="C27" s="12">
        <v>2.83</v>
      </c>
      <c r="D27" s="12">
        <v>850</v>
      </c>
      <c r="E27" s="14">
        <v>2405.5</v>
      </c>
    </row>
    <row r="28" spans="1:5" ht="9.75" customHeight="1" x14ac:dyDescent="0.3">
      <c r="A28" s="24" t="s">
        <v>39</v>
      </c>
      <c r="B28" s="25"/>
      <c r="C28" s="25"/>
      <c r="D28" s="26"/>
      <c r="E28" s="15">
        <f>SUM(E12:E27)</f>
        <v>65604.399999999994</v>
      </c>
    </row>
    <row r="29" spans="1:5" ht="9.75" customHeight="1" x14ac:dyDescent="0.3">
      <c r="A29" s="6" t="s">
        <v>40</v>
      </c>
      <c r="B29" s="7" t="s">
        <v>41</v>
      </c>
      <c r="C29" s="8" t="s">
        <v>42</v>
      </c>
      <c r="D29" s="6" t="s">
        <v>43</v>
      </c>
      <c r="E29" s="8" t="s">
        <v>44</v>
      </c>
    </row>
    <row r="30" spans="1:5" ht="9.75" customHeight="1" x14ac:dyDescent="0.25">
      <c r="A30" s="9" t="s">
        <v>45</v>
      </c>
      <c r="B30" s="10"/>
      <c r="C30" s="10"/>
      <c r="D30" s="10"/>
      <c r="E30" s="10"/>
    </row>
    <row r="31" spans="1:5" ht="9.75" customHeight="1" x14ac:dyDescent="0.3">
      <c r="A31" s="11" t="s">
        <v>153</v>
      </c>
      <c r="B31" s="11" t="s">
        <v>46</v>
      </c>
      <c r="C31" s="12">
        <v>9</v>
      </c>
      <c r="D31" s="13">
        <v>3900</v>
      </c>
      <c r="E31" s="14">
        <v>26255</v>
      </c>
    </row>
    <row r="32" spans="1:5" ht="9.75" customHeight="1" x14ac:dyDescent="0.3">
      <c r="A32" s="11" t="s">
        <v>155</v>
      </c>
      <c r="B32" s="11" t="s">
        <v>47</v>
      </c>
      <c r="C32" s="12">
        <v>9</v>
      </c>
      <c r="D32" s="12">
        <v>400</v>
      </c>
      <c r="E32" s="14">
        <v>3426.5</v>
      </c>
    </row>
    <row r="33" spans="1:5" ht="9.75" customHeight="1" x14ac:dyDescent="0.3">
      <c r="A33" s="11" t="s">
        <v>48</v>
      </c>
      <c r="B33" s="11" t="s">
        <v>49</v>
      </c>
      <c r="C33" s="12">
        <v>7</v>
      </c>
      <c r="D33" s="12">
        <v>600</v>
      </c>
      <c r="E33" s="14">
        <v>2180</v>
      </c>
    </row>
    <row r="34" spans="1:5" ht="9.75" customHeight="1" x14ac:dyDescent="0.3">
      <c r="A34" s="11" t="s">
        <v>50</v>
      </c>
      <c r="B34" s="11" t="s">
        <v>51</v>
      </c>
      <c r="C34" s="12">
        <v>12</v>
      </c>
      <c r="D34" s="12">
        <v>700</v>
      </c>
      <c r="E34" s="14">
        <v>7409</v>
      </c>
    </row>
    <row r="35" spans="1:5" ht="9.75" customHeight="1" x14ac:dyDescent="0.25">
      <c r="A35" s="9" t="s">
        <v>52</v>
      </c>
      <c r="B35" s="10"/>
      <c r="C35" s="10"/>
      <c r="D35" s="10"/>
      <c r="E35" s="10"/>
    </row>
    <row r="36" spans="1:5" ht="9.75" customHeight="1" x14ac:dyDescent="0.3">
      <c r="A36" s="11" t="s">
        <v>149</v>
      </c>
      <c r="B36" s="11" t="s">
        <v>53</v>
      </c>
      <c r="C36" s="12">
        <v>25</v>
      </c>
      <c r="D36" s="12">
        <v>650</v>
      </c>
      <c r="E36" s="14">
        <f t="shared" ref="E36:E41" si="0">D36*C36</f>
        <v>16250</v>
      </c>
    </row>
    <row r="37" spans="1:5" ht="9.75" customHeight="1" x14ac:dyDescent="0.3">
      <c r="A37" s="11" t="s">
        <v>159</v>
      </c>
      <c r="B37" s="11" t="s">
        <v>9</v>
      </c>
      <c r="C37" s="12">
        <v>3</v>
      </c>
      <c r="D37" s="13">
        <v>3900</v>
      </c>
      <c r="E37" s="14">
        <f t="shared" si="0"/>
        <v>11700</v>
      </c>
    </row>
    <row r="38" spans="1:5" ht="9.75" customHeight="1" x14ac:dyDescent="0.3">
      <c r="A38" s="11" t="s">
        <v>160</v>
      </c>
      <c r="B38" s="11" t="s">
        <v>156</v>
      </c>
      <c r="C38" s="12">
        <v>6</v>
      </c>
      <c r="D38" s="13">
        <v>2000</v>
      </c>
      <c r="E38" s="14">
        <f t="shared" si="0"/>
        <v>12000</v>
      </c>
    </row>
    <row r="39" spans="1:5" ht="9.75" customHeight="1" x14ac:dyDescent="0.3">
      <c r="A39" s="11" t="s">
        <v>48</v>
      </c>
      <c r="B39" s="11" t="s">
        <v>156</v>
      </c>
      <c r="C39" s="12">
        <v>5</v>
      </c>
      <c r="D39" s="12">
        <v>600</v>
      </c>
      <c r="E39" s="14">
        <f t="shared" si="0"/>
        <v>3000</v>
      </c>
    </row>
    <row r="40" spans="1:5" ht="9.75" customHeight="1" x14ac:dyDescent="0.3">
      <c r="A40" s="11" t="s">
        <v>154</v>
      </c>
      <c r="B40" s="11" t="s">
        <v>156</v>
      </c>
      <c r="C40" s="12">
        <v>12</v>
      </c>
      <c r="D40" s="13">
        <v>1200</v>
      </c>
      <c r="E40" s="14">
        <f t="shared" si="0"/>
        <v>14400</v>
      </c>
    </row>
    <row r="41" spans="1:5" ht="9.75" customHeight="1" x14ac:dyDescent="0.3">
      <c r="A41" s="11" t="s">
        <v>161</v>
      </c>
      <c r="B41" s="11" t="s">
        <v>157</v>
      </c>
      <c r="C41" s="12">
        <v>9</v>
      </c>
      <c r="D41" s="13">
        <v>1200</v>
      </c>
      <c r="E41" s="14">
        <f t="shared" si="0"/>
        <v>10800</v>
      </c>
    </row>
    <row r="42" spans="1:5" ht="9.75" customHeight="1" x14ac:dyDescent="0.25">
      <c r="A42" s="9" t="s">
        <v>54</v>
      </c>
      <c r="B42" s="10"/>
      <c r="C42" s="10"/>
      <c r="D42" s="10"/>
      <c r="E42" s="10"/>
    </row>
    <row r="43" spans="1:5" ht="9.75" customHeight="1" x14ac:dyDescent="0.3">
      <c r="A43" s="11" t="s">
        <v>162</v>
      </c>
      <c r="B43" s="11" t="s">
        <v>55</v>
      </c>
      <c r="C43" s="12">
        <v>6.5</v>
      </c>
      <c r="D43" s="12">
        <v>400</v>
      </c>
      <c r="E43" s="14">
        <v>1350</v>
      </c>
    </row>
    <row r="44" spans="1:5" ht="9.75" customHeight="1" x14ac:dyDescent="0.3">
      <c r="A44" s="24" t="s">
        <v>56</v>
      </c>
      <c r="B44" s="25"/>
      <c r="C44" s="25"/>
      <c r="D44" s="26"/>
      <c r="E44" s="15">
        <f>SUM(E31:E43)</f>
        <v>108770.5</v>
      </c>
    </row>
    <row r="45" spans="1:5" ht="9.75" customHeight="1" x14ac:dyDescent="0.3">
      <c r="A45" s="6" t="s">
        <v>57</v>
      </c>
      <c r="B45" s="7" t="s">
        <v>58</v>
      </c>
      <c r="C45" s="8" t="s">
        <v>59</v>
      </c>
      <c r="D45" s="6" t="s">
        <v>60</v>
      </c>
      <c r="E45" s="8" t="s">
        <v>61</v>
      </c>
    </row>
    <row r="46" spans="1:5" ht="9.75" customHeight="1" x14ac:dyDescent="0.3">
      <c r="A46" s="11" t="s">
        <v>158</v>
      </c>
      <c r="B46" s="11" t="s">
        <v>62</v>
      </c>
      <c r="C46" s="12">
        <v>1</v>
      </c>
      <c r="D46" s="13">
        <v>3000</v>
      </c>
      <c r="E46" s="14">
        <v>3000</v>
      </c>
    </row>
    <row r="47" spans="1:5" ht="9.75" customHeight="1" x14ac:dyDescent="0.3">
      <c r="A47" s="24" t="s">
        <v>63</v>
      </c>
      <c r="B47" s="25"/>
      <c r="C47" s="25"/>
      <c r="D47" s="26"/>
      <c r="E47" s="15">
        <f>E46</f>
        <v>3000</v>
      </c>
    </row>
    <row r="48" spans="1:5" ht="9.75" customHeight="1" x14ac:dyDescent="0.3">
      <c r="A48" s="6" t="s">
        <v>64</v>
      </c>
      <c r="B48" s="7" t="s">
        <v>65</v>
      </c>
      <c r="C48" s="8" t="s">
        <v>66</v>
      </c>
      <c r="D48" s="6" t="s">
        <v>67</v>
      </c>
      <c r="E48" s="8" t="s">
        <v>68</v>
      </c>
    </row>
    <row r="49" spans="1:5" ht="9.75" customHeight="1" x14ac:dyDescent="0.3">
      <c r="A49" s="11" t="s">
        <v>69</v>
      </c>
      <c r="B49" s="11" t="s">
        <v>70</v>
      </c>
      <c r="C49" s="12">
        <v>15</v>
      </c>
      <c r="D49" s="12">
        <v>150</v>
      </c>
      <c r="E49" s="16">
        <f>C49*D49</f>
        <v>2250</v>
      </c>
    </row>
    <row r="50" spans="1:5" ht="9.75" customHeight="1" x14ac:dyDescent="0.3">
      <c r="A50" s="24" t="s">
        <v>71</v>
      </c>
      <c r="B50" s="25"/>
      <c r="C50" s="25"/>
      <c r="D50" s="26"/>
      <c r="E50" s="17">
        <v>934.5</v>
      </c>
    </row>
    <row r="51" spans="1:5" ht="9.75" customHeight="1" x14ac:dyDescent="0.3">
      <c r="A51" s="31" t="s">
        <v>72</v>
      </c>
      <c r="B51" s="25"/>
      <c r="C51" s="25"/>
      <c r="D51" s="26"/>
      <c r="E51" s="18">
        <f>E50+E47+E44+E28+E9</f>
        <v>201004.4</v>
      </c>
    </row>
    <row r="52" spans="1:5" ht="21.75" customHeight="1" x14ac:dyDescent="0.3">
      <c r="A52" s="19" t="s">
        <v>73</v>
      </c>
      <c r="B52" s="1"/>
      <c r="C52" s="19" t="s">
        <v>74</v>
      </c>
      <c r="D52" s="1"/>
      <c r="E52" s="1"/>
    </row>
    <row r="53" spans="1:5" ht="11.25" customHeight="1" x14ac:dyDescent="0.25">
      <c r="A53" s="20"/>
      <c r="B53" s="32"/>
      <c r="C53" s="33"/>
      <c r="D53" s="33"/>
      <c r="E53" s="20"/>
    </row>
    <row r="54" spans="1:5" ht="8.25" customHeight="1" x14ac:dyDescent="0.25">
      <c r="A54" s="21" t="s">
        <v>75</v>
      </c>
      <c r="B54" s="20"/>
      <c r="C54" s="22" t="s">
        <v>76</v>
      </c>
      <c r="D54" s="20"/>
      <c r="E54" s="20"/>
    </row>
    <row r="55" spans="1:5" ht="15.75" customHeight="1" x14ac:dyDescent="0.3"/>
    <row r="56" spans="1:5" ht="15.75" customHeight="1" x14ac:dyDescent="0.3"/>
    <row r="57" spans="1:5" ht="15.75" customHeight="1" x14ac:dyDescent="0.3"/>
    <row r="58" spans="1:5" ht="15.75" customHeight="1" x14ac:dyDescent="0.3"/>
    <row r="59" spans="1:5" ht="15.75" customHeight="1" x14ac:dyDescent="0.3"/>
    <row r="60" spans="1:5" ht="15.75" customHeight="1" x14ac:dyDescent="0.3"/>
    <row r="61" spans="1:5" ht="15.75" customHeight="1" x14ac:dyDescent="0.3"/>
    <row r="62" spans="1:5" ht="15.75" customHeight="1" x14ac:dyDescent="0.3"/>
    <row r="63" spans="1:5" ht="15.75" customHeight="1" x14ac:dyDescent="0.3"/>
    <row r="64" spans="1:5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</sheetData>
  <mergeCells count="10">
    <mergeCell ref="A50:D50"/>
    <mergeCell ref="A51:D51"/>
    <mergeCell ref="B53:D53"/>
    <mergeCell ref="A44:D44"/>
    <mergeCell ref="A47:D47"/>
    <mergeCell ref="A1:E1"/>
    <mergeCell ref="A2:A3"/>
    <mergeCell ref="B4:E4"/>
    <mergeCell ref="A9:D9"/>
    <mergeCell ref="A28:D2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abSelected="1" workbookViewId="0">
      <selection activeCell="A4" sqref="A4:IV4"/>
    </sheetView>
  </sheetViews>
  <sheetFormatPr defaultColWidth="14.44140625" defaultRowHeight="15" customHeight="1" x14ac:dyDescent="0.3"/>
  <cols>
    <col min="1" max="1" width="81.6640625" customWidth="1"/>
    <col min="2" max="2" width="11.33203125" customWidth="1"/>
    <col min="3" max="4" width="11.6640625" customWidth="1"/>
    <col min="5" max="5" width="11.5546875" customWidth="1"/>
    <col min="6" max="11" width="8.6640625" customWidth="1"/>
  </cols>
  <sheetData>
    <row r="1" spans="1:5" ht="13.5" customHeight="1" x14ac:dyDescent="0.3">
      <c r="A1" s="27" t="s">
        <v>169</v>
      </c>
      <c r="B1" s="25"/>
      <c r="C1" s="25"/>
      <c r="D1" s="25"/>
      <c r="E1" s="26"/>
    </row>
    <row r="2" spans="1:5" ht="13.5" customHeight="1" x14ac:dyDescent="0.3">
      <c r="A2" s="37" t="s">
        <v>170</v>
      </c>
      <c r="B2" s="2" t="s">
        <v>77</v>
      </c>
      <c r="C2" s="2" t="s">
        <v>78</v>
      </c>
      <c r="D2" s="2" t="s">
        <v>79</v>
      </c>
      <c r="E2" s="3" t="s">
        <v>80</v>
      </c>
    </row>
    <row r="3" spans="1:5" ht="13.5" customHeight="1" x14ac:dyDescent="0.3">
      <c r="A3" s="29"/>
      <c r="B3" s="4"/>
      <c r="C3" s="4"/>
      <c r="D3" s="4"/>
      <c r="E3" s="4"/>
    </row>
    <row r="4" spans="1:5" ht="9.75" customHeight="1" x14ac:dyDescent="0.25">
      <c r="A4" s="5"/>
      <c r="B4" s="5"/>
      <c r="C4" s="5"/>
      <c r="D4" s="5"/>
      <c r="E4" s="5"/>
    </row>
    <row r="5" spans="1:5" ht="9.75" customHeight="1" x14ac:dyDescent="0.3">
      <c r="A5" s="6" t="s">
        <v>172</v>
      </c>
      <c r="B5" s="7" t="s">
        <v>81</v>
      </c>
      <c r="C5" s="8" t="s">
        <v>82</v>
      </c>
      <c r="D5" s="6" t="s">
        <v>83</v>
      </c>
      <c r="E5" s="8" t="s">
        <v>84</v>
      </c>
    </row>
    <row r="6" spans="1:5" ht="9.75" customHeight="1" x14ac:dyDescent="0.3">
      <c r="A6" s="11" t="s">
        <v>85</v>
      </c>
      <c r="B6" s="11" t="s">
        <v>86</v>
      </c>
      <c r="C6" s="12">
        <v>1</v>
      </c>
      <c r="D6" s="13">
        <v>4500</v>
      </c>
      <c r="E6" s="14">
        <v>4500</v>
      </c>
    </row>
    <row r="7" spans="1:5" ht="9.75" customHeight="1" x14ac:dyDescent="0.3">
      <c r="A7" s="11" t="s">
        <v>87</v>
      </c>
      <c r="B7" s="11" t="s">
        <v>88</v>
      </c>
      <c r="C7" s="12">
        <v>1</v>
      </c>
      <c r="D7" s="13">
        <v>1800</v>
      </c>
      <c r="E7" s="14">
        <v>1800</v>
      </c>
    </row>
    <row r="8" spans="1:5" ht="9.75" customHeight="1" x14ac:dyDescent="0.3">
      <c r="A8" s="11" t="s">
        <v>89</v>
      </c>
      <c r="B8" s="11" t="s">
        <v>90</v>
      </c>
      <c r="C8" s="12">
        <v>1</v>
      </c>
      <c r="D8" s="13">
        <v>3100</v>
      </c>
      <c r="E8" s="14">
        <v>3100</v>
      </c>
    </row>
    <row r="9" spans="1:5" ht="9.75" customHeight="1" x14ac:dyDescent="0.3">
      <c r="A9" s="11" t="s">
        <v>91</v>
      </c>
      <c r="B9" s="11" t="s">
        <v>92</v>
      </c>
      <c r="C9" s="12">
        <v>1</v>
      </c>
      <c r="D9" s="13">
        <v>9000</v>
      </c>
      <c r="E9" s="14">
        <v>9000</v>
      </c>
    </row>
    <row r="10" spans="1:5" ht="9.75" customHeight="1" x14ac:dyDescent="0.3">
      <c r="A10" s="11" t="s">
        <v>93</v>
      </c>
      <c r="B10" s="11" t="s">
        <v>94</v>
      </c>
      <c r="C10" s="12">
        <v>1</v>
      </c>
      <c r="D10" s="13">
        <v>1950</v>
      </c>
      <c r="E10" s="14">
        <v>1950</v>
      </c>
    </row>
    <row r="11" spans="1:5" ht="9.75" customHeight="1" x14ac:dyDescent="0.3">
      <c r="A11" s="11" t="s">
        <v>165</v>
      </c>
      <c r="B11" s="11" t="s">
        <v>95</v>
      </c>
      <c r="C11" s="12">
        <v>30</v>
      </c>
      <c r="D11" s="12">
        <v>595</v>
      </c>
      <c r="E11" s="14">
        <v>20825</v>
      </c>
    </row>
    <row r="12" spans="1:5" ht="9.75" customHeight="1" x14ac:dyDescent="0.3">
      <c r="A12" s="11" t="s">
        <v>96</v>
      </c>
      <c r="B12" s="11" t="s">
        <v>97</v>
      </c>
      <c r="C12" s="12">
        <v>2</v>
      </c>
      <c r="D12" s="13">
        <v>2130</v>
      </c>
      <c r="E12" s="14">
        <v>4260</v>
      </c>
    </row>
    <row r="13" spans="1:5" ht="9.75" customHeight="1" x14ac:dyDescent="0.3">
      <c r="A13" s="11" t="s">
        <v>98</v>
      </c>
      <c r="B13" s="11" t="s">
        <v>99</v>
      </c>
      <c r="C13" s="12">
        <v>2</v>
      </c>
      <c r="D13" s="13">
        <v>1150</v>
      </c>
      <c r="E13" s="14">
        <v>2300</v>
      </c>
    </row>
    <row r="14" spans="1:5" ht="9.75" customHeight="1" x14ac:dyDescent="0.3">
      <c r="A14" s="11" t="s">
        <v>100</v>
      </c>
      <c r="B14" s="11" t="s">
        <v>101</v>
      </c>
      <c r="C14" s="12">
        <v>2</v>
      </c>
      <c r="D14" s="13">
        <v>1150</v>
      </c>
      <c r="E14" s="14">
        <v>2300</v>
      </c>
    </row>
    <row r="15" spans="1:5" ht="9.75" customHeight="1" x14ac:dyDescent="0.3">
      <c r="A15" s="11" t="s">
        <v>102</v>
      </c>
      <c r="B15" s="11" t="s">
        <v>103</v>
      </c>
      <c r="C15" s="12">
        <v>1</v>
      </c>
      <c r="D15" s="13">
        <v>1750</v>
      </c>
      <c r="E15" s="14">
        <v>1750</v>
      </c>
    </row>
    <row r="16" spans="1:5" ht="9.75" customHeight="1" x14ac:dyDescent="0.3">
      <c r="A16" s="11" t="s">
        <v>104</v>
      </c>
      <c r="B16" s="11" t="s">
        <v>105</v>
      </c>
      <c r="C16" s="12">
        <v>1</v>
      </c>
      <c r="D16" s="13">
        <v>1800</v>
      </c>
      <c r="E16" s="14">
        <v>1800</v>
      </c>
    </row>
    <row r="17" spans="1:5" ht="9.75" customHeight="1" x14ac:dyDescent="0.3">
      <c r="A17" s="11" t="s">
        <v>106</v>
      </c>
      <c r="B17" s="11" t="s">
        <v>107</v>
      </c>
      <c r="C17" s="12">
        <v>2.6</v>
      </c>
      <c r="D17" s="13">
        <v>1980</v>
      </c>
      <c r="E17" s="14">
        <v>5148</v>
      </c>
    </row>
    <row r="18" spans="1:5" ht="9.75" customHeight="1" x14ac:dyDescent="0.3">
      <c r="A18" s="11" t="s">
        <v>108</v>
      </c>
      <c r="B18" s="11" t="s">
        <v>109</v>
      </c>
      <c r="C18" s="12">
        <v>1</v>
      </c>
      <c r="D18" s="13">
        <v>2250</v>
      </c>
      <c r="E18" s="14">
        <v>2250</v>
      </c>
    </row>
    <row r="19" spans="1:5" ht="9.75" customHeight="1" x14ac:dyDescent="0.3">
      <c r="A19" s="11" t="s">
        <v>110</v>
      </c>
      <c r="B19" s="11" t="s">
        <v>111</v>
      </c>
      <c r="C19" s="12">
        <v>1</v>
      </c>
      <c r="D19" s="13">
        <v>2795</v>
      </c>
      <c r="E19" s="14">
        <v>2795</v>
      </c>
    </row>
    <row r="20" spans="1:5" ht="9.75" customHeight="1" x14ac:dyDescent="0.3">
      <c r="A20" s="11" t="s">
        <v>112</v>
      </c>
      <c r="B20" s="11" t="s">
        <v>113</v>
      </c>
      <c r="C20" s="12">
        <v>1</v>
      </c>
      <c r="D20" s="13">
        <v>6800</v>
      </c>
      <c r="E20" s="14">
        <v>6800</v>
      </c>
    </row>
    <row r="21" spans="1:5" ht="9.75" customHeight="1" x14ac:dyDescent="0.3">
      <c r="A21" s="11" t="s">
        <v>114</v>
      </c>
      <c r="B21" s="11" t="s">
        <v>115</v>
      </c>
      <c r="C21" s="12">
        <v>8</v>
      </c>
      <c r="D21" s="13">
        <v>1455</v>
      </c>
      <c r="E21" s="14">
        <v>11640</v>
      </c>
    </row>
    <row r="22" spans="1:5" ht="9.75" customHeight="1" x14ac:dyDescent="0.3">
      <c r="A22" s="11" t="s">
        <v>116</v>
      </c>
      <c r="B22" s="11" t="s">
        <v>117</v>
      </c>
      <c r="C22" s="12">
        <v>5</v>
      </c>
      <c r="D22" s="12">
        <v>655</v>
      </c>
      <c r="E22" s="14">
        <v>5240</v>
      </c>
    </row>
    <row r="23" spans="1:5" ht="9.75" customHeight="1" x14ac:dyDescent="0.3">
      <c r="A23" s="11" t="s">
        <v>118</v>
      </c>
      <c r="B23" s="11" t="s">
        <v>119</v>
      </c>
      <c r="C23" s="12">
        <v>10</v>
      </c>
      <c r="D23" s="13">
        <v>1350</v>
      </c>
      <c r="E23" s="14">
        <v>14850</v>
      </c>
    </row>
    <row r="24" spans="1:5" ht="9.75" customHeight="1" x14ac:dyDescent="0.3">
      <c r="A24" s="11" t="s">
        <v>120</v>
      </c>
      <c r="B24" s="11" t="s">
        <v>121</v>
      </c>
      <c r="C24" s="12">
        <v>2</v>
      </c>
      <c r="D24" s="13">
        <v>2840</v>
      </c>
      <c r="E24" s="14">
        <v>8520</v>
      </c>
    </row>
    <row r="25" spans="1:5" ht="9.75" customHeight="1" x14ac:dyDescent="0.3">
      <c r="A25" s="11" t="s">
        <v>122</v>
      </c>
      <c r="B25" s="11" t="s">
        <v>123</v>
      </c>
      <c r="C25" s="12">
        <v>2</v>
      </c>
      <c r="D25" s="12">
        <v>710</v>
      </c>
      <c r="E25" s="14">
        <v>1420</v>
      </c>
    </row>
    <row r="26" spans="1:5" ht="9.75" customHeight="1" x14ac:dyDescent="0.3">
      <c r="A26" s="31" t="s">
        <v>171</v>
      </c>
      <c r="B26" s="25"/>
      <c r="C26" s="25"/>
      <c r="D26" s="26"/>
      <c r="E26" s="15">
        <f>SUM(E7:E25)</f>
        <v>107748</v>
      </c>
    </row>
    <row r="27" spans="1:5" ht="21.75" customHeight="1" x14ac:dyDescent="0.3">
      <c r="A27" s="19" t="s">
        <v>124</v>
      </c>
      <c r="B27" s="1"/>
      <c r="C27" s="19" t="s">
        <v>125</v>
      </c>
      <c r="D27" s="1"/>
      <c r="E27" s="1"/>
    </row>
    <row r="28" spans="1:5" ht="11.25" customHeight="1" x14ac:dyDescent="0.25">
      <c r="A28" s="20"/>
      <c r="B28" s="32"/>
      <c r="C28" s="33"/>
      <c r="D28" s="33"/>
      <c r="E28" s="20"/>
    </row>
    <row r="29" spans="1:5" ht="8.25" customHeight="1" x14ac:dyDescent="0.25">
      <c r="A29" s="21" t="s">
        <v>126</v>
      </c>
      <c r="B29" s="20"/>
      <c r="C29" s="22" t="s">
        <v>127</v>
      </c>
      <c r="D29" s="20"/>
      <c r="E29" s="20"/>
    </row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</sheetData>
  <mergeCells count="4">
    <mergeCell ref="A26:D26"/>
    <mergeCell ref="B28:D28"/>
    <mergeCell ref="A1:E1"/>
    <mergeCell ref="A2:A3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A3" sqref="A3"/>
    </sheetView>
  </sheetViews>
  <sheetFormatPr defaultRowHeight="13.8" x14ac:dyDescent="0.3"/>
  <cols>
    <col min="1" max="1" width="56.44140625" customWidth="1"/>
  </cols>
  <sheetData>
    <row r="1" spans="1:5" x14ac:dyDescent="0.3">
      <c r="A1" s="27" t="s">
        <v>166</v>
      </c>
      <c r="B1" s="25"/>
      <c r="C1" s="25"/>
      <c r="D1" s="25"/>
      <c r="E1" s="26"/>
    </row>
    <row r="2" spans="1:5" x14ac:dyDescent="0.3">
      <c r="A2" s="23" t="s">
        <v>167</v>
      </c>
      <c r="B2" s="30"/>
      <c r="C2" s="25"/>
      <c r="D2" s="25"/>
      <c r="E2" s="26"/>
    </row>
    <row r="3" spans="1:5" x14ac:dyDescent="0.25">
      <c r="A3" s="5"/>
      <c r="B3" s="5"/>
      <c r="C3" s="5"/>
      <c r="D3" s="5"/>
      <c r="E3" s="5"/>
    </row>
    <row r="4" spans="1:5" ht="16.8" customHeight="1" x14ac:dyDescent="0.3">
      <c r="A4" s="6" t="s">
        <v>128</v>
      </c>
      <c r="B4" s="8" t="s">
        <v>4</v>
      </c>
      <c r="C4" s="6" t="s">
        <v>5</v>
      </c>
      <c r="D4" s="6" t="s">
        <v>6</v>
      </c>
      <c r="E4" s="8" t="s">
        <v>7</v>
      </c>
    </row>
    <row r="5" spans="1:5" x14ac:dyDescent="0.3">
      <c r="A5" s="11" t="s">
        <v>129</v>
      </c>
      <c r="B5" s="11" t="s">
        <v>30</v>
      </c>
      <c r="C5" s="12">
        <v>3</v>
      </c>
      <c r="D5" s="12">
        <v>500</v>
      </c>
      <c r="E5" s="14">
        <f>C5*D5</f>
        <v>1500</v>
      </c>
    </row>
    <row r="6" spans="1:5" x14ac:dyDescent="0.3">
      <c r="A6" s="11" t="s">
        <v>130</v>
      </c>
      <c r="B6" s="11" t="s">
        <v>30</v>
      </c>
      <c r="C6" s="12">
        <v>2</v>
      </c>
      <c r="D6" s="12">
        <v>850</v>
      </c>
      <c r="E6" s="14">
        <f t="shared" ref="E6:E16" si="0">C6*D6</f>
        <v>1700</v>
      </c>
    </row>
    <row r="7" spans="1:5" x14ac:dyDescent="0.3">
      <c r="A7" s="11" t="s">
        <v>131</v>
      </c>
      <c r="B7" s="11" t="s">
        <v>30</v>
      </c>
      <c r="C7" s="12">
        <v>5</v>
      </c>
      <c r="D7" s="12">
        <v>95</v>
      </c>
      <c r="E7" s="14">
        <f t="shared" si="0"/>
        <v>475</v>
      </c>
    </row>
    <row r="8" spans="1:5" x14ac:dyDescent="0.3">
      <c r="A8" s="11" t="s">
        <v>132</v>
      </c>
      <c r="B8" s="11" t="s">
        <v>62</v>
      </c>
      <c r="C8" s="12">
        <v>15</v>
      </c>
      <c r="D8" s="12">
        <v>600</v>
      </c>
      <c r="E8" s="14">
        <f t="shared" si="0"/>
        <v>9000</v>
      </c>
    </row>
    <row r="9" spans="1:5" x14ac:dyDescent="0.3">
      <c r="A9" s="11" t="s">
        <v>133</v>
      </c>
      <c r="B9" s="11" t="s">
        <v>62</v>
      </c>
      <c r="C9" s="12">
        <v>10</v>
      </c>
      <c r="D9" s="12">
        <v>700</v>
      </c>
      <c r="E9" s="14">
        <f t="shared" si="0"/>
        <v>7000</v>
      </c>
    </row>
    <row r="10" spans="1:5" x14ac:dyDescent="0.3">
      <c r="A10" s="11" t="s">
        <v>134</v>
      </c>
      <c r="B10" s="11" t="s">
        <v>62</v>
      </c>
      <c r="C10" s="12">
        <v>5</v>
      </c>
      <c r="D10" s="12">
        <v>900</v>
      </c>
      <c r="E10" s="14">
        <f t="shared" si="0"/>
        <v>4500</v>
      </c>
    </row>
    <row r="11" spans="1:5" x14ac:dyDescent="0.3">
      <c r="A11" s="11" t="s">
        <v>135</v>
      </c>
      <c r="B11" s="11" t="s">
        <v>30</v>
      </c>
      <c r="C11" s="12">
        <v>30</v>
      </c>
      <c r="D11" s="12">
        <v>140</v>
      </c>
      <c r="E11" s="14">
        <f t="shared" si="0"/>
        <v>4200</v>
      </c>
    </row>
    <row r="12" spans="1:5" x14ac:dyDescent="0.3">
      <c r="A12" s="11" t="s">
        <v>136</v>
      </c>
      <c r="B12" s="11" t="s">
        <v>30</v>
      </c>
      <c r="C12" s="12">
        <v>20</v>
      </c>
      <c r="D12" s="12">
        <v>250</v>
      </c>
      <c r="E12" s="14">
        <f t="shared" si="0"/>
        <v>5000</v>
      </c>
    </row>
    <row r="13" spans="1:5" x14ac:dyDescent="0.3">
      <c r="A13" s="11" t="s">
        <v>137</v>
      </c>
      <c r="B13" s="11" t="s">
        <v>62</v>
      </c>
      <c r="C13" s="12">
        <v>3</v>
      </c>
      <c r="D13" s="12">
        <v>900</v>
      </c>
      <c r="E13" s="14">
        <f t="shared" si="0"/>
        <v>2700</v>
      </c>
    </row>
    <row r="14" spans="1:5" x14ac:dyDescent="0.3">
      <c r="A14" s="11" t="s">
        <v>138</v>
      </c>
      <c r="B14" s="11" t="s">
        <v>62</v>
      </c>
      <c r="C14" s="12">
        <v>2</v>
      </c>
      <c r="D14" s="12">
        <v>1100</v>
      </c>
      <c r="E14" s="14">
        <f t="shared" si="0"/>
        <v>2200</v>
      </c>
    </row>
    <row r="15" spans="1:5" x14ac:dyDescent="0.3">
      <c r="A15" s="11" t="s">
        <v>139</v>
      </c>
      <c r="B15" s="11" t="s">
        <v>62</v>
      </c>
      <c r="C15" s="12">
        <v>1</v>
      </c>
      <c r="D15" s="13">
        <v>1500</v>
      </c>
      <c r="E15" s="14">
        <f t="shared" si="0"/>
        <v>1500</v>
      </c>
    </row>
    <row r="16" spans="1:5" x14ac:dyDescent="0.3">
      <c r="A16" s="11" t="s">
        <v>140</v>
      </c>
      <c r="B16" s="11" t="s">
        <v>9</v>
      </c>
      <c r="C16" s="12">
        <v>4</v>
      </c>
      <c r="D16" s="13">
        <v>1700</v>
      </c>
      <c r="E16" s="14">
        <f t="shared" si="0"/>
        <v>6800</v>
      </c>
    </row>
    <row r="17" spans="1:5" x14ac:dyDescent="0.3">
      <c r="A17" s="24" t="s">
        <v>141</v>
      </c>
      <c r="B17" s="25"/>
      <c r="C17" s="25"/>
      <c r="D17" s="26"/>
      <c r="E17" s="15">
        <f>SUM(E5:E16)</f>
        <v>46575</v>
      </c>
    </row>
    <row r="18" spans="1:5" x14ac:dyDescent="0.3">
      <c r="A18" s="36" t="s">
        <v>142</v>
      </c>
      <c r="B18" s="25"/>
      <c r="C18" s="25"/>
      <c r="D18" s="26"/>
      <c r="E18" s="18">
        <f>E17</f>
        <v>46575</v>
      </c>
    </row>
    <row r="19" spans="1:5" x14ac:dyDescent="0.3">
      <c r="A19" s="34" t="s">
        <v>143</v>
      </c>
      <c r="B19" s="35"/>
      <c r="C19" s="35"/>
      <c r="D19" s="35"/>
      <c r="E19" s="35"/>
    </row>
  </sheetData>
  <mergeCells count="5">
    <mergeCell ref="A19:E19"/>
    <mergeCell ref="A1:E1"/>
    <mergeCell ref="B2:E2"/>
    <mergeCell ref="A17:D17"/>
    <mergeCell ref="A18:D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Кухня</vt:lpstr>
      <vt:lpstr>Ванная комната</vt:lpstr>
      <vt:lpstr>Электрика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 вверх</dc:creator>
  <cp:lastModifiedBy>*</cp:lastModifiedBy>
  <dcterms:created xsi:type="dcterms:W3CDTF">2025-04-18T15:39:51Z</dcterms:created>
  <dcterms:modified xsi:type="dcterms:W3CDTF">2026-04-05T13:36:52Z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2025-03-07T00:00:00Z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2025-04-18T00:00:00Z</vt:filetime>
  </property>
  <property fmtid="{D5CDD505-2E9C-101B-9397-08002B2CF9AE}" pid="5" name="Producer">
    <vt:lpwstr>Microsoft® Excel® 2016</vt:lpwstr>
  </property>
</Properties>
</file>