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56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8" i="1"/>
  <c r="R20" i="1"/>
  <c r="Q21" i="1"/>
  <c r="Q22" i="1"/>
  <c r="Q23" i="1"/>
  <c r="Q24" i="1"/>
  <c r="Q25" i="1"/>
  <c r="Q26" i="1"/>
  <c r="Q27" i="1"/>
  <c r="Q20" i="1"/>
  <c r="C13" i="1"/>
  <c r="D13" i="1"/>
  <c r="D14" i="1" s="1"/>
  <c r="E12" i="1"/>
  <c r="E13" i="1"/>
  <c r="C14" i="1"/>
  <c r="E9" i="1"/>
  <c r="E10" i="1"/>
  <c r="E11" i="1"/>
  <c r="E1" i="1"/>
  <c r="E2" i="1"/>
  <c r="E3" i="1"/>
  <c r="E4" i="1"/>
  <c r="E5" i="1"/>
  <c r="E6" i="1"/>
  <c r="E7" i="1"/>
  <c r="E8" i="1"/>
  <c r="C15" i="1" l="1"/>
</calcChain>
</file>

<file path=xl/sharedStrings.xml><?xml version="1.0" encoding="utf-8"?>
<sst xmlns="http://schemas.openxmlformats.org/spreadsheetml/2006/main" count="41" uniqueCount="29">
  <si>
    <t xml:space="preserve">Комната 1 </t>
  </si>
  <si>
    <t>Черная ком</t>
  </si>
  <si>
    <t>Коридор 1</t>
  </si>
  <si>
    <t xml:space="preserve">Коридор 2 </t>
  </si>
  <si>
    <t>Комната 3</t>
  </si>
  <si>
    <t>Коридор 3</t>
  </si>
  <si>
    <t>Комната 4</t>
  </si>
  <si>
    <t xml:space="preserve">Туалет </t>
  </si>
  <si>
    <t xml:space="preserve">Комната 5 </t>
  </si>
  <si>
    <t>Комната 6</t>
  </si>
  <si>
    <t xml:space="preserve">Комната 7 </t>
  </si>
  <si>
    <t>Комплектующие</t>
  </si>
  <si>
    <t>Норма расхода</t>
  </si>
  <si>
    <t>Расход материала</t>
  </si>
  <si>
    <t>Ед. изм.</t>
  </si>
  <si>
    <t>1. Плита 600 x 600;</t>
  </si>
  <si>
    <t>шт.</t>
  </si>
  <si>
    <t>2. Поперечная планка 0.6 м</t>
  </si>
  <si>
    <t>3. Профиль главный 3.7 м</t>
  </si>
  <si>
    <t>4. Поперечная планка 1.2 м</t>
  </si>
  <si>
    <t>5. Подвес</t>
  </si>
  <si>
    <t>6. Угол пристенный 3 м</t>
  </si>
  <si>
    <t>м</t>
  </si>
  <si>
    <t>7. Анкер-клин</t>
  </si>
  <si>
    <t>8. Дюбель для крепления пристенного угла</t>
  </si>
  <si>
    <t>Комната 8</t>
  </si>
  <si>
    <t>`</t>
  </si>
  <si>
    <t>м2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</si>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</sst>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3B3B3B"/>
      <name val="Arial"/>
      <family val="2"/>
      <charset val="204"/>
    </font>
    <font>
      <b/>
      <sz val="10"/>
      <color rgb="FF3B3B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2" workbookViewId="0">
      <selection activeCell="G1" sqref="G1"/>
    </sheetView>
  </sheetViews>
  <sheetFormatPr defaultRowHeight="14.4" x14ac:dyDescent="0.3"/>
  <cols>
    <col min="1" max="1" width="41.5546875" customWidth="1"/>
    <col min="2" max="2" width="9.88671875" customWidth="1"/>
    <col min="3" max="4" width="10.6640625" customWidth="1"/>
    <col min="5" max="5" width="8.88671875" customWidth="1"/>
    <col min="6" max="6" width="17" customWidth="1"/>
    <col min="7" max="7" width="12.88671875" customWidth="1"/>
    <col min="8" max="8" width="11.44140625" customWidth="1"/>
  </cols>
  <sheetData>
    <row r="1" spans="1:5" x14ac:dyDescent="0.3">
      <c r="A1" t="s">
        <v>0</v>
      </c>
      <c r="C1" s="1">
        <v>4.9000000000000004</v>
      </c>
      <c r="D1" s="1">
        <v>3.9</v>
      </c>
      <c r="E1">
        <f t="shared" ref="E1:E7" si="0">C1*D1</f>
        <v>19.11</v>
      </c>
    </row>
    <row r="2" spans="1:5" x14ac:dyDescent="0.3">
      <c r="A2" t="s">
        <v>1</v>
      </c>
      <c r="C2" s="1">
        <v>3</v>
      </c>
      <c r="D2" s="1">
        <v>2.8</v>
      </c>
      <c r="E2">
        <f t="shared" si="0"/>
        <v>8.3999999999999986</v>
      </c>
    </row>
    <row r="3" spans="1:5" x14ac:dyDescent="0.3">
      <c r="A3" t="s">
        <v>2</v>
      </c>
      <c r="C3" s="1">
        <v>3.15</v>
      </c>
      <c r="D3" s="1">
        <v>2</v>
      </c>
      <c r="E3">
        <f t="shared" si="0"/>
        <v>6.3</v>
      </c>
    </row>
    <row r="4" spans="1:5" x14ac:dyDescent="0.3">
      <c r="A4" t="s">
        <v>3</v>
      </c>
      <c r="C4" s="1">
        <v>1.2</v>
      </c>
      <c r="D4" s="1">
        <v>2.7</v>
      </c>
      <c r="E4">
        <f t="shared" si="0"/>
        <v>3.24</v>
      </c>
    </row>
    <row r="5" spans="1:5" x14ac:dyDescent="0.3">
      <c r="A5" t="s">
        <v>4</v>
      </c>
      <c r="C5" s="1">
        <v>4.5</v>
      </c>
      <c r="D5" s="1">
        <v>4.5</v>
      </c>
      <c r="E5">
        <f t="shared" si="0"/>
        <v>20.25</v>
      </c>
    </row>
    <row r="6" spans="1:5" x14ac:dyDescent="0.3">
      <c r="A6" t="s">
        <v>5</v>
      </c>
      <c r="C6" s="1">
        <v>2</v>
      </c>
      <c r="D6" s="1">
        <v>3</v>
      </c>
      <c r="E6">
        <f t="shared" si="0"/>
        <v>6</v>
      </c>
    </row>
    <row r="7" spans="1:5" x14ac:dyDescent="0.3">
      <c r="A7" t="s">
        <v>6</v>
      </c>
      <c r="C7" s="1">
        <v>3.6</v>
      </c>
      <c r="D7" s="1">
        <v>3.7</v>
      </c>
      <c r="E7">
        <f t="shared" si="0"/>
        <v>13.32</v>
      </c>
    </row>
    <row r="8" spans="1:5" x14ac:dyDescent="0.3">
      <c r="A8" t="s">
        <v>7</v>
      </c>
      <c r="C8" s="1">
        <v>1.7</v>
      </c>
      <c r="D8" s="1">
        <v>1.7</v>
      </c>
      <c r="E8">
        <f>C8*D8</f>
        <v>2.8899999999999997</v>
      </c>
    </row>
    <row r="9" spans="1:5" x14ac:dyDescent="0.3">
      <c r="A9" t="s">
        <v>8</v>
      </c>
      <c r="C9" s="1">
        <v>3.12</v>
      </c>
      <c r="D9" s="1">
        <v>4.2</v>
      </c>
      <c r="E9">
        <f t="shared" ref="E9:E12" si="1">C9*D9</f>
        <v>13.104000000000001</v>
      </c>
    </row>
    <row r="10" spans="1:5" x14ac:dyDescent="0.3">
      <c r="A10" t="s">
        <v>9</v>
      </c>
      <c r="C10" s="1">
        <v>4.0999999999999996</v>
      </c>
      <c r="D10" s="1">
        <v>4.9000000000000004</v>
      </c>
      <c r="E10">
        <f t="shared" si="1"/>
        <v>20.09</v>
      </c>
    </row>
    <row r="11" spans="1:5" x14ac:dyDescent="0.3">
      <c r="A11" t="s">
        <v>10</v>
      </c>
      <c r="C11" s="1">
        <v>3.3</v>
      </c>
      <c r="D11" s="1">
        <v>4.0999999999999996</v>
      </c>
      <c r="E11">
        <f t="shared" si="1"/>
        <v>13.529999999999998</v>
      </c>
    </row>
    <row r="12" spans="1:5" x14ac:dyDescent="0.3">
      <c r="A12" t="s">
        <v>25</v>
      </c>
      <c r="C12" s="1">
        <v>4.04</v>
      </c>
      <c r="D12" s="1">
        <v>7.9</v>
      </c>
      <c r="E12">
        <f t="shared" si="1"/>
        <v>31.916</v>
      </c>
    </row>
    <row r="13" spans="1:5" x14ac:dyDescent="0.3">
      <c r="C13" s="1">
        <f>SUM(C1:C12)</f>
        <v>38.61</v>
      </c>
      <c r="D13">
        <f>SUM(D1:D12)</f>
        <v>45.4</v>
      </c>
      <c r="E13" s="2">
        <f>SUM(E1:E12)</f>
        <v>158.15</v>
      </c>
    </row>
    <row r="14" spans="1:5" x14ac:dyDescent="0.3">
      <c r="C14">
        <f>C13*2</f>
        <v>77.22</v>
      </c>
      <c r="D14">
        <f>D13*2</f>
        <v>90.8</v>
      </c>
    </row>
    <row r="15" spans="1:5" x14ac:dyDescent="0.3">
      <c r="C15" s="2">
        <f>C14+D14</f>
        <v>168.01999999999998</v>
      </c>
    </row>
    <row r="17" spans="1:18" x14ac:dyDescent="0.3">
      <c r="G17">
        <f>19*24</f>
        <v>456</v>
      </c>
    </row>
    <row r="18" spans="1:18" x14ac:dyDescent="0.3">
      <c r="E18" t="s">
        <v>26</v>
      </c>
      <c r="G18">
        <f>440/24</f>
        <v>18.333333333333332</v>
      </c>
    </row>
    <row r="19" spans="1:18" ht="39.6" x14ac:dyDescent="0.3">
      <c r="A19" s="3" t="s">
        <v>11</v>
      </c>
      <c r="B19" s="3"/>
      <c r="C19" s="3" t="s">
        <v>12</v>
      </c>
      <c r="D19" s="3" t="s">
        <v>13</v>
      </c>
      <c r="E19" s="3" t="s">
        <v>14</v>
      </c>
    </row>
    <row r="20" spans="1:18" x14ac:dyDescent="0.3">
      <c r="A20" s="4" t="s">
        <v>15</v>
      </c>
      <c r="B20" s="10">
        <v>160</v>
      </c>
      <c r="C20" s="5" t="s">
        <v>27</v>
      </c>
      <c r="D20" s="5">
        <v>53.13</v>
      </c>
      <c r="E20" s="5" t="s">
        <v>16</v>
      </c>
      <c r="F20" s="5">
        <v>23.35</v>
      </c>
      <c r="G20" s="7">
        <v>17.510000000000002</v>
      </c>
      <c r="H20" s="7">
        <v>9.01</v>
      </c>
      <c r="I20" s="7">
        <v>56.29</v>
      </c>
      <c r="J20">
        <v>16.64</v>
      </c>
      <c r="K20" s="8">
        <v>37</v>
      </c>
      <c r="L20" s="8">
        <v>8</v>
      </c>
      <c r="M20" s="8">
        <v>36.43</v>
      </c>
      <c r="N20" s="8">
        <v>55.85</v>
      </c>
      <c r="O20" s="8">
        <v>37.61</v>
      </c>
      <c r="P20" s="8">
        <v>87.85</v>
      </c>
      <c r="Q20" s="2">
        <f>SUM(D20:P20)</f>
        <v>438.67000000000007</v>
      </c>
      <c r="R20" t="e">
        <f>Q20/C20</f>
        <v>#VALUE!</v>
      </c>
    </row>
    <row r="21" spans="1:18" x14ac:dyDescent="0.3">
      <c r="A21" s="4" t="s">
        <v>17</v>
      </c>
      <c r="B21" s="10">
        <v>230</v>
      </c>
      <c r="C21" s="5" t="s">
        <v>28</v>
      </c>
      <c r="D21" s="5">
        <v>26.75</v>
      </c>
      <c r="E21" s="5" t="s">
        <v>16</v>
      </c>
      <c r="F21">
        <v>11.75</v>
      </c>
      <c r="G21" s="8">
        <v>8.82</v>
      </c>
      <c r="H21" s="8">
        <v>4.54</v>
      </c>
      <c r="I21" s="8">
        <v>28.35</v>
      </c>
      <c r="J21" s="8">
        <v>8.4</v>
      </c>
      <c r="K21" s="8">
        <v>18.649999999999999</v>
      </c>
      <c r="L21" s="8">
        <v>4</v>
      </c>
      <c r="M21" s="8">
        <v>18.350000000000001</v>
      </c>
      <c r="N21" s="8">
        <v>28</v>
      </c>
      <c r="O21" s="8">
        <v>19</v>
      </c>
      <c r="P21" s="8">
        <v>44.24</v>
      </c>
      <c r="Q21" s="2">
        <f t="shared" ref="Q21:Q27" si="2">SUM(D21:P21)</f>
        <v>220.85000000000002</v>
      </c>
    </row>
    <row r="22" spans="1:18" x14ac:dyDescent="0.3">
      <c r="A22" s="4" t="s">
        <v>18</v>
      </c>
      <c r="B22" s="10">
        <v>44</v>
      </c>
      <c r="C22" s="5" t="s">
        <v>28</v>
      </c>
      <c r="D22" s="6">
        <v>4.45</v>
      </c>
      <c r="E22" s="5" t="s">
        <v>16</v>
      </c>
      <c r="F22">
        <v>1.96</v>
      </c>
      <c r="G22">
        <v>1.47</v>
      </c>
      <c r="H22">
        <v>0.75</v>
      </c>
      <c r="I22">
        <v>4.72</v>
      </c>
      <c r="J22">
        <v>1.4</v>
      </c>
      <c r="K22">
        <v>3.1</v>
      </c>
      <c r="L22">
        <v>0.7</v>
      </c>
      <c r="M22">
        <v>3</v>
      </c>
      <c r="N22">
        <v>4.68</v>
      </c>
      <c r="O22">
        <v>3.15</v>
      </c>
      <c r="P22">
        <v>7.36</v>
      </c>
      <c r="Q22" s="2">
        <f t="shared" si="2"/>
        <v>36.739999999999995</v>
      </c>
    </row>
    <row r="23" spans="1:18" x14ac:dyDescent="0.3">
      <c r="A23" s="4" t="s">
        <v>19</v>
      </c>
      <c r="B23" s="10">
        <v>230</v>
      </c>
      <c r="C23" s="5" t="s">
        <v>28</v>
      </c>
      <c r="D23" s="5">
        <v>26.75</v>
      </c>
      <c r="E23" s="5" t="s">
        <v>16</v>
      </c>
      <c r="F23">
        <v>11.76</v>
      </c>
      <c r="G23" s="8">
        <v>8.82</v>
      </c>
      <c r="H23" s="8">
        <v>4.54</v>
      </c>
      <c r="I23" s="8">
        <v>28.35</v>
      </c>
      <c r="J23" s="8">
        <v>8.4</v>
      </c>
      <c r="K23" s="8">
        <v>18.649999999999999</v>
      </c>
      <c r="L23" s="8">
        <v>4</v>
      </c>
      <c r="M23" s="8">
        <v>18.350000000000001</v>
      </c>
      <c r="N23" s="8">
        <v>28.1</v>
      </c>
      <c r="O23" s="8">
        <v>19</v>
      </c>
      <c r="P23" s="8">
        <v>44.24</v>
      </c>
      <c r="Q23" s="2">
        <f t="shared" si="2"/>
        <v>220.96</v>
      </c>
    </row>
    <row r="24" spans="1:18" x14ac:dyDescent="0.3">
      <c r="A24" s="4" t="s">
        <v>20</v>
      </c>
      <c r="B24" s="10">
        <v>120</v>
      </c>
      <c r="C24" s="5" t="s">
        <v>28</v>
      </c>
      <c r="D24" s="5">
        <v>13.38</v>
      </c>
      <c r="E24" s="5" t="s">
        <v>16</v>
      </c>
      <c r="F24">
        <v>5.88</v>
      </c>
      <c r="G24" s="9">
        <v>4.41</v>
      </c>
      <c r="H24" s="9">
        <v>2.27</v>
      </c>
      <c r="I24" s="9">
        <v>14.7</v>
      </c>
      <c r="J24" s="9">
        <v>4.2</v>
      </c>
      <c r="K24" s="9">
        <v>9.32</v>
      </c>
      <c r="L24" s="9">
        <v>2</v>
      </c>
      <c r="M24" s="9">
        <v>9.17</v>
      </c>
      <c r="N24" s="9">
        <v>14.12</v>
      </c>
      <c r="O24" s="9">
        <v>9.5</v>
      </c>
      <c r="P24" s="9">
        <v>22.12</v>
      </c>
      <c r="Q24" s="2">
        <f t="shared" si="2"/>
        <v>111.07000000000001</v>
      </c>
    </row>
    <row r="25" spans="1:18" x14ac:dyDescent="0.3">
      <c r="A25" s="4" t="s">
        <v>21</v>
      </c>
      <c r="B25" s="10">
        <v>65</v>
      </c>
      <c r="C25" s="5" t="s">
        <v>28</v>
      </c>
      <c r="D25" s="5">
        <v>17.600000000000001</v>
      </c>
      <c r="E25" s="5" t="s">
        <v>22</v>
      </c>
      <c r="F25">
        <v>11.6</v>
      </c>
      <c r="G25" s="9">
        <v>10.3</v>
      </c>
      <c r="H25" s="9">
        <v>7.8</v>
      </c>
      <c r="I25" s="9">
        <v>18</v>
      </c>
      <c r="J25" s="9">
        <v>10</v>
      </c>
      <c r="K25" s="9">
        <v>14.6</v>
      </c>
      <c r="L25" s="9">
        <v>6.8</v>
      </c>
      <c r="M25" s="9">
        <v>14.64</v>
      </c>
      <c r="N25" s="9">
        <v>18</v>
      </c>
      <c r="O25" s="9">
        <v>14.8</v>
      </c>
      <c r="P25" s="9">
        <v>23.85</v>
      </c>
      <c r="Q25" s="2">
        <f t="shared" si="2"/>
        <v>167.98999999999998</v>
      </c>
    </row>
    <row r="26" spans="1:18" x14ac:dyDescent="0.3">
      <c r="A26" s="4" t="s">
        <v>23</v>
      </c>
      <c r="B26" s="10">
        <v>120</v>
      </c>
      <c r="C26" s="5" t="s">
        <v>28</v>
      </c>
      <c r="D26" s="5">
        <v>13.38</v>
      </c>
      <c r="E26" s="5" t="s">
        <v>16</v>
      </c>
      <c r="F26">
        <v>5.88</v>
      </c>
      <c r="G26" s="9">
        <v>4.41</v>
      </c>
      <c r="H26" s="9">
        <v>2.27</v>
      </c>
      <c r="I26" s="9">
        <v>14.17</v>
      </c>
      <c r="J26" s="9">
        <v>4.2</v>
      </c>
      <c r="K26" s="9">
        <v>9.32</v>
      </c>
      <c r="L26" s="9">
        <v>2</v>
      </c>
      <c r="M26" s="9">
        <v>9.17</v>
      </c>
      <c r="N26" s="9">
        <v>14</v>
      </c>
      <c r="O26" s="9">
        <v>9.5</v>
      </c>
      <c r="P26" s="9">
        <v>22.12</v>
      </c>
      <c r="Q26" s="2">
        <f t="shared" si="2"/>
        <v>110.42</v>
      </c>
    </row>
    <row r="27" spans="1:18" x14ac:dyDescent="0.3">
      <c r="A27" s="4" t="s">
        <v>24</v>
      </c>
      <c r="B27" s="10">
        <v>400</v>
      </c>
      <c r="C27" s="5" t="s">
        <v>28</v>
      </c>
      <c r="D27" s="5">
        <v>35.200000000000003</v>
      </c>
      <c r="E27" s="5" t="s">
        <v>16</v>
      </c>
      <c r="F27">
        <v>23.2</v>
      </c>
      <c r="G27" s="9">
        <v>20.6</v>
      </c>
      <c r="H27" s="9">
        <v>15.6</v>
      </c>
      <c r="I27" s="9">
        <v>36</v>
      </c>
      <c r="J27" s="9">
        <v>20</v>
      </c>
      <c r="K27" s="9">
        <v>29.2</v>
      </c>
      <c r="L27" s="9">
        <v>13.6</v>
      </c>
      <c r="M27" s="9">
        <v>29.28</v>
      </c>
      <c r="N27" s="9">
        <v>36</v>
      </c>
      <c r="O27" s="9">
        <v>29.6</v>
      </c>
      <c r="P27" s="9">
        <v>47.6</v>
      </c>
      <c r="Q27" s="2">
        <f t="shared" si="2"/>
        <v>335.88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*</cp:lastModifiedBy>
  <dcterms:created xsi:type="dcterms:W3CDTF">2025-05-28T08:48:04Z</dcterms:created>
  <dcterms:modified xsi:type="dcterms:W3CDTF">2025-10-29T11:45:12Z</dcterms:modified>
</cp:coreProperties>
</file>